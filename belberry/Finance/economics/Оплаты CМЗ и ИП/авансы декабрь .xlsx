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hniewalker/Desktop/"/>
    </mc:Choice>
  </mc:AlternateContent>
  <xr:revisionPtr revIDLastSave="0" documentId="8_{547E56EC-9226-1449-A2B7-E10F1A7B45EA}" xr6:coauthVersionLast="47" xr6:coauthVersionMax="47" xr10:uidLastSave="{00000000-0000-0000-0000-000000000000}"/>
  <bookViews>
    <workbookView xWindow="0" yWindow="0" windowWidth="28800" windowHeight="18000" xr2:uid="{1CA06E5A-BB76-5A48-8008-46E3A3D5CD55}"/>
  </bookViews>
  <sheets>
    <sheet name="Лист1" sheetId="1" r:id="rId1"/>
  </sheets>
  <definedNames>
    <definedName name="_xlnm._FilterDatabase" localSheetId="0" hidden="1">Лист1!$A$1:$F$26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3" i="1" l="1"/>
  <c r="D29" i="1"/>
  <c r="D20" i="1"/>
  <c r="D13" i="1"/>
  <c r="D7" i="1"/>
  <c r="D4" i="1"/>
  <c r="D5" i="1"/>
  <c r="D6" i="1"/>
  <c r="D8" i="1"/>
  <c r="D9" i="1"/>
  <c r="D10" i="1"/>
  <c r="D11" i="1"/>
  <c r="D12" i="1"/>
  <c r="D14" i="1"/>
  <c r="D15" i="1"/>
  <c r="D16" i="1"/>
  <c r="D17" i="1"/>
  <c r="D18" i="1"/>
  <c r="D19" i="1"/>
  <c r="D21" i="1"/>
  <c r="D22" i="1"/>
  <c r="D24" i="1"/>
  <c r="D25" i="1"/>
  <c r="D26" i="1"/>
  <c r="D27" i="1"/>
  <c r="D28" i="1"/>
  <c r="D3" i="1"/>
</calcChain>
</file>

<file path=xl/sharedStrings.xml><?xml version="1.0" encoding="utf-8"?>
<sst xmlns="http://schemas.openxmlformats.org/spreadsheetml/2006/main" count="89" uniqueCount="48">
  <si>
    <t>Сотрудник</t>
  </si>
  <si>
    <t>Отдел</t>
  </si>
  <si>
    <t>Маркетинг</t>
  </si>
  <si>
    <t>Qugo</t>
  </si>
  <si>
    <t>СМЗ Емельяненко</t>
  </si>
  <si>
    <t>Бухгалтерия</t>
  </si>
  <si>
    <t>СМЗ Булатов</t>
  </si>
  <si>
    <t>Департамент продаж</t>
  </si>
  <si>
    <t>СМЗ Ларькова</t>
  </si>
  <si>
    <t>Отдел Аккаунтинга</t>
  </si>
  <si>
    <t>СМЗ Выжитович</t>
  </si>
  <si>
    <t>CМЗ Смирнова</t>
  </si>
  <si>
    <t>Отдел разработки</t>
  </si>
  <si>
    <t>СМЗ Толоконников</t>
  </si>
  <si>
    <t>СМЗ Храмов</t>
  </si>
  <si>
    <t>CМЗ Жарикова</t>
  </si>
  <si>
    <t>Belberry</t>
  </si>
  <si>
    <t>СМЗ Лопатина Мария</t>
  </si>
  <si>
    <t>ИП Халин</t>
  </si>
  <si>
    <t>НКТ Точка</t>
  </si>
  <si>
    <t>ИП Шевелина</t>
  </si>
  <si>
    <t>Гуркин Константин (Толкунова Анастасия)</t>
  </si>
  <si>
    <t>Касаткин Даниил (Касаткина Ольга)</t>
  </si>
  <si>
    <t>SEO</t>
  </si>
  <si>
    <t>Отдел рекрутинга</t>
  </si>
  <si>
    <t>ИП Хохлова</t>
  </si>
  <si>
    <t>НКТ ТОЧКА</t>
  </si>
  <si>
    <t>СМЗ Вельгоненко</t>
  </si>
  <si>
    <t>Отдел контекстной рекламы</t>
  </si>
  <si>
    <t>CМЗ Ободовский</t>
  </si>
  <si>
    <t>СМЗ Юрескул</t>
  </si>
  <si>
    <t>Отдел контента</t>
  </si>
  <si>
    <t>ORM</t>
  </si>
  <si>
    <t>СМЗ Шошина</t>
  </si>
  <si>
    <t>СМЗ Иванов</t>
  </si>
  <si>
    <t>СМЗ Красникова</t>
  </si>
  <si>
    <t>СМЗ Мырза</t>
  </si>
  <si>
    <t>СМЗ Полин</t>
  </si>
  <si>
    <t>СМЗ Ташлыкова</t>
  </si>
  <si>
    <t>ИП Тильканова Ксения</t>
  </si>
  <si>
    <t>CМЗ Арефьева</t>
  </si>
  <si>
    <t>Сумма на руки</t>
  </si>
  <si>
    <t>СМЗ Василенко Данила</t>
  </si>
  <si>
    <t>СМЗ Обухова</t>
  </si>
  <si>
    <t>СМЗ Зубок</t>
  </si>
  <si>
    <t>Авшеева Альфа</t>
  </si>
  <si>
    <t>Банк</t>
  </si>
  <si>
    <t>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</si>
</sst>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u/>
      <sz val="12"/>
      <color theme="10"/>
      <name val="Calibri"/>
      <family val="2"/>
      <charset val="204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2" fillId="0" borderId="0" xfId="1" applyFill="1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5550F-0D7A-FC4C-AC6C-15E65F1FFDE0}">
  <dimension ref="A1:F29"/>
  <sheetViews>
    <sheetView tabSelected="1" zoomScale="192" zoomScaleNormal="192" workbookViewId="0">
      <selection activeCell="D2" sqref="D2"/>
    </sheetView>
  </sheetViews>
  <sheetFormatPr baseColWidth="10" defaultColWidth="11" defaultRowHeight="16" x14ac:dyDescent="0.2"/>
  <cols>
    <col min="1" max="1" width="35" customWidth="1"/>
    <col min="2" max="2" width="23.1640625" customWidth="1"/>
    <col min="3" max="3" width="16.5" hidden="1" customWidth="1"/>
    <col min="4" max="4" width="23.83203125" style="7" customWidth="1"/>
    <col min="5" max="5" width="16.83203125" customWidth="1"/>
    <col min="6" max="6" width="121.1640625" customWidth="1"/>
  </cols>
  <sheetData>
    <row r="1" spans="1:6" ht="18" x14ac:dyDescent="0.2">
      <c r="A1" s="8" t="s">
        <v>0</v>
      </c>
      <c r="B1" s="8" t="s">
        <v>1</v>
      </c>
      <c r="C1" s="8" t="s">
        <v>41</v>
      </c>
      <c r="D1" s="8" t="s">
        <v>47</v>
      </c>
      <c r="E1" s="8" t="s">
        <v>46</v>
      </c>
      <c r="F1" s="3"/>
    </row>
    <row r="2" spans="1:6" x14ac:dyDescent="0.2">
      <c r="A2" s="1" t="s">
        <v>4</v>
      </c>
      <c r="B2" s="1" t="s">
        <v>5</v>
      </c>
      <c r="C2" s="1"/>
      <c r="D2" s="5">
        <v>40000</v>
      </c>
      <c r="E2" s="1" t="s">
        <v>3</v>
      </c>
      <c r="F2" s="1"/>
    </row>
    <row r="3" spans="1:6" x14ac:dyDescent="0.2">
      <c r="A3" s="1" t="s">
        <v>21</v>
      </c>
      <c r="B3" s="1" t="s">
        <v>7</v>
      </c>
      <c r="C3" s="1">
        <v>100000</v>
      </c>
      <c r="D3" s="6">
        <f>C3/94%</f>
        <v>106382.97872340426</v>
      </c>
      <c r="E3" s="1" t="s">
        <v>3</v>
      </c>
      <c r="F3" s="2"/>
    </row>
    <row r="4" spans="1:6" x14ac:dyDescent="0.2">
      <c r="A4" s="1" t="s">
        <v>18</v>
      </c>
      <c r="B4" s="1" t="s">
        <v>7</v>
      </c>
      <c r="C4" s="1">
        <v>100000</v>
      </c>
      <c r="D4" s="6">
        <f>C4/93%</f>
        <v>107526.8817204301</v>
      </c>
      <c r="E4" s="1" t="s">
        <v>45</v>
      </c>
      <c r="F4" s="2"/>
    </row>
    <row r="5" spans="1:6" x14ac:dyDescent="0.2">
      <c r="A5" s="1" t="s">
        <v>6</v>
      </c>
      <c r="B5" s="1" t="s">
        <v>7</v>
      </c>
      <c r="C5" s="1">
        <v>60000</v>
      </c>
      <c r="D5" s="6">
        <f t="shared" ref="D4:D29" si="0">C5/94%</f>
        <v>63829.78723404256</v>
      </c>
      <c r="E5" s="1" t="s">
        <v>3</v>
      </c>
      <c r="F5" s="2"/>
    </row>
    <row r="6" spans="1:6" x14ac:dyDescent="0.2">
      <c r="A6" s="1" t="s">
        <v>22</v>
      </c>
      <c r="B6" s="1" t="s">
        <v>7</v>
      </c>
      <c r="C6" s="1">
        <v>60000</v>
      </c>
      <c r="D6" s="6">
        <f t="shared" si="0"/>
        <v>63829.78723404256</v>
      </c>
      <c r="E6" s="1" t="s">
        <v>3</v>
      </c>
      <c r="F6" s="2"/>
    </row>
    <row r="7" spans="1:6" x14ac:dyDescent="0.2">
      <c r="A7" s="1" t="s">
        <v>39</v>
      </c>
      <c r="B7" s="1" t="s">
        <v>2</v>
      </c>
      <c r="C7" s="1">
        <v>75000</v>
      </c>
      <c r="D7" s="6">
        <f>C7/93%</f>
        <v>80645.161290322576</v>
      </c>
      <c r="E7" s="1" t="s">
        <v>19</v>
      </c>
      <c r="F7" s="2"/>
    </row>
    <row r="8" spans="1:6" x14ac:dyDescent="0.2">
      <c r="A8" s="1" t="s">
        <v>8</v>
      </c>
      <c r="B8" s="1" t="s">
        <v>9</v>
      </c>
      <c r="C8" s="1">
        <v>50000</v>
      </c>
      <c r="D8" s="6">
        <f t="shared" si="0"/>
        <v>53191.48936170213</v>
      </c>
      <c r="E8" s="1" t="s">
        <v>3</v>
      </c>
      <c r="F8" s="2"/>
    </row>
    <row r="9" spans="1:6" x14ac:dyDescent="0.2">
      <c r="A9" s="1" t="s">
        <v>17</v>
      </c>
      <c r="B9" s="1" t="s">
        <v>9</v>
      </c>
      <c r="C9" s="1">
        <v>70000</v>
      </c>
      <c r="D9" s="6">
        <f t="shared" si="0"/>
        <v>74468.085106382976</v>
      </c>
      <c r="E9" s="1" t="s">
        <v>3</v>
      </c>
      <c r="F9" s="2"/>
    </row>
    <row r="10" spans="1:6" x14ac:dyDescent="0.2">
      <c r="A10" s="1" t="s">
        <v>42</v>
      </c>
      <c r="B10" s="1" t="s">
        <v>9</v>
      </c>
      <c r="C10" s="1">
        <v>14000</v>
      </c>
      <c r="D10" s="6">
        <f t="shared" si="0"/>
        <v>14893.617021276597</v>
      </c>
      <c r="E10" s="1" t="s">
        <v>3</v>
      </c>
      <c r="F10" s="4"/>
    </row>
    <row r="11" spans="1:6" x14ac:dyDescent="0.2">
      <c r="A11" s="1" t="s">
        <v>10</v>
      </c>
      <c r="B11" s="1" t="s">
        <v>9</v>
      </c>
      <c r="C11" s="1">
        <v>40000</v>
      </c>
      <c r="D11" s="6">
        <f t="shared" si="0"/>
        <v>42553.191489361707</v>
      </c>
      <c r="E11" s="1" t="s">
        <v>3</v>
      </c>
      <c r="F11" s="2"/>
    </row>
    <row r="12" spans="1:6" x14ac:dyDescent="0.2">
      <c r="A12" s="1" t="s">
        <v>11</v>
      </c>
      <c r="B12" s="1" t="s">
        <v>9</v>
      </c>
      <c r="C12" s="1">
        <v>50000</v>
      </c>
      <c r="D12" s="6">
        <f t="shared" si="0"/>
        <v>53191.48936170213</v>
      </c>
      <c r="E12" s="1" t="s">
        <v>3</v>
      </c>
      <c r="F12" s="2"/>
    </row>
    <row r="13" spans="1:6" x14ac:dyDescent="0.2">
      <c r="A13" s="1" t="s">
        <v>20</v>
      </c>
      <c r="B13" s="1" t="s">
        <v>9</v>
      </c>
      <c r="C13" s="1">
        <v>50000</v>
      </c>
      <c r="D13" s="6">
        <f>C13/93%</f>
        <v>53763.440860215051</v>
      </c>
      <c r="E13" s="1" t="s">
        <v>26</v>
      </c>
      <c r="F13" s="2"/>
    </row>
    <row r="14" spans="1:6" x14ac:dyDescent="0.2">
      <c r="A14" s="1" t="s">
        <v>27</v>
      </c>
      <c r="B14" s="1" t="s">
        <v>28</v>
      </c>
      <c r="C14" s="1">
        <v>40000</v>
      </c>
      <c r="D14" s="6">
        <f t="shared" si="0"/>
        <v>42553.191489361707</v>
      </c>
      <c r="E14" s="1" t="s">
        <v>3</v>
      </c>
      <c r="F14" s="2"/>
    </row>
    <row r="15" spans="1:6" x14ac:dyDescent="0.2">
      <c r="A15" s="1" t="s">
        <v>29</v>
      </c>
      <c r="B15" s="1" t="s">
        <v>28</v>
      </c>
      <c r="C15" s="1">
        <v>50000</v>
      </c>
      <c r="D15" s="6">
        <f t="shared" si="0"/>
        <v>53191.48936170213</v>
      </c>
      <c r="E15" s="1" t="s">
        <v>3</v>
      </c>
      <c r="F15" s="2"/>
    </row>
    <row r="16" spans="1:6" x14ac:dyDescent="0.2">
      <c r="A16" s="1" t="s">
        <v>40</v>
      </c>
      <c r="B16" s="1" t="s">
        <v>31</v>
      </c>
      <c r="C16" s="1">
        <v>15000</v>
      </c>
      <c r="D16" s="6">
        <f t="shared" si="0"/>
        <v>15957.44680851064</v>
      </c>
      <c r="E16" s="1" t="s">
        <v>3</v>
      </c>
      <c r="F16" s="2"/>
    </row>
    <row r="17" spans="1:6" x14ac:dyDescent="0.2">
      <c r="A17" s="1" t="s">
        <v>30</v>
      </c>
      <c r="B17" s="1" t="s">
        <v>31</v>
      </c>
      <c r="C17" s="1">
        <v>35000</v>
      </c>
      <c r="D17" s="6">
        <f t="shared" si="0"/>
        <v>37234.042553191488</v>
      </c>
      <c r="E17" s="1" t="s">
        <v>3</v>
      </c>
      <c r="F17" s="2"/>
    </row>
    <row r="18" spans="1:6" x14ac:dyDescent="0.2">
      <c r="A18" s="1" t="s">
        <v>13</v>
      </c>
      <c r="B18" s="1" t="s">
        <v>12</v>
      </c>
      <c r="C18" s="1">
        <v>45000</v>
      </c>
      <c r="D18" s="6">
        <f t="shared" si="0"/>
        <v>47872.340425531918</v>
      </c>
      <c r="E18" s="1" t="s">
        <v>3</v>
      </c>
      <c r="F18" s="2"/>
    </row>
    <row r="19" spans="1:6" x14ac:dyDescent="0.2">
      <c r="A19" s="1" t="s">
        <v>14</v>
      </c>
      <c r="B19" s="1" t="s">
        <v>12</v>
      </c>
      <c r="C19" s="1">
        <v>35000</v>
      </c>
      <c r="D19" s="6">
        <f t="shared" si="0"/>
        <v>37234.042553191488</v>
      </c>
      <c r="E19" s="1" t="s">
        <v>3</v>
      </c>
      <c r="F19" s="2"/>
    </row>
    <row r="20" spans="1:6" x14ac:dyDescent="0.2">
      <c r="A20" s="1" t="s">
        <v>25</v>
      </c>
      <c r="B20" s="1" t="s">
        <v>24</v>
      </c>
      <c r="C20" s="1">
        <v>45000</v>
      </c>
      <c r="D20" s="6">
        <f>C20/93%</f>
        <v>48387.096774193546</v>
      </c>
      <c r="E20" s="1" t="s">
        <v>19</v>
      </c>
      <c r="F20" s="2"/>
    </row>
    <row r="21" spans="1:6" x14ac:dyDescent="0.2">
      <c r="A21" s="1" t="s">
        <v>15</v>
      </c>
      <c r="B21" s="1" t="s">
        <v>16</v>
      </c>
      <c r="C21" s="1">
        <v>30000</v>
      </c>
      <c r="D21" s="6">
        <f t="shared" si="0"/>
        <v>31914.89361702128</v>
      </c>
      <c r="E21" s="1" t="s">
        <v>3</v>
      </c>
      <c r="F21" s="1"/>
    </row>
    <row r="22" spans="1:6" x14ac:dyDescent="0.2">
      <c r="A22" s="1" t="s">
        <v>33</v>
      </c>
      <c r="B22" s="1" t="s">
        <v>32</v>
      </c>
      <c r="C22" s="1">
        <v>60000</v>
      </c>
      <c r="D22" s="6">
        <f t="shared" si="0"/>
        <v>63829.78723404256</v>
      </c>
      <c r="E22" s="1" t="s">
        <v>3</v>
      </c>
      <c r="F22" s="2"/>
    </row>
    <row r="23" spans="1:6" x14ac:dyDescent="0.2">
      <c r="A23" s="1" t="s">
        <v>43</v>
      </c>
      <c r="B23" s="1" t="s">
        <v>23</v>
      </c>
      <c r="C23" s="1">
        <v>60000</v>
      </c>
      <c r="D23" s="6">
        <f>C23/94%</f>
        <v>63829.78723404256</v>
      </c>
      <c r="E23" s="1" t="s">
        <v>19</v>
      </c>
      <c r="F23" s="2"/>
    </row>
    <row r="24" spans="1:6" x14ac:dyDescent="0.2">
      <c r="A24" s="1" t="s">
        <v>34</v>
      </c>
      <c r="B24" s="1" t="s">
        <v>23</v>
      </c>
      <c r="C24" s="1">
        <v>40000</v>
      </c>
      <c r="D24" s="6">
        <f t="shared" si="0"/>
        <v>42553.191489361707</v>
      </c>
      <c r="E24" s="1" t="s">
        <v>3</v>
      </c>
      <c r="F24" s="2"/>
    </row>
    <row r="25" spans="1:6" x14ac:dyDescent="0.2">
      <c r="A25" s="1" t="s">
        <v>35</v>
      </c>
      <c r="B25" s="1" t="s">
        <v>23</v>
      </c>
      <c r="C25" s="1">
        <v>40000</v>
      </c>
      <c r="D25" s="6">
        <f t="shared" si="0"/>
        <v>42553.191489361707</v>
      </c>
      <c r="E25" s="1" t="s">
        <v>3</v>
      </c>
      <c r="F25" s="2"/>
    </row>
    <row r="26" spans="1:6" x14ac:dyDescent="0.2">
      <c r="A26" s="1" t="s">
        <v>36</v>
      </c>
      <c r="B26" s="1" t="s">
        <v>23</v>
      </c>
      <c r="C26" s="1">
        <v>30000</v>
      </c>
      <c r="D26" s="6">
        <f t="shared" si="0"/>
        <v>31914.89361702128</v>
      </c>
      <c r="E26" s="1" t="s">
        <v>3</v>
      </c>
      <c r="F26" s="2"/>
    </row>
    <row r="27" spans="1:6" x14ac:dyDescent="0.2">
      <c r="A27" s="1" t="s">
        <v>37</v>
      </c>
      <c r="B27" s="1" t="s">
        <v>23</v>
      </c>
      <c r="C27" s="1">
        <v>40000</v>
      </c>
      <c r="D27" s="6">
        <f t="shared" si="0"/>
        <v>42553.191489361707</v>
      </c>
      <c r="E27" s="1" t="s">
        <v>3</v>
      </c>
      <c r="F27" s="2"/>
    </row>
    <row r="28" spans="1:6" x14ac:dyDescent="0.2">
      <c r="A28" s="1" t="s">
        <v>38</v>
      </c>
      <c r="B28" s="1" t="s">
        <v>23</v>
      </c>
      <c r="C28" s="1">
        <v>30000</v>
      </c>
      <c r="D28" s="6">
        <f t="shared" si="0"/>
        <v>31914.89361702128</v>
      </c>
      <c r="E28" s="1" t="s">
        <v>3</v>
      </c>
      <c r="F28" s="2"/>
    </row>
    <row r="29" spans="1:6" x14ac:dyDescent="0.2">
      <c r="A29" s="1" t="s">
        <v>44</v>
      </c>
      <c r="B29" s="1" t="s">
        <v>23</v>
      </c>
      <c r="C29" s="1">
        <v>40000</v>
      </c>
      <c r="D29" s="6">
        <f t="shared" si="0"/>
        <v>42553.191489361707</v>
      </c>
      <c r="E29" s="1" t="s">
        <v>3</v>
      </c>
      <c r="F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Щемелёв</dc:creator>
  <cp:lastModifiedBy>Евгений Щемелёв</cp:lastModifiedBy>
  <dcterms:created xsi:type="dcterms:W3CDTF">2023-12-14T14:58:32Z</dcterms:created>
  <dcterms:modified xsi:type="dcterms:W3CDTF">2023-12-22T11:54:49Z</dcterms:modified>
</cp:coreProperties>
</file>