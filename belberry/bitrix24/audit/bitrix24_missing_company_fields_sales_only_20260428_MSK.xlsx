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pro2kuror/Desktop/"/>
    </mc:Choice>
  </mc:AlternateContent>
  <xr:revisionPtr revIDLastSave="0" documentId="8_{E3F058A0-C0F7-F147-B139-F656815C3E00}" xr6:coauthVersionLast="47" xr6:coauthVersionMax="47" xr10:uidLastSave="{00000000-0000-0000-0000-000000000000}"/>
  <bookViews>
    <workbookView xWindow="0" yWindow="680" windowWidth="29400" windowHeight="17240" activeTab="1" xr2:uid="{00000000-000D-0000-FFFF-FFFF00000000}"/>
  </bookViews>
  <sheets>
    <sheet name="Сводка" sheetId="1" r:id="rId1"/>
    <sheet name="Продаж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<sst xmlns="http://schemas.openxmlformats.org/spreadsheetml/2006/main" count="148" uniqueCount="62">
  <si>
    <t>Отчёт</t>
  </si>
  <si>
    <t>Bitrix24: проблемные сделки только из воронки «Продажи»</t>
  </si>
  <si>
    <t>Источник</t>
  </si>
  <si>
    <t>/Users/pro2kuror/Desktop/architect/outputs/bitrix24_company_fields_20260428_MSK/bitrix24_missing_company_fields_20260428_MSK.xlsx</t>
  </si>
  <si>
    <t>Проблемных сделок в воронке «Продажи»</t>
  </si>
  <si>
    <t>Состав</t>
  </si>
  <si>
    <t>Сделки, где не заполнен ИНН компании или годовая выручка компании</t>
  </si>
  <si>
    <t>ID сделки</t>
  </si>
  <si>
    <t>Название сделки</t>
  </si>
  <si>
    <t>Ссылка на сделку в Bitrix24</t>
  </si>
  <si>
    <t>Воронка</t>
  </si>
  <si>
    <t>Текущая стадия</t>
  </si>
  <si>
    <t>Ответственный сотрудник</t>
  </si>
  <si>
    <t>ИНН заполнен: да/нет</t>
  </si>
  <si>
    <t>Годовая выручка заполнена: да/нет</t>
  </si>
  <si>
    <t>10844</t>
  </si>
  <si>
    <t>pro.market</t>
  </si>
  <si>
    <t>Продажи</t>
  </si>
  <si>
    <t>Догрев и переговоры</t>
  </si>
  <si>
    <t>Елизавета Деговцова</t>
  </si>
  <si>
    <t>нет</t>
  </si>
  <si>
    <t>10938</t>
  </si>
  <si>
    <t>sporttravma.org</t>
  </si>
  <si>
    <t>Подготовка КП</t>
  </si>
  <si>
    <t>да</t>
  </si>
  <si>
    <t>11412</t>
  </si>
  <si>
    <t>metriks.ru</t>
  </si>
  <si>
    <t>Подготовка БРИФа</t>
  </si>
  <si>
    <t>18484</t>
  </si>
  <si>
    <t>evromedika.ru</t>
  </si>
  <si>
    <t>Илья Смирнов</t>
  </si>
  <si>
    <t>20564</t>
  </si>
  <si>
    <t>flebolog-arm.ru</t>
  </si>
  <si>
    <t>23582</t>
  </si>
  <si>
    <t>idmed-clinic.ru</t>
  </si>
  <si>
    <t>23642</t>
  </si>
  <si>
    <t>natroshvili.ru</t>
  </si>
  <si>
    <t>23820</t>
  </si>
  <si>
    <t>Казимагомедов Казбек Низамиевич</t>
  </si>
  <si>
    <t>Квалификация</t>
  </si>
  <si>
    <t>23894</t>
  </si>
  <si>
    <t>romanov5.ru</t>
  </si>
  <si>
    <t>23898</t>
  </si>
  <si>
    <t>САУНОВА МАРИНА СТАНИСЛАВОВНА</t>
  </si>
  <si>
    <t>23916</t>
  </si>
  <si>
    <t>spasgan.ru</t>
  </si>
  <si>
    <t>23946</t>
  </si>
  <si>
    <t>panaceadoc.ru</t>
  </si>
  <si>
    <t>23976</t>
  </si>
  <si>
    <t>mnevnikident.ru</t>
  </si>
  <si>
    <t>23978</t>
  </si>
  <si>
    <t>ltvgroup.ru</t>
  </si>
  <si>
    <t>23980</t>
  </si>
  <si>
    <t>7 923 702-87-03 - Входящий звонок</t>
  </si>
  <si>
    <t>23988</t>
  </si>
  <si>
    <t>klinikapelya.ru</t>
  </si>
  <si>
    <t>23990</t>
  </si>
  <si>
    <t>Заявка с сайта Belberry от укецкуец 73452345345</t>
  </si>
  <si>
    <t>23996</t>
  </si>
  <si>
    <t>blagorc.ru</t>
  </si>
  <si>
    <t>24002</t>
  </si>
  <si>
    <t>Email | hello@belberry.net от ООО ВАЛЕД info@valed.ru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</si>
</sst>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2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Problems" displayName="SalesProblems" ref="A1:H20">
  <autoFilter ref="A1:H20" xr:uid="{00000000-0009-0000-0100-000001000000}"/>
  <tableColumns count="8">
    <tableColumn id="1" xr3:uid="{00000000-0010-0000-0000-000001000000}" name="ID сделки"/>
    <tableColumn id="2" xr3:uid="{00000000-0010-0000-0000-000002000000}" name="Название сделки"/>
    <tableColumn id="3" xr3:uid="{00000000-0010-0000-0000-000003000000}" name="Ссылка на сделку в Bitrix24"/>
    <tableColumn id="4" xr3:uid="{00000000-0010-0000-0000-000004000000}" name="Воронка"/>
    <tableColumn id="5" xr3:uid="{00000000-0010-0000-0000-000005000000}" name="Текущая стадия"/>
    <tableColumn id="6" xr3:uid="{00000000-0010-0000-0000-000006000000}" name="Ответственный сотрудник"/>
    <tableColumn id="7" xr3:uid="{00000000-0010-0000-0000-000007000000}" name="ИНН заполнен: да/нет"/>
    <tableColumn id="8" xr3:uid="{00000000-0010-0000-0000-000008000000}" name="Годовая выручка заполнена: да/не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baseColWidth="10" defaultColWidth="8.83203125" defaultRowHeight="15" x14ac:dyDescent="0.2"/>
  <cols>
    <col min="1" max="1" width="42" customWidth="1"/>
    <col min="2" max="2" width="110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 t="s">
        <v>2</v>
      </c>
      <c r="B2" t="s">
        <v>3</v>
      </c>
    </row>
    <row r="3" spans="1:2" x14ac:dyDescent="0.2">
      <c r="A3" s="4" t="s">
        <v>4</v>
      </c>
      <c r="B3" s="5">
        <v>19</v>
      </c>
    </row>
    <row r="4" spans="1:2" x14ac:dyDescent="0.2">
      <c r="A4" s="3" t="s">
        <v>5</v>
      </c>
      <c r="B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12" customWidth="1"/>
    <col min="2" max="2" width="42" customWidth="1"/>
    <col min="3" max="3" width="58" customWidth="1"/>
    <col min="4" max="4" width="18" customWidth="1"/>
    <col min="5" max="6" width="28" customWidth="1"/>
    <col min="7" max="7" width="22" customWidth="1"/>
    <col min="8" max="8" width="30" customWidth="1"/>
  </cols>
  <sheetData>
    <row r="1" spans="1:8" ht="16" x14ac:dyDescent="0.2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</row>
    <row r="2" spans="1:8" ht="16" x14ac:dyDescent="0.2">
      <c r="A2" s="7" t="s">
        <v>15</v>
      </c>
      <c r="B2" s="7" t="s">
        <v>16</v>
      </c>
      <c r="C2" s="8" t="str">
        <f>HYPERLINK("https://belberrycrm.bitrix24.ru/crm/deal/details/10844/","https://belberrycrm.bitrix24.ru/crm/deal/details/10844/")</f>
        <v>https://belberrycrm.bitrix24.ru/crm/deal/details/10844/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20</v>
      </c>
    </row>
    <row r="3" spans="1:8" ht="16" x14ac:dyDescent="0.2">
      <c r="A3" s="7" t="s">
        <v>21</v>
      </c>
      <c r="B3" s="7" t="s">
        <v>22</v>
      </c>
      <c r="C3" s="8" t="str">
        <f>HYPERLINK("https://belberrycrm.bitrix24.ru/crm/deal/details/10938/","https://belberrycrm.bitrix24.ru/crm/deal/details/10938/")</f>
        <v>https://belberrycrm.bitrix24.ru/crm/deal/details/10938/</v>
      </c>
      <c r="D3" s="7" t="s">
        <v>17</v>
      </c>
      <c r="E3" s="7" t="s">
        <v>23</v>
      </c>
      <c r="F3" s="7" t="s">
        <v>19</v>
      </c>
      <c r="G3" s="7" t="s">
        <v>24</v>
      </c>
      <c r="H3" s="7" t="s">
        <v>20</v>
      </c>
    </row>
    <row r="4" spans="1:8" ht="16" x14ac:dyDescent="0.2">
      <c r="A4" s="7" t="s">
        <v>25</v>
      </c>
      <c r="B4" s="7" t="s">
        <v>26</v>
      </c>
      <c r="C4" s="8" t="str">
        <f>HYPERLINK("https://belberrycrm.bitrix24.ru/crm/deal/details/11412/","https://belberrycrm.bitrix24.ru/crm/deal/details/11412/")</f>
        <v>https://belberrycrm.bitrix24.ru/crm/deal/details/11412/</v>
      </c>
      <c r="D4" s="7" t="s">
        <v>17</v>
      </c>
      <c r="E4" s="7" t="s">
        <v>27</v>
      </c>
      <c r="F4" s="7" t="s">
        <v>19</v>
      </c>
      <c r="G4" s="7" t="s">
        <v>24</v>
      </c>
      <c r="H4" s="7" t="s">
        <v>20</v>
      </c>
    </row>
    <row r="5" spans="1:8" ht="16" x14ac:dyDescent="0.2">
      <c r="A5" s="7" t="s">
        <v>28</v>
      </c>
      <c r="B5" s="7" t="s">
        <v>29</v>
      </c>
      <c r="C5" s="8" t="str">
        <f>HYPERLINK("https://belberrycrm.bitrix24.ru/crm/deal/details/18484/","https://belberrycrm.bitrix24.ru/crm/deal/details/18484/")</f>
        <v>https://belberrycrm.bitrix24.ru/crm/deal/details/18484/</v>
      </c>
      <c r="D5" s="7" t="s">
        <v>17</v>
      </c>
      <c r="E5" s="7" t="s">
        <v>18</v>
      </c>
      <c r="F5" s="7" t="s">
        <v>30</v>
      </c>
      <c r="G5" s="7" t="s">
        <v>24</v>
      </c>
      <c r="H5" s="7" t="s">
        <v>20</v>
      </c>
    </row>
    <row r="6" spans="1:8" ht="16" x14ac:dyDescent="0.2">
      <c r="A6" s="7" t="s">
        <v>31</v>
      </c>
      <c r="B6" s="7" t="s">
        <v>32</v>
      </c>
      <c r="C6" s="8" t="str">
        <f>HYPERLINK("https://belberrycrm.bitrix24.ru/crm/deal/details/20564/","https://belberrycrm.bitrix24.ru/crm/deal/details/20564/")</f>
        <v>https://belberrycrm.bitrix24.ru/crm/deal/details/20564/</v>
      </c>
      <c r="D6" s="7" t="s">
        <v>17</v>
      </c>
      <c r="E6" s="7" t="s">
        <v>18</v>
      </c>
      <c r="F6" s="7" t="s">
        <v>30</v>
      </c>
      <c r="G6" s="7" t="s">
        <v>20</v>
      </c>
      <c r="H6" s="7" t="s">
        <v>20</v>
      </c>
    </row>
    <row r="7" spans="1:8" ht="16" x14ac:dyDescent="0.2">
      <c r="A7" s="7" t="s">
        <v>33</v>
      </c>
      <c r="B7" s="7" t="s">
        <v>34</v>
      </c>
      <c r="C7" s="8" t="str">
        <f>HYPERLINK("https://belberrycrm.bitrix24.ru/crm/deal/details/23582/","https://belberrycrm.bitrix24.ru/crm/deal/details/23582/")</f>
        <v>https://belberrycrm.bitrix24.ru/crm/deal/details/23582/</v>
      </c>
      <c r="D7" s="7" t="s">
        <v>17</v>
      </c>
      <c r="E7" s="7" t="s">
        <v>23</v>
      </c>
      <c r="F7" s="7" t="s">
        <v>30</v>
      </c>
      <c r="G7" s="7" t="s">
        <v>20</v>
      </c>
      <c r="H7" s="7" t="s">
        <v>20</v>
      </c>
    </row>
    <row r="8" spans="1:8" ht="16" x14ac:dyDescent="0.2">
      <c r="A8" s="7" t="s">
        <v>35</v>
      </c>
      <c r="B8" s="7" t="s">
        <v>36</v>
      </c>
      <c r="C8" s="8" t="str">
        <f>HYPERLINK("https://belberrycrm.bitrix24.ru/crm/deal/details/23642/","https://belberrycrm.bitrix24.ru/crm/deal/details/23642/")</f>
        <v>https://belberrycrm.bitrix24.ru/crm/deal/details/23642/</v>
      </c>
      <c r="D8" s="7" t="s">
        <v>17</v>
      </c>
      <c r="E8" s="7" t="s">
        <v>18</v>
      </c>
      <c r="F8" s="7" t="s">
        <v>30</v>
      </c>
      <c r="G8" s="7" t="s">
        <v>24</v>
      </c>
      <c r="H8" s="7" t="s">
        <v>20</v>
      </c>
    </row>
    <row r="9" spans="1:8" ht="16" x14ac:dyDescent="0.2">
      <c r="A9" s="7" t="s">
        <v>37</v>
      </c>
      <c r="B9" s="7" t="s">
        <v>38</v>
      </c>
      <c r="C9" s="8" t="str">
        <f>HYPERLINK("https://belberrycrm.bitrix24.ru/crm/deal/details/23820/","https://belberrycrm.bitrix24.ru/crm/deal/details/23820/")</f>
        <v>https://belberrycrm.bitrix24.ru/crm/deal/details/23820/</v>
      </c>
      <c r="D9" s="7" t="s">
        <v>17</v>
      </c>
      <c r="E9" s="7" t="s">
        <v>39</v>
      </c>
      <c r="F9" s="7" t="s">
        <v>30</v>
      </c>
      <c r="G9" s="7" t="s">
        <v>20</v>
      </c>
      <c r="H9" s="7" t="s">
        <v>20</v>
      </c>
    </row>
    <row r="10" spans="1:8" ht="16" x14ac:dyDescent="0.2">
      <c r="A10" s="7" t="s">
        <v>40</v>
      </c>
      <c r="B10" s="7" t="s">
        <v>41</v>
      </c>
      <c r="C10" s="8" t="str">
        <f>HYPERLINK("https://belberrycrm.bitrix24.ru/crm/deal/details/23894/","https://belberrycrm.bitrix24.ru/crm/deal/details/23894/")</f>
        <v>https://belberrycrm.bitrix24.ru/crm/deal/details/23894/</v>
      </c>
      <c r="D10" s="7" t="s">
        <v>17</v>
      </c>
      <c r="E10" s="7" t="s">
        <v>23</v>
      </c>
      <c r="F10" s="7" t="s">
        <v>19</v>
      </c>
      <c r="G10" s="7" t="s">
        <v>20</v>
      </c>
      <c r="H10" s="7" t="s">
        <v>20</v>
      </c>
    </row>
    <row r="11" spans="1:8" ht="16" x14ac:dyDescent="0.2">
      <c r="A11" s="7" t="s">
        <v>42</v>
      </c>
      <c r="B11" s="7" t="s">
        <v>43</v>
      </c>
      <c r="C11" s="8" t="str">
        <f>HYPERLINK("https://belberrycrm.bitrix24.ru/crm/deal/details/23898/","https://belberrycrm.bitrix24.ru/crm/deal/details/23898/")</f>
        <v>https://belberrycrm.bitrix24.ru/crm/deal/details/23898/</v>
      </c>
      <c r="D11" s="7" t="s">
        <v>17</v>
      </c>
      <c r="E11" s="7" t="s">
        <v>23</v>
      </c>
      <c r="F11" s="7" t="s">
        <v>30</v>
      </c>
      <c r="G11" s="7" t="s">
        <v>20</v>
      </c>
      <c r="H11" s="7" t="s">
        <v>20</v>
      </c>
    </row>
    <row r="12" spans="1:8" ht="16" x14ac:dyDescent="0.2">
      <c r="A12" s="7" t="s">
        <v>44</v>
      </c>
      <c r="B12" s="7" t="s">
        <v>45</v>
      </c>
      <c r="C12" s="8" t="str">
        <f>HYPERLINK("https://belberrycrm.bitrix24.ru/crm/deal/details/23916/","https://belberrycrm.bitrix24.ru/crm/deal/details/23916/")</f>
        <v>https://belberrycrm.bitrix24.ru/crm/deal/details/23916/</v>
      </c>
      <c r="D12" s="7" t="s">
        <v>17</v>
      </c>
      <c r="E12" s="7" t="s">
        <v>39</v>
      </c>
      <c r="F12" s="7" t="s">
        <v>30</v>
      </c>
      <c r="G12" s="7" t="s">
        <v>20</v>
      </c>
      <c r="H12" s="7" t="s">
        <v>20</v>
      </c>
    </row>
    <row r="13" spans="1:8" ht="16" x14ac:dyDescent="0.2">
      <c r="A13" s="7" t="s">
        <v>46</v>
      </c>
      <c r="B13" s="7" t="s">
        <v>47</v>
      </c>
      <c r="C13" s="8" t="str">
        <f>HYPERLINK("https://belberrycrm.bitrix24.ru/crm/deal/details/23946/","https://belberrycrm.bitrix24.ru/crm/deal/details/23946/")</f>
        <v>https://belberrycrm.bitrix24.ru/crm/deal/details/23946/</v>
      </c>
      <c r="D13" s="7" t="s">
        <v>17</v>
      </c>
      <c r="E13" s="7" t="s">
        <v>39</v>
      </c>
      <c r="F13" s="7" t="s">
        <v>30</v>
      </c>
      <c r="G13" s="7" t="s">
        <v>20</v>
      </c>
      <c r="H13" s="7" t="s">
        <v>20</v>
      </c>
    </row>
    <row r="14" spans="1:8" ht="16" x14ac:dyDescent="0.2">
      <c r="A14" s="7" t="s">
        <v>48</v>
      </c>
      <c r="B14" s="7" t="s">
        <v>49</v>
      </c>
      <c r="C14" s="8" t="str">
        <f>HYPERLINK("https://belberrycrm.bitrix24.ru/crm/deal/details/23976/","https://belberrycrm.bitrix24.ru/crm/deal/details/23976/")</f>
        <v>https://belberrycrm.bitrix24.ru/crm/deal/details/23976/</v>
      </c>
      <c r="D14" s="7" t="s">
        <v>17</v>
      </c>
      <c r="E14" s="7" t="s">
        <v>39</v>
      </c>
      <c r="F14" s="7" t="s">
        <v>19</v>
      </c>
      <c r="G14" s="7" t="s">
        <v>20</v>
      </c>
      <c r="H14" s="7" t="s">
        <v>20</v>
      </c>
    </row>
    <row r="15" spans="1:8" ht="16" x14ac:dyDescent="0.2">
      <c r="A15" s="7" t="s">
        <v>50</v>
      </c>
      <c r="B15" s="7" t="s">
        <v>51</v>
      </c>
      <c r="C15" s="8" t="str">
        <f>HYPERLINK("https://belberrycrm.bitrix24.ru/crm/deal/details/23978/","https://belberrycrm.bitrix24.ru/crm/deal/details/23978/")</f>
        <v>https://belberrycrm.bitrix24.ru/crm/deal/details/23978/</v>
      </c>
      <c r="D15" s="7" t="s">
        <v>17</v>
      </c>
      <c r="E15" s="7" t="s">
        <v>39</v>
      </c>
      <c r="F15" s="7" t="s">
        <v>19</v>
      </c>
      <c r="G15" s="7" t="s">
        <v>20</v>
      </c>
      <c r="H15" s="7" t="s">
        <v>20</v>
      </c>
    </row>
    <row r="16" spans="1:8" ht="16" x14ac:dyDescent="0.2">
      <c r="A16" s="7" t="s">
        <v>52</v>
      </c>
      <c r="B16" s="7" t="s">
        <v>53</v>
      </c>
      <c r="C16" s="8" t="str">
        <f>HYPERLINK("https://belberrycrm.bitrix24.ru/crm/deal/details/23980/","https://belberrycrm.bitrix24.ru/crm/deal/details/23980/")</f>
        <v>https://belberrycrm.bitrix24.ru/crm/deal/details/23980/</v>
      </c>
      <c r="D16" s="7" t="s">
        <v>17</v>
      </c>
      <c r="E16" s="7" t="s">
        <v>39</v>
      </c>
      <c r="F16" s="7" t="s">
        <v>30</v>
      </c>
      <c r="G16" s="7" t="s">
        <v>20</v>
      </c>
      <c r="H16" s="7" t="s">
        <v>20</v>
      </c>
    </row>
    <row r="17" spans="1:8" ht="16" x14ac:dyDescent="0.2">
      <c r="A17" s="7" t="s">
        <v>54</v>
      </c>
      <c r="B17" s="7" t="s">
        <v>55</v>
      </c>
      <c r="C17" s="8" t="str">
        <f>HYPERLINK("https://belberrycrm.bitrix24.ru/crm/deal/details/23988/","https://belberrycrm.bitrix24.ru/crm/deal/details/23988/")</f>
        <v>https://belberrycrm.bitrix24.ru/crm/deal/details/23988/</v>
      </c>
      <c r="D17" s="7" t="s">
        <v>17</v>
      </c>
      <c r="E17" s="7" t="s">
        <v>27</v>
      </c>
      <c r="F17" s="7" t="s">
        <v>30</v>
      </c>
      <c r="G17" s="7" t="s">
        <v>20</v>
      </c>
      <c r="H17" s="7" t="s">
        <v>20</v>
      </c>
    </row>
    <row r="18" spans="1:8" ht="16" x14ac:dyDescent="0.2">
      <c r="A18" s="7" t="s">
        <v>56</v>
      </c>
      <c r="B18" s="7" t="s">
        <v>57</v>
      </c>
      <c r="C18" s="8" t="str">
        <f>HYPERLINK("https://belberrycrm.bitrix24.ru/crm/deal/details/23990/","https://belberrycrm.bitrix24.ru/crm/deal/details/23990/")</f>
        <v>https://belberrycrm.bitrix24.ru/crm/deal/details/23990/</v>
      </c>
      <c r="D18" s="7" t="s">
        <v>17</v>
      </c>
      <c r="E18" s="7" t="s">
        <v>39</v>
      </c>
      <c r="F18" s="7" t="s">
        <v>19</v>
      </c>
      <c r="G18" s="7" t="s">
        <v>20</v>
      </c>
      <c r="H18" s="7" t="s">
        <v>20</v>
      </c>
    </row>
    <row r="19" spans="1:8" ht="16" x14ac:dyDescent="0.2">
      <c r="A19" s="7" t="s">
        <v>58</v>
      </c>
      <c r="B19" s="7" t="s">
        <v>59</v>
      </c>
      <c r="C19" s="8" t="str">
        <f>HYPERLINK("https://belberrycrm.bitrix24.ru/crm/deal/details/23996/","https://belberrycrm.bitrix24.ru/crm/deal/details/23996/")</f>
        <v>https://belberrycrm.bitrix24.ru/crm/deal/details/23996/</v>
      </c>
      <c r="D19" s="7" t="s">
        <v>17</v>
      </c>
      <c r="E19" s="7" t="s">
        <v>27</v>
      </c>
      <c r="F19" s="7" t="s">
        <v>30</v>
      </c>
      <c r="G19" s="7" t="s">
        <v>20</v>
      </c>
      <c r="H19" s="7" t="s">
        <v>20</v>
      </c>
    </row>
    <row r="20" spans="1:8" ht="32" x14ac:dyDescent="0.2">
      <c r="A20" s="7" t="s">
        <v>60</v>
      </c>
      <c r="B20" s="7" t="s">
        <v>61</v>
      </c>
      <c r="C20" s="8" t="str">
        <f>HYPERLINK("https://belberrycrm.bitrix24.ru/crm/deal/details/24002/","https://belberrycrm.bitrix24.ru/crm/deal/details/24002/")</f>
        <v>https://belberrycrm.bitrix24.ru/crm/deal/details/24002/</v>
      </c>
      <c r="D20" s="7" t="s">
        <v>17</v>
      </c>
      <c r="E20" s="7" t="s">
        <v>39</v>
      </c>
      <c r="F20" s="7" t="s">
        <v>19</v>
      </c>
      <c r="G20" s="7" t="s">
        <v>20</v>
      </c>
      <c r="H20" s="7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Сводка</vt:lpstr>
      <vt:lpstr>Продажи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Evgeny Shchemelev</cp:lastModifiedBy>
  <dcterms:created xsi:type="dcterms:W3CDTF">2026-04-28T09:45:24Z</dcterms:created>
  <dcterms:modified xsi:type="dcterms:W3CDTF">2026-04-28T09:46:35Z</dcterms:modified>
</cp:coreProperties>
</file>