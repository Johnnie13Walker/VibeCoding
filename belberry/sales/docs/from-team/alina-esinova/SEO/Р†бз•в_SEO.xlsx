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11760" activeTab="2"/>
  </bookViews>
  <sheets>
    <sheet name="Файл от сео" sheetId="6" r:id="rId1"/>
    <sheet name="Расчет бюджета" sheetId="4" r:id="rId2"/>
    <sheet name="Для клиента" sheetId="5" r:id="rId3"/>
  </sheets>
  <calcPr calcId="124519"/>
</workbook>
</file>

<file path=xl/calcChain.xml><?xml version="1.0" encoding="utf-8"?>
<calcChain xmlns="http://schemas.openxmlformats.org/spreadsheetml/2006/main">
  <c r="F15" i="6"/>
  <c r="C15"/>
  <c r="B15"/>
  <c r="D31" i="5" l="1"/>
  <c r="E30" i="4"/>
  <c r="E32" l="1"/>
  <c r="H28"/>
  <c r="K28" s="1"/>
  <c r="G28"/>
  <c r="J28" s="1"/>
  <c r="F28"/>
  <c r="I28" s="1"/>
  <c r="H27"/>
  <c r="K27" s="1"/>
  <c r="G27"/>
  <c r="J27" s="1"/>
  <c r="F27"/>
  <c r="I27" s="1"/>
  <c r="H26"/>
  <c r="K26" s="1"/>
  <c r="G26"/>
  <c r="J26" s="1"/>
  <c r="F26"/>
  <c r="I26" s="1"/>
  <c r="H25"/>
  <c r="K25" s="1"/>
  <c r="G25"/>
  <c r="J25" s="1"/>
  <c r="F25"/>
  <c r="I25" s="1"/>
  <c r="H24"/>
  <c r="K24" s="1"/>
  <c r="G24"/>
  <c r="J24" s="1"/>
  <c r="F24"/>
  <c r="I24" s="1"/>
  <c r="H23"/>
  <c r="K23" s="1"/>
  <c r="G23"/>
  <c r="J23" s="1"/>
  <c r="F23"/>
  <c r="I23" s="1"/>
  <c r="H22"/>
  <c r="K22" s="1"/>
  <c r="G22"/>
  <c r="J22" s="1"/>
  <c r="F22"/>
  <c r="I22" s="1"/>
  <c r="H21"/>
  <c r="K21" s="1"/>
  <c r="G21"/>
  <c r="J21" s="1"/>
  <c r="F21"/>
  <c r="I21" s="1"/>
  <c r="H20"/>
  <c r="K20" s="1"/>
  <c r="G20"/>
  <c r="J20" s="1"/>
  <c r="F20"/>
  <c r="I20" s="1"/>
  <c r="H19"/>
  <c r="G19"/>
  <c r="F19"/>
  <c r="K19" l="1"/>
  <c r="K30" s="1"/>
  <c r="H30"/>
  <c r="G30"/>
  <c r="F30"/>
  <c r="J19"/>
  <c r="J30" s="1"/>
  <c r="I19"/>
  <c r="I30" s="1"/>
</calcChain>
</file>

<file path=xl/sharedStrings.xml><?xml version="1.0" encoding="utf-8"?>
<sst xmlns="http://schemas.openxmlformats.org/spreadsheetml/2006/main" count="118" uniqueCount="37">
  <si>
    <t>Фраза</t>
  </si>
  <si>
    <t>Базовая частота</t>
  </si>
  <si>
    <t>Яндекс</t>
  </si>
  <si>
    <t>Google</t>
  </si>
  <si>
    <t>Бюджет (SEOPult)</t>
  </si>
  <si>
    <t>ТОП 10</t>
  </si>
  <si>
    <t>ТОП 5</t>
  </si>
  <si>
    <t>ТОП 3</t>
  </si>
  <si>
    <t>проекты бань из бруса</t>
  </si>
  <si>
    <t>одноэтажные дома из бруса</t>
  </si>
  <si>
    <t>дом из бруса цена</t>
  </si>
  <si>
    <t>дома из бруса недорого</t>
  </si>
  <si>
    <t>дом из бруса проекты и цены</t>
  </si>
  <si>
    <t>купить дом из бруса</t>
  </si>
  <si>
    <t>проекты одноэтажных домов из бруса</t>
  </si>
  <si>
    <t>дома из профилированного бруса проекты и цены</t>
  </si>
  <si>
    <t>Базовый платеж</t>
  </si>
  <si>
    <t>Сайт</t>
  </si>
  <si>
    <t>Базовый платеж (без НДС)</t>
  </si>
  <si>
    <t>Максимальная премия (без НДС)</t>
  </si>
  <si>
    <t>Регион</t>
  </si>
  <si>
    <t>Кострома</t>
  </si>
  <si>
    <t>№</t>
  </si>
  <si>
    <t>Запрос</t>
  </si>
  <si>
    <t>Частотность</t>
  </si>
  <si>
    <t>Итого:</t>
  </si>
  <si>
    <t>Позиция Яндекс</t>
  </si>
  <si>
    <t>Позиция Google</t>
  </si>
  <si>
    <t>--</t>
  </si>
  <si>
    <t>дома из бруса под ключ недорого</t>
  </si>
  <si>
    <t>готовые дома из бруса</t>
  </si>
  <si>
    <t>Базовая частота [YW]</t>
  </si>
  <si>
    <t>Частота " " [YW]</t>
  </si>
  <si>
    <t>Стоимость/руб.</t>
  </si>
  <si>
    <t>noname.ru</t>
  </si>
  <si>
    <r>
      <rPr>
        <b/>
        <sz val="11"/>
        <color theme="1"/>
        <rFont val="Calibri"/>
        <family val="2"/>
        <charset val="204"/>
        <scheme val="minor"/>
      </rPr>
      <t>Таблица для расчета бюджета по сео.</t>
    </r>
    <r>
      <rPr>
        <sz val="11"/>
        <color theme="1"/>
        <rFont val="Calibri"/>
        <family val="2"/>
        <charset val="204"/>
        <scheme val="minor"/>
      </rPr>
      <t xml:space="preserve"> Переносим из файла от сео такие данные, как Фраза, Базовая частота, Бюджет (SeoPult). </t>
    </r>
    <r>
      <rPr>
        <b/>
        <sz val="11"/>
        <color theme="1"/>
        <rFont val="Calibri"/>
        <family val="2"/>
        <charset val="204"/>
        <scheme val="minor"/>
      </rPr>
      <t>Бюджет (SeoPult)</t>
    </r>
    <r>
      <rPr>
        <sz val="11"/>
        <color theme="1"/>
        <rFont val="Calibri"/>
        <family val="2"/>
        <charset val="204"/>
        <scheme val="minor"/>
      </rPr>
      <t xml:space="preserve"> - минимальная стоимость для Москвы 150 руб, для других городов - 100 руб. Далее автоматически рассчитывается по формулам. Нужно ввести данные в первую таблицу. Сайт - домен, Базовый платеж - округляем в большую сторону до сотен. Максимальная премия = (Итого по ТОП 3 Яндекс + Итого по ТОП3 Google) * 30. Максимальную премию округляем аналогично - в большую сторону до сотен. Регион - регион продивжения. Данная таблица рассчитывается под каждый регион отдельно.</t>
    </r>
    <r>
      <rPr>
        <b/>
        <sz val="11"/>
        <color theme="1"/>
        <rFont val="Calibri"/>
        <family val="2"/>
        <charset val="204"/>
        <scheme val="minor"/>
      </rPr>
      <t xml:space="preserve"> Внимание!</t>
    </r>
    <r>
      <rPr>
        <sz val="11"/>
        <color theme="1"/>
        <rFont val="Calibri"/>
        <family val="2"/>
        <charset val="204"/>
        <scheme val="minor"/>
      </rPr>
      <t xml:space="preserve"> Для Москвы и других городов-миллионников минимальный базовый платеж 21 000 руб., для Костромы и других не городов-миллионнников минимальный бюджет 15 000 руб. </t>
    </r>
  </si>
  <si>
    <r>
      <rPr>
        <b/>
        <sz val="11"/>
        <color theme="1"/>
        <rFont val="Calibri"/>
        <family val="2"/>
        <charset val="204"/>
        <scheme val="minor"/>
      </rPr>
      <t xml:space="preserve">Таблица для клиента. </t>
    </r>
    <r>
      <rPr>
        <sz val="11"/>
        <color theme="1"/>
        <rFont val="Calibri"/>
        <family val="2"/>
        <charset val="204"/>
        <scheme val="minor"/>
      </rPr>
      <t xml:space="preserve">Переносим все данные из предыдущей таблицы, но </t>
    </r>
    <r>
      <rPr>
        <b/>
        <sz val="11"/>
        <color theme="1"/>
        <rFont val="Calibri"/>
        <family val="2"/>
        <charset val="204"/>
        <scheme val="minor"/>
      </rPr>
      <t>БЕЗ ФОРМУЛ!</t>
    </r>
    <r>
      <rPr>
        <sz val="11"/>
        <color theme="1"/>
        <rFont val="Calibri"/>
        <family val="2"/>
        <charset val="204"/>
        <scheme val="minor"/>
      </rPr>
      <t xml:space="preserve"> Можно все данные, где есть формулы скопировать в блокнот и оттуда скопировать повторно в эту таблицу. Также здесь нужно отразить данные по позициям сайта на данный момент, если он есть. Данные нужно взять из таблицы Файл от сео. Позиции Яндекс и Google нужно окрасить в зависимости от значения ячейки, а именно: 1-10 зеленая ячейка, 11-50 желтая, 51 и выше крастная (с помощью условного форматирования).</t>
    </r>
  </si>
</sst>
</file>

<file path=xl/styles.xml><?xml version="1.0" encoding="utf-8"?>
<styleSheet xmlns="http://schemas.openxmlformats.org/spreadsheetml/2006/main">
  <numFmts count="3">
    <numFmt numFmtId="8" formatCode="#,##0.00\ &quot;₽&quot;;[Red]\-#,##0.00\ &quot;₽&quot;"/>
    <numFmt numFmtId="164" formatCode="#,##0.00\ &quot;₽&quot;"/>
    <numFmt numFmtId="165" formatCode="#,##0.00\ _₽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D3D3D3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0" xfId="0" applyFill="1"/>
    <xf numFmtId="0" fontId="1" fillId="0" borderId="0" xfId="0" applyFont="1"/>
    <xf numFmtId="165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65" fontId="3" fillId="2" borderId="1" xfId="0" applyNumberFormat="1" applyFont="1" applyFill="1" applyBorder="1"/>
    <xf numFmtId="8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8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right" vertical="center"/>
    </xf>
    <xf numFmtId="0" fontId="0" fillId="0" borderId="3" xfId="0" applyBorder="1" applyAlignment="1"/>
    <xf numFmtId="0" fontId="0" fillId="0" borderId="4" xfId="0" applyBorder="1" applyAlignment="1"/>
    <xf numFmtId="164" fontId="1" fillId="0" borderId="2" xfId="0" applyNumberFormat="1" applyFont="1" applyBorder="1" applyAlignment="1">
      <alignment horizontal="right" vertical="center"/>
    </xf>
    <xf numFmtId="164" fontId="0" fillId="0" borderId="3" xfId="0" applyNumberFormat="1" applyBorder="1" applyAlignment="1"/>
    <xf numFmtId="164" fontId="0" fillId="0" borderId="4" xfId="0" applyNumberFormat="1" applyBorder="1" applyAlignment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 wrapText="1"/>
    </xf>
    <xf numFmtId="165" fontId="2" fillId="3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A11" sqref="A11"/>
    </sheetView>
  </sheetViews>
  <sheetFormatPr defaultRowHeight="15"/>
  <cols>
    <col min="1" max="1" width="48.28515625" bestFit="1" customWidth="1"/>
    <col min="2" max="2" width="20.5703125" bestFit="1" customWidth="1"/>
    <col min="3" max="4" width="16" bestFit="1" customWidth="1"/>
    <col min="5" max="5" width="15.7109375" bestFit="1" customWidth="1"/>
    <col min="6" max="6" width="15.5703125" bestFit="1" customWidth="1"/>
  </cols>
  <sheetData>
    <row r="1" spans="1:6">
      <c r="A1" s="19" t="s">
        <v>0</v>
      </c>
      <c r="B1" s="20" t="s">
        <v>31</v>
      </c>
      <c r="C1" s="20" t="s">
        <v>32</v>
      </c>
      <c r="D1" s="20" t="s">
        <v>26</v>
      </c>
      <c r="E1" s="20" t="s">
        <v>27</v>
      </c>
      <c r="F1" s="20" t="s">
        <v>33</v>
      </c>
    </row>
    <row r="2" spans="1:6">
      <c r="A2" s="1" t="s">
        <v>9</v>
      </c>
      <c r="B2" s="18">
        <v>5331</v>
      </c>
      <c r="C2" s="18">
        <v>760</v>
      </c>
      <c r="D2" s="18" t="s">
        <v>28</v>
      </c>
      <c r="E2" s="18" t="s">
        <v>28</v>
      </c>
      <c r="F2" s="18">
        <v>270</v>
      </c>
    </row>
    <row r="3" spans="1:6">
      <c r="A3" s="1" t="s">
        <v>29</v>
      </c>
      <c r="B3" s="18">
        <v>11118</v>
      </c>
      <c r="C3" s="18">
        <v>545</v>
      </c>
      <c r="D3" s="18" t="s">
        <v>28</v>
      </c>
      <c r="E3" s="18" t="s">
        <v>28</v>
      </c>
      <c r="F3" s="18">
        <v>1000</v>
      </c>
    </row>
    <row r="4" spans="1:6">
      <c r="A4" s="1" t="s">
        <v>8</v>
      </c>
      <c r="B4" s="18">
        <v>4758</v>
      </c>
      <c r="C4" s="18">
        <v>475</v>
      </c>
      <c r="D4" s="18" t="s">
        <v>28</v>
      </c>
      <c r="E4" s="18" t="s">
        <v>28</v>
      </c>
      <c r="F4" s="18">
        <v>410</v>
      </c>
    </row>
    <row r="5" spans="1:6">
      <c r="A5" s="1" t="s">
        <v>15</v>
      </c>
      <c r="B5" s="18">
        <v>1039</v>
      </c>
      <c r="C5" s="18">
        <v>457</v>
      </c>
      <c r="D5" s="18" t="s">
        <v>28</v>
      </c>
      <c r="E5" s="18" t="s">
        <v>28</v>
      </c>
      <c r="F5" s="18">
        <v>150</v>
      </c>
    </row>
    <row r="6" spans="1:6">
      <c r="A6" s="1" t="s">
        <v>13</v>
      </c>
      <c r="B6" s="18">
        <v>4881</v>
      </c>
      <c r="C6" s="18">
        <v>435</v>
      </c>
      <c r="D6" s="18" t="s">
        <v>28</v>
      </c>
      <c r="E6" s="18" t="s">
        <v>28</v>
      </c>
      <c r="F6" s="18">
        <v>330</v>
      </c>
    </row>
    <row r="7" spans="1:6">
      <c r="A7" s="1" t="s">
        <v>12</v>
      </c>
      <c r="B7" s="18">
        <v>17104</v>
      </c>
      <c r="C7" s="18">
        <v>383</v>
      </c>
      <c r="D7" s="18" t="s">
        <v>28</v>
      </c>
      <c r="E7" s="18" t="s">
        <v>28</v>
      </c>
      <c r="F7" s="18">
        <v>150</v>
      </c>
    </row>
    <row r="8" spans="1:6">
      <c r="A8" s="1" t="s">
        <v>11</v>
      </c>
      <c r="B8" s="18">
        <v>13046</v>
      </c>
      <c r="C8" s="18">
        <v>365</v>
      </c>
      <c r="D8" s="18" t="s">
        <v>28</v>
      </c>
      <c r="E8" s="18" t="s">
        <v>28</v>
      </c>
      <c r="F8" s="18">
        <v>1700</v>
      </c>
    </row>
    <row r="9" spans="1:6">
      <c r="A9" s="1" t="s">
        <v>10</v>
      </c>
      <c r="B9" s="18">
        <v>27554</v>
      </c>
      <c r="C9" s="18">
        <v>302</v>
      </c>
      <c r="D9" s="18" t="s">
        <v>28</v>
      </c>
      <c r="E9" s="18" t="s">
        <v>28</v>
      </c>
      <c r="F9" s="18">
        <v>850</v>
      </c>
    </row>
    <row r="10" spans="1:6">
      <c r="A10" s="1" t="s">
        <v>14</v>
      </c>
      <c r="B10" s="18">
        <v>2283</v>
      </c>
      <c r="C10" s="18">
        <v>291</v>
      </c>
      <c r="D10" s="18" t="s">
        <v>28</v>
      </c>
      <c r="E10" s="18" t="s">
        <v>28</v>
      </c>
      <c r="F10" s="18">
        <v>150</v>
      </c>
    </row>
    <row r="11" spans="1:6">
      <c r="A11" s="1" t="s">
        <v>30</v>
      </c>
      <c r="B11" s="18">
        <v>1962</v>
      </c>
      <c r="C11" s="18">
        <v>262</v>
      </c>
      <c r="D11" s="18" t="s">
        <v>28</v>
      </c>
      <c r="E11" s="18" t="s">
        <v>28</v>
      </c>
      <c r="F11" s="18">
        <v>810</v>
      </c>
    </row>
    <row r="12" spans="1:6">
      <c r="A12" s="21"/>
      <c r="B12" s="22"/>
      <c r="C12" s="22"/>
      <c r="D12" s="22"/>
      <c r="E12" s="22"/>
      <c r="F12" s="22"/>
    </row>
    <row r="13" spans="1:6">
      <c r="A13" s="21"/>
      <c r="B13" s="22"/>
      <c r="C13" s="22"/>
      <c r="D13" s="22"/>
      <c r="E13" s="22"/>
      <c r="F13" s="22"/>
    </row>
    <row r="15" spans="1:6" s="4" customFormat="1">
      <c r="A15" s="4" t="s">
        <v>25</v>
      </c>
      <c r="B15" s="4">
        <f>SUM(B2:B10)</f>
        <v>87114</v>
      </c>
      <c r="C15" s="4">
        <f>SUM(C2:C10)</f>
        <v>4013</v>
      </c>
      <c r="F15" s="4">
        <f>SUM(F2:F10)</f>
        <v>5010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3"/>
  <sheetViews>
    <sheetView workbookViewId="0">
      <selection activeCell="B2" sqref="B2:K8"/>
    </sheetView>
  </sheetViews>
  <sheetFormatPr defaultRowHeight="15"/>
  <cols>
    <col min="3" max="3" width="60" bestFit="1" customWidth="1"/>
    <col min="4" max="4" width="15.42578125" style="3" bestFit="1" customWidth="1"/>
    <col min="5" max="5" width="17.7109375" style="5" bestFit="1" customWidth="1"/>
    <col min="6" max="7" width="9.5703125" bestFit="1" customWidth="1"/>
    <col min="8" max="8" width="11" customWidth="1"/>
    <col min="10" max="11" width="9.5703125" bestFit="1" customWidth="1"/>
  </cols>
  <sheetData>
    <row r="2" spans="2:11">
      <c r="B2" s="23" t="s">
        <v>35</v>
      </c>
      <c r="C2" s="23"/>
      <c r="D2" s="23"/>
      <c r="E2" s="23"/>
      <c r="F2" s="23"/>
      <c r="G2" s="23"/>
      <c r="H2" s="23"/>
      <c r="I2" s="23"/>
      <c r="J2" s="23"/>
      <c r="K2" s="23"/>
    </row>
    <row r="3" spans="2:11"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2:11"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2:11"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2:11"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2:11"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2:11">
      <c r="B8" s="23"/>
      <c r="C8" s="23"/>
      <c r="D8" s="23"/>
      <c r="E8" s="23"/>
      <c r="F8" s="23"/>
      <c r="G8" s="23"/>
      <c r="H8" s="23"/>
      <c r="I8" s="23"/>
      <c r="J8" s="23"/>
      <c r="K8" s="23"/>
    </row>
    <row r="10" spans="2:11">
      <c r="C10" s="8" t="s">
        <v>17</v>
      </c>
      <c r="D10" s="24" t="s">
        <v>34</v>
      </c>
      <c r="E10" s="25"/>
      <c r="F10" s="25"/>
      <c r="G10" s="25"/>
      <c r="H10" s="25"/>
      <c r="I10" s="26"/>
    </row>
    <row r="11" spans="2:11">
      <c r="C11" s="8" t="s">
        <v>18</v>
      </c>
      <c r="D11" s="27">
        <v>15000</v>
      </c>
      <c r="E11" s="28"/>
      <c r="F11" s="28"/>
      <c r="G11" s="28"/>
      <c r="H11" s="28"/>
      <c r="I11" s="29"/>
    </row>
    <row r="12" spans="2:11">
      <c r="C12" s="8" t="s">
        <v>19</v>
      </c>
      <c r="D12" s="27">
        <v>10500</v>
      </c>
      <c r="E12" s="28"/>
      <c r="F12" s="28"/>
      <c r="G12" s="28"/>
      <c r="H12" s="28"/>
      <c r="I12" s="29"/>
    </row>
    <row r="13" spans="2:11">
      <c r="C13" s="8" t="s">
        <v>20</v>
      </c>
      <c r="D13" s="24" t="s">
        <v>21</v>
      </c>
      <c r="E13" s="25"/>
      <c r="F13" s="25"/>
      <c r="G13" s="25"/>
      <c r="H13" s="25"/>
      <c r="I13" s="26"/>
    </row>
    <row r="17" spans="2:12">
      <c r="B17" s="13"/>
      <c r="C17" s="13"/>
      <c r="D17" s="13"/>
      <c r="E17" s="14"/>
      <c r="F17" s="30" t="s">
        <v>2</v>
      </c>
      <c r="G17" s="30"/>
      <c r="H17" s="30"/>
      <c r="I17" s="30" t="s">
        <v>3</v>
      </c>
      <c r="J17" s="30"/>
      <c r="K17" s="30"/>
    </row>
    <row r="18" spans="2:12">
      <c r="B18" s="13" t="s">
        <v>22</v>
      </c>
      <c r="C18" s="9" t="s">
        <v>0</v>
      </c>
      <c r="D18" s="10" t="s">
        <v>1</v>
      </c>
      <c r="E18" s="11" t="s">
        <v>4</v>
      </c>
      <c r="F18" s="12" t="s">
        <v>5</v>
      </c>
      <c r="G18" s="12" t="s">
        <v>6</v>
      </c>
      <c r="H18" s="12" t="s">
        <v>7</v>
      </c>
      <c r="I18" s="12" t="s">
        <v>5</v>
      </c>
      <c r="J18" s="12" t="s">
        <v>6</v>
      </c>
      <c r="K18" s="12" t="s">
        <v>7</v>
      </c>
    </row>
    <row r="19" spans="2:12">
      <c r="B19" s="1">
        <v>1</v>
      </c>
      <c r="C19" s="1" t="s">
        <v>9</v>
      </c>
      <c r="D19" s="18">
        <v>5331</v>
      </c>
      <c r="E19" s="18">
        <v>270</v>
      </c>
      <c r="F19" s="2">
        <f>E19/30*0.75</f>
        <v>6.75</v>
      </c>
      <c r="G19" s="2">
        <f t="shared" ref="G19:G28" si="0">E19/30*0.875</f>
        <v>7.875</v>
      </c>
      <c r="H19" s="2">
        <f t="shared" ref="H19:H28" si="1">E19/30</f>
        <v>9</v>
      </c>
      <c r="I19" s="2">
        <f t="shared" ref="I19:K28" si="2">F19*0.8</f>
        <v>5.4</v>
      </c>
      <c r="J19" s="2">
        <f t="shared" si="2"/>
        <v>6.3000000000000007</v>
      </c>
      <c r="K19" s="2">
        <f t="shared" si="2"/>
        <v>7.2</v>
      </c>
    </row>
    <row r="20" spans="2:12">
      <c r="B20" s="1">
        <v>2</v>
      </c>
      <c r="C20" s="1" t="s">
        <v>29</v>
      </c>
      <c r="D20" s="18">
        <v>11118</v>
      </c>
      <c r="E20" s="18">
        <v>1000</v>
      </c>
      <c r="F20" s="2">
        <f t="shared" ref="F20:F28" si="3">E20/30*0.75</f>
        <v>25</v>
      </c>
      <c r="G20" s="2">
        <f t="shared" si="0"/>
        <v>29.166666666666668</v>
      </c>
      <c r="H20" s="2">
        <f t="shared" si="1"/>
        <v>33.333333333333336</v>
      </c>
      <c r="I20" s="2">
        <f t="shared" si="2"/>
        <v>20</v>
      </c>
      <c r="J20" s="2">
        <f t="shared" si="2"/>
        <v>23.333333333333336</v>
      </c>
      <c r="K20" s="2">
        <f t="shared" si="2"/>
        <v>26.666666666666671</v>
      </c>
    </row>
    <row r="21" spans="2:12">
      <c r="B21" s="1">
        <v>3</v>
      </c>
      <c r="C21" s="1" t="s">
        <v>8</v>
      </c>
      <c r="D21" s="18">
        <v>4758</v>
      </c>
      <c r="E21" s="18">
        <v>410</v>
      </c>
      <c r="F21" s="2">
        <f t="shared" si="3"/>
        <v>10.25</v>
      </c>
      <c r="G21" s="2">
        <f t="shared" si="0"/>
        <v>11.958333333333332</v>
      </c>
      <c r="H21" s="2">
        <f t="shared" si="1"/>
        <v>13.666666666666666</v>
      </c>
      <c r="I21" s="2">
        <f t="shared" si="2"/>
        <v>8.2000000000000011</v>
      </c>
      <c r="J21" s="2">
        <f t="shared" si="2"/>
        <v>9.5666666666666664</v>
      </c>
      <c r="K21" s="2">
        <f t="shared" si="2"/>
        <v>10.933333333333334</v>
      </c>
    </row>
    <row r="22" spans="2:12">
      <c r="B22" s="1">
        <v>4</v>
      </c>
      <c r="C22" s="1" t="s">
        <v>15</v>
      </c>
      <c r="D22" s="18">
        <v>1039</v>
      </c>
      <c r="E22" s="18">
        <v>150</v>
      </c>
      <c r="F22" s="2">
        <f t="shared" si="3"/>
        <v>3.75</v>
      </c>
      <c r="G22" s="2">
        <f t="shared" si="0"/>
        <v>4.375</v>
      </c>
      <c r="H22" s="2">
        <f t="shared" si="1"/>
        <v>5</v>
      </c>
      <c r="I22" s="2">
        <f t="shared" si="2"/>
        <v>3</v>
      </c>
      <c r="J22" s="2">
        <f t="shared" si="2"/>
        <v>3.5</v>
      </c>
      <c r="K22" s="2">
        <f t="shared" si="2"/>
        <v>4</v>
      </c>
    </row>
    <row r="23" spans="2:12">
      <c r="B23" s="1">
        <v>5</v>
      </c>
      <c r="C23" s="1" t="s">
        <v>13</v>
      </c>
      <c r="D23" s="18">
        <v>4881</v>
      </c>
      <c r="E23" s="18">
        <v>330</v>
      </c>
      <c r="F23" s="2">
        <f t="shared" si="3"/>
        <v>8.25</v>
      </c>
      <c r="G23" s="2">
        <f t="shared" si="0"/>
        <v>9.625</v>
      </c>
      <c r="H23" s="2">
        <f t="shared" si="1"/>
        <v>11</v>
      </c>
      <c r="I23" s="2">
        <f t="shared" si="2"/>
        <v>6.6000000000000005</v>
      </c>
      <c r="J23" s="2">
        <f t="shared" si="2"/>
        <v>7.7</v>
      </c>
      <c r="K23" s="2">
        <f t="shared" si="2"/>
        <v>8.8000000000000007</v>
      </c>
    </row>
    <row r="24" spans="2:12">
      <c r="B24" s="1">
        <v>6</v>
      </c>
      <c r="C24" s="1" t="s">
        <v>12</v>
      </c>
      <c r="D24" s="18">
        <v>17104</v>
      </c>
      <c r="E24" s="18">
        <v>150</v>
      </c>
      <c r="F24" s="2">
        <f t="shared" si="3"/>
        <v>3.75</v>
      </c>
      <c r="G24" s="2">
        <f t="shared" si="0"/>
        <v>4.375</v>
      </c>
      <c r="H24" s="2">
        <f t="shared" si="1"/>
        <v>5</v>
      </c>
      <c r="I24" s="2">
        <f t="shared" si="2"/>
        <v>3</v>
      </c>
      <c r="J24" s="2">
        <f t="shared" si="2"/>
        <v>3.5</v>
      </c>
      <c r="K24" s="2">
        <f t="shared" si="2"/>
        <v>4</v>
      </c>
    </row>
    <row r="25" spans="2:12">
      <c r="B25" s="1">
        <v>7</v>
      </c>
      <c r="C25" s="1" t="s">
        <v>11</v>
      </c>
      <c r="D25" s="18">
        <v>13046</v>
      </c>
      <c r="E25" s="18">
        <v>1700</v>
      </c>
      <c r="F25" s="2">
        <f t="shared" si="3"/>
        <v>42.5</v>
      </c>
      <c r="G25" s="2">
        <f t="shared" si="0"/>
        <v>49.583333333333329</v>
      </c>
      <c r="H25" s="2">
        <f t="shared" si="1"/>
        <v>56.666666666666664</v>
      </c>
      <c r="I25" s="2">
        <f t="shared" si="2"/>
        <v>34</v>
      </c>
      <c r="J25" s="2">
        <f t="shared" si="2"/>
        <v>39.666666666666664</v>
      </c>
      <c r="K25" s="2">
        <f t="shared" si="2"/>
        <v>45.333333333333336</v>
      </c>
    </row>
    <row r="26" spans="2:12">
      <c r="B26" s="1">
        <v>8</v>
      </c>
      <c r="C26" s="1" t="s">
        <v>10</v>
      </c>
      <c r="D26" s="18">
        <v>27554</v>
      </c>
      <c r="E26" s="18">
        <v>850</v>
      </c>
      <c r="F26" s="2">
        <f t="shared" si="3"/>
        <v>21.25</v>
      </c>
      <c r="G26" s="2">
        <f t="shared" si="0"/>
        <v>24.791666666666664</v>
      </c>
      <c r="H26" s="2">
        <f t="shared" si="1"/>
        <v>28.333333333333332</v>
      </c>
      <c r="I26" s="2">
        <f t="shared" si="2"/>
        <v>17</v>
      </c>
      <c r="J26" s="2">
        <f t="shared" si="2"/>
        <v>19.833333333333332</v>
      </c>
      <c r="K26" s="2">
        <f t="shared" si="2"/>
        <v>22.666666666666668</v>
      </c>
    </row>
    <row r="27" spans="2:12">
      <c r="B27" s="1">
        <v>9</v>
      </c>
      <c r="C27" s="1" t="s">
        <v>14</v>
      </c>
      <c r="D27" s="18">
        <v>2283</v>
      </c>
      <c r="E27" s="18">
        <v>150</v>
      </c>
      <c r="F27" s="2">
        <f t="shared" si="3"/>
        <v>3.75</v>
      </c>
      <c r="G27" s="2">
        <f t="shared" si="0"/>
        <v>4.375</v>
      </c>
      <c r="H27" s="2">
        <f t="shared" si="1"/>
        <v>5</v>
      </c>
      <c r="I27" s="2">
        <f t="shared" si="2"/>
        <v>3</v>
      </c>
      <c r="J27" s="2">
        <f t="shared" si="2"/>
        <v>3.5</v>
      </c>
      <c r="K27" s="2">
        <f t="shared" si="2"/>
        <v>4</v>
      </c>
    </row>
    <row r="28" spans="2:12">
      <c r="B28" s="1">
        <v>10</v>
      </c>
      <c r="C28" s="1" t="s">
        <v>30</v>
      </c>
      <c r="D28" s="18">
        <v>1962</v>
      </c>
      <c r="E28" s="18">
        <v>810</v>
      </c>
      <c r="F28" s="2">
        <f t="shared" si="3"/>
        <v>20.25</v>
      </c>
      <c r="G28" s="2">
        <f t="shared" si="0"/>
        <v>23.625</v>
      </c>
      <c r="H28" s="2">
        <f t="shared" si="1"/>
        <v>27</v>
      </c>
      <c r="I28" s="2">
        <f t="shared" si="2"/>
        <v>16.2</v>
      </c>
      <c r="J28" s="2">
        <f t="shared" si="2"/>
        <v>18.900000000000002</v>
      </c>
      <c r="K28" s="2">
        <f t="shared" si="2"/>
        <v>21.6</v>
      </c>
    </row>
    <row r="30" spans="2:12">
      <c r="E30" s="6">
        <f t="shared" ref="E30:K30" si="4">SUM(E19:E28)</f>
        <v>5820</v>
      </c>
      <c r="F30" s="6">
        <f t="shared" si="4"/>
        <v>145.5</v>
      </c>
      <c r="G30" s="6">
        <f t="shared" si="4"/>
        <v>169.75</v>
      </c>
      <c r="H30" s="6">
        <f t="shared" si="4"/>
        <v>194</v>
      </c>
      <c r="I30" s="6">
        <f t="shared" si="4"/>
        <v>116.4</v>
      </c>
      <c r="J30" s="6">
        <f t="shared" si="4"/>
        <v>135.79999999999998</v>
      </c>
      <c r="K30" s="6">
        <f t="shared" si="4"/>
        <v>155.19999999999999</v>
      </c>
    </row>
    <row r="31" spans="2:12">
      <c r="E31" s="6"/>
      <c r="F31" s="6"/>
      <c r="G31" s="6"/>
      <c r="H31" s="6"/>
      <c r="I31" s="6"/>
      <c r="J31" s="6"/>
      <c r="K31" s="6"/>
    </row>
    <row r="32" spans="2:12">
      <c r="C32" s="4" t="s">
        <v>16</v>
      </c>
      <c r="E32" s="7">
        <f>E30/2*1.2</f>
        <v>3492</v>
      </c>
      <c r="F32" s="7"/>
      <c r="G32" s="7"/>
      <c r="H32" s="7"/>
      <c r="I32" s="7"/>
      <c r="J32" s="7"/>
      <c r="K32" s="7"/>
      <c r="L32" s="4"/>
    </row>
    <row r="33" spans="5:11">
      <c r="E33" s="7"/>
      <c r="F33" s="6"/>
      <c r="G33" s="6"/>
      <c r="H33" s="6"/>
      <c r="I33" s="6"/>
      <c r="J33" s="6"/>
      <c r="K33" s="6"/>
    </row>
  </sheetData>
  <mergeCells count="7">
    <mergeCell ref="F17:H17"/>
    <mergeCell ref="I17:K17"/>
    <mergeCell ref="B2:K8"/>
    <mergeCell ref="D10:I10"/>
    <mergeCell ref="D11:I11"/>
    <mergeCell ref="D12:I12"/>
    <mergeCell ref="D13:I1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1"/>
  <sheetViews>
    <sheetView tabSelected="1" workbookViewId="0">
      <selection activeCell="M5" sqref="M5"/>
    </sheetView>
  </sheetViews>
  <sheetFormatPr defaultRowHeight="15"/>
  <cols>
    <col min="2" max="2" width="4" bestFit="1" customWidth="1"/>
    <col min="3" max="3" width="60.28515625" customWidth="1"/>
    <col min="4" max="4" width="15.42578125" bestFit="1" customWidth="1"/>
    <col min="5" max="5" width="9.85546875" customWidth="1"/>
    <col min="6" max="6" width="10.28515625" customWidth="1"/>
    <col min="7" max="9" width="9.5703125" bestFit="1" customWidth="1"/>
    <col min="10" max="10" width="8.140625" bestFit="1" customWidth="1"/>
    <col min="11" max="12" width="9.5703125" bestFit="1" customWidth="1"/>
  </cols>
  <sheetData>
    <row r="2" spans="2:12">
      <c r="B2" s="23" t="s">
        <v>36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2:12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2:12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2:12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2:12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2:12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2:12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2:12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3" spans="2:12">
      <c r="C13" s="8" t="s">
        <v>17</v>
      </c>
      <c r="D13" s="24" t="s">
        <v>34</v>
      </c>
      <c r="E13" s="38"/>
      <c r="F13" s="25"/>
      <c r="G13" s="25"/>
      <c r="H13" s="25"/>
      <c r="I13" s="25"/>
      <c r="J13" s="26"/>
    </row>
    <row r="14" spans="2:12">
      <c r="C14" s="8" t="s">
        <v>18</v>
      </c>
      <c r="D14" s="27">
        <v>15000</v>
      </c>
      <c r="E14" s="39"/>
      <c r="F14" s="28"/>
      <c r="G14" s="28"/>
      <c r="H14" s="28"/>
      <c r="I14" s="28"/>
      <c r="J14" s="29"/>
    </row>
    <row r="15" spans="2:12">
      <c r="C15" s="8" t="s">
        <v>19</v>
      </c>
      <c r="D15" s="27">
        <v>10500</v>
      </c>
      <c r="E15" s="39"/>
      <c r="F15" s="28"/>
      <c r="G15" s="28"/>
      <c r="H15" s="28"/>
      <c r="I15" s="28"/>
      <c r="J15" s="29"/>
    </row>
    <row r="16" spans="2:12">
      <c r="C16" s="8" t="s">
        <v>20</v>
      </c>
      <c r="D16" s="24" t="s">
        <v>21</v>
      </c>
      <c r="E16" s="38"/>
      <c r="F16" s="25"/>
      <c r="G16" s="25"/>
      <c r="H16" s="25"/>
      <c r="I16" s="25"/>
      <c r="J16" s="26"/>
    </row>
    <row r="19" spans="2:12">
      <c r="B19" s="31" t="s">
        <v>22</v>
      </c>
      <c r="C19" s="33" t="s">
        <v>23</v>
      </c>
      <c r="D19" s="31" t="s">
        <v>24</v>
      </c>
      <c r="E19" s="35" t="s">
        <v>26</v>
      </c>
      <c r="F19" s="37" t="s">
        <v>27</v>
      </c>
      <c r="G19" s="30" t="s">
        <v>2</v>
      </c>
      <c r="H19" s="30"/>
      <c r="I19" s="30"/>
      <c r="J19" s="30" t="s">
        <v>3</v>
      </c>
      <c r="K19" s="30"/>
      <c r="L19" s="30"/>
    </row>
    <row r="20" spans="2:12">
      <c r="B20" s="32"/>
      <c r="C20" s="34"/>
      <c r="D20" s="32"/>
      <c r="E20" s="36"/>
      <c r="F20" s="37"/>
      <c r="G20" s="12" t="s">
        <v>5</v>
      </c>
      <c r="H20" s="12" t="s">
        <v>6</v>
      </c>
      <c r="I20" s="12" t="s">
        <v>7</v>
      </c>
      <c r="J20" s="12" t="s">
        <v>5</v>
      </c>
      <c r="K20" s="12" t="s">
        <v>6</v>
      </c>
      <c r="L20" s="12" t="s">
        <v>7</v>
      </c>
    </row>
    <row r="21" spans="2:12">
      <c r="B21" s="1">
        <v>1</v>
      </c>
      <c r="C21" s="1" t="s">
        <v>9</v>
      </c>
      <c r="D21" s="18">
        <v>5331</v>
      </c>
      <c r="E21" s="18" t="s">
        <v>28</v>
      </c>
      <c r="F21" s="18" t="s">
        <v>28</v>
      </c>
      <c r="G21" s="15">
        <v>6.75</v>
      </c>
      <c r="H21" s="15">
        <v>7.88</v>
      </c>
      <c r="I21" s="15">
        <v>9</v>
      </c>
      <c r="J21" s="15">
        <v>5.4</v>
      </c>
      <c r="K21" s="15">
        <v>6.3</v>
      </c>
      <c r="L21" s="15">
        <v>7.2</v>
      </c>
    </row>
    <row r="22" spans="2:12">
      <c r="B22" s="1">
        <v>2</v>
      </c>
      <c r="C22" s="1" t="s">
        <v>29</v>
      </c>
      <c r="D22" s="18">
        <v>11118</v>
      </c>
      <c r="E22" s="18" t="s">
        <v>28</v>
      </c>
      <c r="F22" s="18" t="s">
        <v>28</v>
      </c>
      <c r="G22" s="15">
        <v>25</v>
      </c>
      <c r="H22" s="15">
        <v>29.17</v>
      </c>
      <c r="I22" s="15">
        <v>33.33</v>
      </c>
      <c r="J22" s="15">
        <v>20</v>
      </c>
      <c r="K22" s="15">
        <v>23.33</v>
      </c>
      <c r="L22" s="15">
        <v>26.67</v>
      </c>
    </row>
    <row r="23" spans="2:12">
      <c r="B23" s="1">
        <v>3</v>
      </c>
      <c r="C23" s="1" t="s">
        <v>8</v>
      </c>
      <c r="D23" s="18">
        <v>4758</v>
      </c>
      <c r="E23" s="18" t="s">
        <v>28</v>
      </c>
      <c r="F23" s="18" t="s">
        <v>28</v>
      </c>
      <c r="G23" s="15">
        <v>10.25</v>
      </c>
      <c r="H23" s="15">
        <v>11.96</v>
      </c>
      <c r="I23" s="15">
        <v>13.67</v>
      </c>
      <c r="J23" s="15">
        <v>8.1999999999999993</v>
      </c>
      <c r="K23" s="15">
        <v>9.57</v>
      </c>
      <c r="L23" s="15">
        <v>10.93</v>
      </c>
    </row>
    <row r="24" spans="2:12">
      <c r="B24" s="1">
        <v>4</v>
      </c>
      <c r="C24" s="1" t="s">
        <v>15</v>
      </c>
      <c r="D24" s="18">
        <v>1039</v>
      </c>
      <c r="E24" s="18" t="s">
        <v>28</v>
      </c>
      <c r="F24" s="18" t="s">
        <v>28</v>
      </c>
      <c r="G24" s="15">
        <v>3.75</v>
      </c>
      <c r="H24" s="15">
        <v>4.38</v>
      </c>
      <c r="I24" s="15">
        <v>5</v>
      </c>
      <c r="J24" s="15">
        <v>3</v>
      </c>
      <c r="K24" s="15">
        <v>3.5</v>
      </c>
      <c r="L24" s="15">
        <v>4</v>
      </c>
    </row>
    <row r="25" spans="2:12">
      <c r="B25" s="1">
        <v>5</v>
      </c>
      <c r="C25" s="1" t="s">
        <v>13</v>
      </c>
      <c r="D25" s="18">
        <v>4881</v>
      </c>
      <c r="E25" s="18" t="s">
        <v>28</v>
      </c>
      <c r="F25" s="18" t="s">
        <v>28</v>
      </c>
      <c r="G25" s="15">
        <v>8.25</v>
      </c>
      <c r="H25" s="15">
        <v>9.6300000000000008</v>
      </c>
      <c r="I25" s="15">
        <v>11</v>
      </c>
      <c r="J25" s="15">
        <v>6.6</v>
      </c>
      <c r="K25" s="15">
        <v>7.7</v>
      </c>
      <c r="L25" s="15">
        <v>8.8000000000000007</v>
      </c>
    </row>
    <row r="26" spans="2:12">
      <c r="B26" s="1">
        <v>6</v>
      </c>
      <c r="C26" s="1" t="s">
        <v>12</v>
      </c>
      <c r="D26" s="18">
        <v>17104</v>
      </c>
      <c r="E26" s="18" t="s">
        <v>28</v>
      </c>
      <c r="F26" s="18" t="s">
        <v>28</v>
      </c>
      <c r="G26" s="15">
        <v>3.75</v>
      </c>
      <c r="H26" s="15">
        <v>4.38</v>
      </c>
      <c r="I26" s="15">
        <v>5</v>
      </c>
      <c r="J26" s="15">
        <v>3</v>
      </c>
      <c r="K26" s="15">
        <v>3.5</v>
      </c>
      <c r="L26" s="15">
        <v>4</v>
      </c>
    </row>
    <row r="27" spans="2:12">
      <c r="B27" s="1">
        <v>7</v>
      </c>
      <c r="C27" s="1" t="s">
        <v>11</v>
      </c>
      <c r="D27" s="18">
        <v>13046</v>
      </c>
      <c r="E27" s="18" t="s">
        <v>28</v>
      </c>
      <c r="F27" s="18" t="s">
        <v>28</v>
      </c>
      <c r="G27" s="15">
        <v>42.5</v>
      </c>
      <c r="H27" s="15">
        <v>49.58</v>
      </c>
      <c r="I27" s="15">
        <v>56.67</v>
      </c>
      <c r="J27" s="15">
        <v>34</v>
      </c>
      <c r="K27" s="15">
        <v>39.67</v>
      </c>
      <c r="L27" s="15">
        <v>45.33</v>
      </c>
    </row>
    <row r="28" spans="2:12">
      <c r="B28" s="1">
        <v>8</v>
      </c>
      <c r="C28" s="1" t="s">
        <v>10</v>
      </c>
      <c r="D28" s="18">
        <v>27554</v>
      </c>
      <c r="E28" s="18" t="s">
        <v>28</v>
      </c>
      <c r="F28" s="18" t="s">
        <v>28</v>
      </c>
      <c r="G28" s="15">
        <v>21.25</v>
      </c>
      <c r="H28" s="15">
        <v>24.79</v>
      </c>
      <c r="I28" s="15">
        <v>28.33</v>
      </c>
      <c r="J28" s="15">
        <v>17</v>
      </c>
      <c r="K28" s="15">
        <v>19.829999999999998</v>
      </c>
      <c r="L28" s="15">
        <v>22.67</v>
      </c>
    </row>
    <row r="29" spans="2:12">
      <c r="B29" s="1">
        <v>9</v>
      </c>
      <c r="C29" s="1" t="s">
        <v>14</v>
      </c>
      <c r="D29" s="18">
        <v>2283</v>
      </c>
      <c r="E29" s="18" t="s">
        <v>28</v>
      </c>
      <c r="F29" s="18" t="s">
        <v>28</v>
      </c>
      <c r="G29" s="15">
        <v>3.75</v>
      </c>
      <c r="H29" s="15">
        <v>4.38</v>
      </c>
      <c r="I29" s="15">
        <v>5</v>
      </c>
      <c r="J29" s="15">
        <v>3</v>
      </c>
      <c r="K29" s="15">
        <v>3.5</v>
      </c>
      <c r="L29" s="15">
        <v>4</v>
      </c>
    </row>
    <row r="30" spans="2:12">
      <c r="B30" s="1">
        <v>10</v>
      </c>
      <c r="C30" s="1" t="s">
        <v>30</v>
      </c>
      <c r="D30" s="18">
        <v>1962</v>
      </c>
      <c r="E30" s="18" t="s">
        <v>28</v>
      </c>
      <c r="F30" s="18" t="s">
        <v>28</v>
      </c>
      <c r="G30" s="15">
        <v>20.25</v>
      </c>
      <c r="H30" s="15">
        <v>23.63</v>
      </c>
      <c r="I30" s="15">
        <v>27</v>
      </c>
      <c r="J30" s="15">
        <v>16.2</v>
      </c>
      <c r="K30" s="15">
        <v>18.899999999999999</v>
      </c>
      <c r="L30" s="15">
        <v>21.6</v>
      </c>
    </row>
    <row r="31" spans="2:12" s="4" customFormat="1">
      <c r="C31" s="8" t="s">
        <v>25</v>
      </c>
      <c r="D31" s="16">
        <f>SUM(D21:D30)</f>
        <v>89076</v>
      </c>
      <c r="E31" s="16"/>
      <c r="F31" s="16"/>
      <c r="G31" s="17">
        <v>1131.5</v>
      </c>
      <c r="H31" s="17">
        <v>1320.08</v>
      </c>
      <c r="I31" s="17">
        <v>1508.67</v>
      </c>
      <c r="J31" s="17">
        <v>905.2</v>
      </c>
      <c r="K31" s="17">
        <v>1056.07</v>
      </c>
      <c r="L31" s="17">
        <v>1206.93</v>
      </c>
    </row>
  </sheetData>
  <mergeCells count="12">
    <mergeCell ref="B2:L10"/>
    <mergeCell ref="B19:B20"/>
    <mergeCell ref="C19:C20"/>
    <mergeCell ref="D19:D20"/>
    <mergeCell ref="E19:E20"/>
    <mergeCell ref="F19:F20"/>
    <mergeCell ref="J19:L19"/>
    <mergeCell ref="D13:J13"/>
    <mergeCell ref="D14:J14"/>
    <mergeCell ref="D15:J15"/>
    <mergeCell ref="D16:J16"/>
    <mergeCell ref="G19:I19"/>
  </mergeCells>
  <conditionalFormatting sqref="E21:F30">
    <cfRule type="cellIs" dxfId="0" priority="1" operator="greaterThan">
      <formula>50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Файл от сео</vt:lpstr>
      <vt:lpstr>Расчет бюджета</vt:lpstr>
      <vt:lpstr>Для клиента</vt:lpstr>
    </vt:vector>
  </TitlesOfParts>
  <Company>Sisup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user</cp:lastModifiedBy>
  <dcterms:created xsi:type="dcterms:W3CDTF">2017-06-18T19:48:25Z</dcterms:created>
  <dcterms:modified xsi:type="dcterms:W3CDTF">2017-08-09T16:39:07Z</dcterms:modified>
</cp:coreProperties>
</file>