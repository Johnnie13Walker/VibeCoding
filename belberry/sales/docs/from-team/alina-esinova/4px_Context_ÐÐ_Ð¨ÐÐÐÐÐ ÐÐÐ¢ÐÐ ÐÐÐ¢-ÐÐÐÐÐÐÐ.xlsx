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Медиаплан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11" i="1" l="1"/>
  <c r="U15" i="1" l="1"/>
  <c r="T11" i="1"/>
  <c r="U12" i="1"/>
  <c r="U13" i="1" s="1"/>
  <c r="U14" i="1"/>
  <c r="H14" i="1"/>
  <c r="L14" i="1" s="1"/>
  <c r="O14" i="1" s="1"/>
  <c r="H12" i="1"/>
  <c r="L12" i="1" s="1"/>
  <c r="H11" i="1"/>
  <c r="L11" i="1" l="1"/>
  <c r="O11" i="1" s="1"/>
  <c r="F11" i="1"/>
  <c r="R14" i="1"/>
  <c r="N14" i="1"/>
  <c r="K12" i="1"/>
  <c r="O12" i="1"/>
  <c r="U16" i="1"/>
  <c r="U17" i="1" s="1"/>
  <c r="K14" i="1"/>
  <c r="H13" i="1"/>
  <c r="N11" i="1" l="1"/>
  <c r="R11" i="1"/>
  <c r="S11" i="1" s="1"/>
  <c r="S14" i="1"/>
  <c r="R12" i="1"/>
  <c r="O13" i="1"/>
  <c r="N12" i="1"/>
  <c r="L13" i="1"/>
  <c r="K11" i="1"/>
  <c r="M13" i="1" l="1"/>
  <c r="S12" i="1"/>
  <c r="R13" i="1"/>
  <c r="J13" i="1"/>
  <c r="F12" i="1" l="1"/>
  <c r="W14" i="1"/>
  <c r="W12" i="1"/>
  <c r="W11" i="1"/>
  <c r="T14" i="1"/>
  <c r="T12" i="1"/>
  <c r="T13" i="1" s="1"/>
  <c r="F14" i="1" l="1"/>
  <c r="X13" i="1"/>
  <c r="W13" i="1"/>
  <c r="F13" i="1"/>
  <c r="N13" i="1" l="1"/>
  <c r="S13" i="1"/>
  <c r="I13" i="1"/>
  <c r="K13" i="1"/>
  <c r="V13" i="1"/>
  <c r="G13" i="1"/>
  <c r="X16" i="1" l="1"/>
  <c r="V16" i="1" s="1"/>
  <c r="W15" i="1"/>
  <c r="W16" i="1" s="1"/>
  <c r="W17" i="1" s="1"/>
  <c r="T15" i="1"/>
  <c r="T16" i="1" s="1"/>
  <c r="T17" i="1" s="1"/>
  <c r="H15" i="1"/>
  <c r="L15" i="1" s="1"/>
  <c r="L16" i="1" l="1"/>
  <c r="L17" i="1" s="1"/>
  <c r="O15" i="1"/>
  <c r="K15" i="1"/>
  <c r="H16" i="1"/>
  <c r="I16" i="1" s="1"/>
  <c r="F15" i="1"/>
  <c r="F16" i="1" s="1"/>
  <c r="F17" i="1" s="1"/>
  <c r="X17" i="1"/>
  <c r="V17" i="1" s="1"/>
  <c r="K16" i="1" l="1"/>
  <c r="O16" i="1"/>
  <c r="R15" i="1"/>
  <c r="N15" i="1"/>
  <c r="K17" i="1"/>
  <c r="H17" i="1"/>
  <c r="G17" i="1" s="1"/>
  <c r="G16" i="1"/>
  <c r="J16" i="1"/>
  <c r="S15" i="1" l="1"/>
  <c r="R16" i="1"/>
  <c r="M16" i="1"/>
  <c r="N16" i="1"/>
  <c r="O17" i="1"/>
  <c r="J17" i="1"/>
  <c r="I17" i="1"/>
  <c r="N17" i="1" l="1"/>
  <c r="M17" i="1"/>
  <c r="S16" i="1"/>
  <c r="R17" i="1"/>
  <c r="S17" i="1" s="1"/>
</calcChain>
</file>

<file path=xl/sharedStrings.xml><?xml version="1.0" encoding="utf-8"?>
<sst xmlns="http://schemas.openxmlformats.org/spreadsheetml/2006/main" count="38" uniqueCount="35">
  <si>
    <t>Прогноз количества показов</t>
  </si>
  <si>
    <t>Прогноз количества кликов</t>
  </si>
  <si>
    <t>Геотаргетинг</t>
  </si>
  <si>
    <t>Медиаплан рекламной кампании</t>
  </si>
  <si>
    <t>Сайт:</t>
  </si>
  <si>
    <t>Период:</t>
  </si>
  <si>
    <t>Рекламная система</t>
  </si>
  <si>
    <t>Тип кампании</t>
  </si>
  <si>
    <t>Поиск</t>
  </si>
  <si>
    <t>РСЯ</t>
  </si>
  <si>
    <t>КМС</t>
  </si>
  <si>
    <t>Направление</t>
  </si>
  <si>
    <t>Комиссия 4px</t>
  </si>
  <si>
    <t>Итого Яндекс.Директ:</t>
  </si>
  <si>
    <t>Итого Google Реклама:</t>
  </si>
  <si>
    <t>Итого Контекстная реклама:</t>
  </si>
  <si>
    <t>без НДС</t>
  </si>
  <si>
    <t>с НДС</t>
  </si>
  <si>
    <t>Прогноз цены за клик, руб. с НДС</t>
  </si>
  <si>
    <t>Прогноз CPA, руб. с НДС</t>
  </si>
  <si>
    <t>Прогноз CTR, %</t>
  </si>
  <si>
    <t>Бюджет, руб.*</t>
  </si>
  <si>
    <t>*Имейте в виду, что реальный бюджет может отличаться от прогнозируемого, т.к. он подсчитан на основе прогноза средней цены клика, CTR и конверсии, а эти параметры могут изменяться в процессе работы вашей рекламной кампании.</t>
  </si>
  <si>
    <r>
      <rPr>
        <b/>
        <sz val="12"/>
        <color rgb="FFFC3F1D"/>
        <rFont val="Calibri"/>
        <family val="2"/>
        <charset val="204"/>
        <scheme val="minor"/>
      </rPr>
      <t>Я</t>
    </r>
    <r>
      <rPr>
        <b/>
        <sz val="12"/>
        <color rgb="FF323232"/>
        <rFont val="Calibri"/>
        <family val="2"/>
        <charset val="204"/>
        <scheme val="minor"/>
      </rPr>
      <t>ндекс.Директ</t>
    </r>
  </si>
  <si>
    <r>
      <rPr>
        <b/>
        <sz val="12"/>
        <color rgb="FF3782E8"/>
        <rFont val="Calibri"/>
        <family val="2"/>
        <charset val="204"/>
        <scheme val="minor"/>
      </rPr>
      <t>G</t>
    </r>
    <r>
      <rPr>
        <b/>
        <sz val="12"/>
        <color rgb="FFDF3C29"/>
        <rFont val="Calibri"/>
        <family val="2"/>
        <charset val="204"/>
        <scheme val="minor"/>
      </rPr>
      <t>o</t>
    </r>
    <r>
      <rPr>
        <b/>
        <sz val="12"/>
        <color rgb="FFFDBD1D"/>
        <rFont val="Calibri"/>
        <family val="2"/>
        <charset val="204"/>
        <scheme val="minor"/>
      </rPr>
      <t>o</t>
    </r>
    <r>
      <rPr>
        <b/>
        <sz val="12"/>
        <color rgb="FF3782E8"/>
        <rFont val="Calibri"/>
        <family val="2"/>
        <charset val="204"/>
        <scheme val="minor"/>
      </rPr>
      <t>g</t>
    </r>
    <r>
      <rPr>
        <b/>
        <sz val="12"/>
        <color rgb="FF37AD59"/>
        <rFont val="Calibri"/>
        <family val="2"/>
        <charset val="204"/>
        <scheme val="minor"/>
      </rPr>
      <t>l</t>
    </r>
    <r>
      <rPr>
        <b/>
        <sz val="12"/>
        <color rgb="FFDF3C29"/>
        <rFont val="Calibri"/>
        <family val="2"/>
        <charset val="204"/>
        <scheme val="minor"/>
      </rPr>
      <t xml:space="preserve">e </t>
    </r>
    <r>
      <rPr>
        <b/>
        <sz val="12"/>
        <color rgb="FF323232"/>
        <rFont val="Calibri"/>
        <family val="2"/>
        <charset val="204"/>
        <scheme val="minor"/>
      </rPr>
      <t>Реклама</t>
    </r>
  </si>
  <si>
    <t>Прогноз конверсии в продажу, %</t>
  </si>
  <si>
    <t xml:space="preserve">Прогноз конверсии в лид, % </t>
  </si>
  <si>
    <t>Прогноз количества лидов</t>
  </si>
  <si>
    <t>Прогноз количества продаж</t>
  </si>
  <si>
    <t>Средний чек</t>
  </si>
  <si>
    <t>% прибыли</t>
  </si>
  <si>
    <t>Прибыль, руб.</t>
  </si>
  <si>
    <t>ROMI</t>
  </si>
  <si>
    <t>Прогноз CAC, руб. с НДС</t>
  </si>
  <si>
    <t>Бюджет c комиссией 4px, руб.*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</si>
</sst>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#,##0.00\ &quot;₽&quot;;[Red]\-#,##0.00\ &quot;₽&quot;"/>
    <numFmt numFmtId="164" formatCode="#,##0.00\ &quot;₽&quot;;[Red]\-#,##0.00\ &quot;₽&quot;;\-"/>
    <numFmt numFmtId="165" formatCode="#,##0;[Red]\-#,##0;\-"/>
    <numFmt numFmtId="166" formatCode="0.00%;[Red]\-0.00%;\-"/>
  </numFmts>
  <fonts count="14" x14ac:knownFonts="1">
    <font>
      <sz val="11"/>
      <color theme="1"/>
      <name val="Calibri"/>
      <family val="2"/>
      <scheme val="minor"/>
    </font>
    <font>
      <b/>
      <sz val="16"/>
      <color rgb="FF323232"/>
      <name val="Calibri"/>
      <family val="2"/>
      <scheme val="minor"/>
    </font>
    <font>
      <sz val="12"/>
      <color rgb="FF323232"/>
      <name val="Calibri"/>
      <family val="2"/>
      <scheme val="minor"/>
    </font>
    <font>
      <b/>
      <sz val="12"/>
      <color rgb="FF32323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rgb="FF00A89B"/>
      <name val="Calibri"/>
      <family val="2"/>
      <scheme val="minor"/>
    </font>
    <font>
      <sz val="12"/>
      <color rgb="FF323232"/>
      <name val="Calibri"/>
      <family val="2"/>
      <charset val="204"/>
      <scheme val="minor"/>
    </font>
    <font>
      <b/>
      <sz val="12"/>
      <color rgb="FF323232"/>
      <name val="Calibri"/>
      <family val="2"/>
      <charset val="204"/>
      <scheme val="minor"/>
    </font>
    <font>
      <i/>
      <sz val="10"/>
      <color rgb="FF323232"/>
      <name val="Calibri"/>
      <family val="2"/>
      <charset val="204"/>
      <scheme val="minor"/>
    </font>
    <font>
      <b/>
      <sz val="12"/>
      <color rgb="FFFC3F1D"/>
      <name val="Calibri"/>
      <family val="2"/>
      <charset val="204"/>
      <scheme val="minor"/>
    </font>
    <font>
      <b/>
      <sz val="12"/>
      <color rgb="FF3782E8"/>
      <name val="Calibri"/>
      <family val="2"/>
      <charset val="204"/>
      <scheme val="minor"/>
    </font>
    <font>
      <b/>
      <sz val="12"/>
      <color rgb="FFDF3C29"/>
      <name val="Calibri"/>
      <family val="2"/>
      <charset val="204"/>
      <scheme val="minor"/>
    </font>
    <font>
      <b/>
      <sz val="12"/>
      <color rgb="FFFDBD1D"/>
      <name val="Calibri"/>
      <family val="2"/>
      <charset val="204"/>
      <scheme val="minor"/>
    </font>
    <font>
      <b/>
      <sz val="12"/>
      <color rgb="FF37AD59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A89B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D1D2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4E4E4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166" fontId="2" fillId="3" borderId="2" xfId="0" applyNumberFormat="1" applyFont="1" applyFill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4" fontId="2" fillId="3" borderId="2" xfId="0" applyNumberFormat="1" applyFont="1" applyFill="1" applyBorder="1" applyAlignment="1">
      <alignment horizontal="right" vertical="center" wrapText="1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5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166" fontId="2" fillId="3" borderId="5" xfId="0" applyNumberFormat="1" applyFont="1" applyFill="1" applyBorder="1" applyAlignment="1">
      <alignment horizontal="right" vertical="center" wrapText="1"/>
    </xf>
    <xf numFmtId="165" fontId="2" fillId="0" borderId="5" xfId="0" applyNumberFormat="1" applyFont="1" applyBorder="1" applyAlignment="1">
      <alignment horizontal="right" vertical="center" wrapText="1"/>
    </xf>
    <xf numFmtId="164" fontId="2" fillId="3" borderId="5" xfId="0" applyNumberFormat="1" applyFont="1" applyFill="1" applyBorder="1" applyAlignment="1">
      <alignment horizontal="right" vertical="center" wrapText="1"/>
    </xf>
    <xf numFmtId="164" fontId="2" fillId="0" borderId="5" xfId="0" applyNumberFormat="1" applyFont="1" applyBorder="1" applyAlignment="1">
      <alignment horizontal="right" vertical="center" wrapText="1"/>
    </xf>
    <xf numFmtId="166" fontId="7" fillId="6" borderId="11" xfId="0" applyNumberFormat="1" applyFont="1" applyFill="1" applyBorder="1" applyAlignment="1">
      <alignment horizontal="right" vertical="center" wrapText="1"/>
    </xf>
    <xf numFmtId="165" fontId="7" fillId="6" borderId="11" xfId="0" applyNumberFormat="1" applyFont="1" applyFill="1" applyBorder="1" applyAlignment="1">
      <alignment horizontal="right" vertical="center" wrapText="1"/>
    </xf>
    <xf numFmtId="164" fontId="7" fillId="6" borderId="11" xfId="0" applyNumberFormat="1" applyFont="1" applyFill="1" applyBorder="1" applyAlignment="1">
      <alignment horizontal="right" vertical="center" wrapText="1"/>
    </xf>
    <xf numFmtId="164" fontId="7" fillId="6" borderId="12" xfId="0" applyNumberFormat="1" applyFont="1" applyFill="1" applyBorder="1" applyAlignment="1">
      <alignment horizontal="right" vertical="center" wrapText="1"/>
    </xf>
    <xf numFmtId="166" fontId="7" fillId="6" borderId="15" xfId="0" applyNumberFormat="1" applyFont="1" applyFill="1" applyBorder="1" applyAlignment="1">
      <alignment horizontal="right" vertical="center" wrapText="1"/>
    </xf>
    <xf numFmtId="165" fontId="7" fillId="6" borderId="15" xfId="0" applyNumberFormat="1" applyFont="1" applyFill="1" applyBorder="1" applyAlignment="1">
      <alignment horizontal="right" vertical="center" wrapText="1"/>
    </xf>
    <xf numFmtId="164" fontId="7" fillId="6" borderId="15" xfId="0" applyNumberFormat="1" applyFont="1" applyFill="1" applyBorder="1" applyAlignment="1">
      <alignment horizontal="right" vertical="center" wrapText="1"/>
    </xf>
    <xf numFmtId="164" fontId="7" fillId="6" borderId="16" xfId="0" applyNumberFormat="1" applyFont="1" applyFill="1" applyBorder="1" applyAlignment="1">
      <alignment horizontal="right" vertical="center" wrapText="1"/>
    </xf>
    <xf numFmtId="166" fontId="7" fillId="4" borderId="11" xfId="0" applyNumberFormat="1" applyFont="1" applyFill="1" applyBorder="1" applyAlignment="1">
      <alignment horizontal="right" vertical="center" wrapText="1"/>
    </xf>
    <xf numFmtId="165" fontId="7" fillId="4" borderId="11" xfId="0" applyNumberFormat="1" applyFont="1" applyFill="1" applyBorder="1" applyAlignment="1">
      <alignment horizontal="right" vertical="center" wrapText="1"/>
    </xf>
    <xf numFmtId="164" fontId="7" fillId="4" borderId="11" xfId="0" applyNumberFormat="1" applyFont="1" applyFill="1" applyBorder="1" applyAlignment="1">
      <alignment horizontal="right" vertical="center" wrapText="1"/>
    </xf>
    <xf numFmtId="164" fontId="7" fillId="4" borderId="12" xfId="0" applyNumberFormat="1" applyFont="1" applyFill="1" applyBorder="1" applyAlignment="1">
      <alignment horizontal="right" vertical="center" wrapText="1"/>
    </xf>
    <xf numFmtId="0" fontId="8" fillId="0" borderId="0" xfId="0" applyFont="1" applyAlignment="1">
      <alignment vertical="center"/>
    </xf>
    <xf numFmtId="164" fontId="2" fillId="5" borderId="5" xfId="0" applyNumberFormat="1" applyFont="1" applyFill="1" applyBorder="1" applyAlignment="1">
      <alignment horizontal="right" vertical="center" wrapText="1"/>
    </xf>
    <xf numFmtId="164" fontId="2" fillId="5" borderId="2" xfId="0" applyNumberFormat="1" applyFont="1" applyFill="1" applyBorder="1" applyAlignment="1">
      <alignment horizontal="right" vertical="center" wrapText="1"/>
    </xf>
    <xf numFmtId="164" fontId="7" fillId="3" borderId="3" xfId="0" applyNumberFormat="1" applyFont="1" applyFill="1" applyBorder="1" applyAlignment="1">
      <alignment horizontal="right" vertical="center" wrapText="1"/>
    </xf>
    <xf numFmtId="164" fontId="7" fillId="3" borderId="6" xfId="0" applyNumberFormat="1" applyFont="1" applyFill="1" applyBorder="1" applyAlignment="1">
      <alignment horizontal="right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2" fillId="0" borderId="2" xfId="0" applyNumberFormat="1" applyFont="1" applyFill="1" applyBorder="1" applyAlignment="1">
      <alignment horizontal="right" vertical="center" wrapText="1"/>
    </xf>
    <xf numFmtId="164" fontId="2" fillId="0" borderId="5" xfId="0" applyNumberFormat="1" applyFont="1" applyFill="1" applyBorder="1" applyAlignment="1">
      <alignment horizontal="right" vertical="center" wrapText="1"/>
    </xf>
    <xf numFmtId="166" fontId="2" fillId="3" borderId="7" xfId="0" applyNumberFormat="1" applyFont="1" applyFill="1" applyBorder="1" applyAlignment="1">
      <alignment horizontal="right" vertical="center" wrapText="1"/>
    </xf>
    <xf numFmtId="166" fontId="2" fillId="3" borderId="8" xfId="0" applyNumberFormat="1" applyFont="1" applyFill="1" applyBorder="1" applyAlignment="1">
      <alignment horizontal="right" vertical="center" wrapText="1"/>
    </xf>
    <xf numFmtId="166" fontId="7" fillId="6" borderId="13" xfId="0" applyNumberFormat="1" applyFont="1" applyFill="1" applyBorder="1" applyAlignment="1">
      <alignment horizontal="right" vertical="center" wrapText="1"/>
    </xf>
    <xf numFmtId="166" fontId="7" fillId="6" borderId="17" xfId="0" applyNumberFormat="1" applyFont="1" applyFill="1" applyBorder="1" applyAlignment="1">
      <alignment horizontal="right" vertical="center" wrapText="1"/>
    </xf>
    <xf numFmtId="166" fontId="7" fillId="4" borderId="13" xfId="0" applyNumberFormat="1" applyFont="1" applyFill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164" fontId="2" fillId="3" borderId="3" xfId="0" applyNumberFormat="1" applyFont="1" applyFill="1" applyBorder="1" applyAlignment="1">
      <alignment horizontal="right" vertical="center" wrapText="1"/>
    </xf>
    <xf numFmtId="165" fontId="2" fillId="0" borderId="4" xfId="0" applyNumberFormat="1" applyFont="1" applyBorder="1" applyAlignment="1">
      <alignment horizontal="right" vertical="center" wrapText="1"/>
    </xf>
    <xf numFmtId="164" fontId="2" fillId="3" borderId="6" xfId="0" applyNumberFormat="1" applyFont="1" applyFill="1" applyBorder="1" applyAlignment="1">
      <alignment horizontal="right" vertical="center" wrapText="1"/>
    </xf>
    <xf numFmtId="165" fontId="7" fillId="6" borderId="10" xfId="0" applyNumberFormat="1" applyFont="1" applyFill="1" applyBorder="1" applyAlignment="1">
      <alignment horizontal="right" vertical="center" wrapText="1"/>
    </xf>
    <xf numFmtId="165" fontId="7" fillId="6" borderId="14" xfId="0" applyNumberFormat="1" applyFont="1" applyFill="1" applyBorder="1" applyAlignment="1">
      <alignment horizontal="right" vertical="center" wrapText="1"/>
    </xf>
    <xf numFmtId="165" fontId="7" fillId="4" borderId="10" xfId="0" applyNumberFormat="1" applyFont="1" applyFill="1" applyBorder="1" applyAlignment="1">
      <alignment horizontal="right" vertical="center" wrapText="1"/>
    </xf>
    <xf numFmtId="166" fontId="2" fillId="3" borderId="1" xfId="0" applyNumberFormat="1" applyFont="1" applyFill="1" applyBorder="1" applyAlignment="1">
      <alignment horizontal="right" vertical="center" wrapText="1"/>
    </xf>
    <xf numFmtId="165" fontId="2" fillId="0" borderId="3" xfId="0" applyNumberFormat="1" applyFont="1" applyBorder="1" applyAlignment="1">
      <alignment horizontal="right" vertical="center" wrapText="1"/>
    </xf>
    <xf numFmtId="166" fontId="2" fillId="3" borderId="4" xfId="0" applyNumberFormat="1" applyFont="1" applyFill="1" applyBorder="1" applyAlignment="1">
      <alignment horizontal="right" vertical="center" wrapText="1"/>
    </xf>
    <xf numFmtId="165" fontId="2" fillId="0" borderId="6" xfId="0" applyNumberFormat="1" applyFont="1" applyBorder="1" applyAlignment="1">
      <alignment horizontal="right" vertical="center" wrapText="1"/>
    </xf>
    <xf numFmtId="166" fontId="7" fillId="6" borderId="10" xfId="0" applyNumberFormat="1" applyFont="1" applyFill="1" applyBorder="1" applyAlignment="1">
      <alignment horizontal="right" vertical="center" wrapText="1"/>
    </xf>
    <xf numFmtId="165" fontId="7" fillId="6" borderId="12" xfId="0" applyNumberFormat="1" applyFont="1" applyFill="1" applyBorder="1" applyAlignment="1">
      <alignment horizontal="right" vertical="center" wrapText="1"/>
    </xf>
    <xf numFmtId="166" fontId="7" fillId="6" borderId="14" xfId="0" applyNumberFormat="1" applyFont="1" applyFill="1" applyBorder="1" applyAlignment="1">
      <alignment horizontal="right" vertical="center" wrapText="1"/>
    </xf>
    <xf numFmtId="165" fontId="7" fillId="6" borderId="16" xfId="0" applyNumberFormat="1" applyFont="1" applyFill="1" applyBorder="1" applyAlignment="1">
      <alignment horizontal="right" vertical="center" wrapText="1"/>
    </xf>
    <xf numFmtId="166" fontId="7" fillId="4" borderId="10" xfId="0" applyNumberFormat="1" applyFont="1" applyFill="1" applyBorder="1" applyAlignment="1">
      <alignment horizontal="right" vertical="center" wrapText="1"/>
    </xf>
    <xf numFmtId="165" fontId="7" fillId="4" borderId="12" xfId="0" applyNumberFormat="1" applyFont="1" applyFill="1" applyBorder="1" applyAlignment="1">
      <alignment horizontal="right" vertical="center" wrapText="1"/>
    </xf>
    <xf numFmtId="166" fontId="2" fillId="5" borderId="3" xfId="0" applyNumberFormat="1" applyFont="1" applyFill="1" applyBorder="1" applyAlignment="1">
      <alignment horizontal="right" vertical="center" wrapText="1"/>
    </xf>
    <xf numFmtId="166" fontId="2" fillId="5" borderId="6" xfId="0" applyNumberFormat="1" applyFont="1" applyFill="1" applyBorder="1" applyAlignment="1">
      <alignment horizontal="right" vertical="center" wrapText="1"/>
    </xf>
    <xf numFmtId="166" fontId="7" fillId="6" borderId="12" xfId="0" applyNumberFormat="1" applyFont="1" applyFill="1" applyBorder="1" applyAlignment="1">
      <alignment horizontal="right" vertical="center" wrapText="1"/>
    </xf>
    <xf numFmtId="166" fontId="7" fillId="6" borderId="16" xfId="0" applyNumberFormat="1" applyFont="1" applyFill="1" applyBorder="1" applyAlignment="1">
      <alignment horizontal="right" vertical="center" wrapText="1"/>
    </xf>
    <xf numFmtId="166" fontId="7" fillId="4" borderId="12" xfId="0" applyNumberFormat="1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2" fillId="0" borderId="4" xfId="0" applyNumberFormat="1" applyFont="1" applyBorder="1" applyAlignment="1">
      <alignment horizontal="right" vertical="center" wrapText="1"/>
    </xf>
    <xf numFmtId="164" fontId="7" fillId="6" borderId="10" xfId="0" applyNumberFormat="1" applyFont="1" applyFill="1" applyBorder="1" applyAlignment="1">
      <alignment horizontal="right" vertical="center" wrapText="1"/>
    </xf>
    <xf numFmtId="164" fontId="7" fillId="6" borderId="14" xfId="0" applyNumberFormat="1" applyFont="1" applyFill="1" applyBorder="1" applyAlignment="1">
      <alignment horizontal="right" vertical="center" wrapText="1"/>
    </xf>
    <xf numFmtId="164" fontId="7" fillId="4" borderId="10" xfId="0" applyNumberFormat="1" applyFont="1" applyFill="1" applyBorder="1" applyAlignment="1">
      <alignment horizontal="right" vertical="center" wrapText="1"/>
    </xf>
    <xf numFmtId="8" fontId="2" fillId="0" borderId="0" xfId="0" applyNumberFormat="1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right" vertical="center" wrapText="1"/>
    </xf>
    <xf numFmtId="0" fontId="7" fillId="6" borderId="15" xfId="0" applyFont="1" applyFill="1" applyBorder="1" applyAlignment="1">
      <alignment horizontal="right" vertical="center" wrapText="1"/>
    </xf>
    <xf numFmtId="0" fontId="7" fillId="6" borderId="16" xfId="0" applyFont="1" applyFill="1" applyBorder="1" applyAlignment="1">
      <alignment horizontal="right" vertical="center" wrapText="1"/>
    </xf>
    <xf numFmtId="0" fontId="7" fillId="4" borderId="10" xfId="0" applyFont="1" applyFill="1" applyBorder="1" applyAlignment="1">
      <alignment horizontal="right" vertical="center"/>
    </xf>
    <xf numFmtId="0" fontId="7" fillId="4" borderId="11" xfId="0" applyFont="1" applyFill="1" applyBorder="1" applyAlignment="1">
      <alignment horizontal="right" vertical="center"/>
    </xf>
    <xf numFmtId="0" fontId="7" fillId="4" borderId="12" xfId="0" applyFont="1" applyFill="1" applyBorder="1" applyAlignment="1">
      <alignment horizontal="right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right" vertical="center" wrapText="1"/>
    </xf>
    <xf numFmtId="0" fontId="7" fillId="6" borderId="11" xfId="0" applyFont="1" applyFill="1" applyBorder="1" applyAlignment="1">
      <alignment horizontal="right" vertical="center" wrapText="1"/>
    </xf>
    <xf numFmtId="0" fontId="7" fillId="6" borderId="12" xfId="0" applyFont="1" applyFill="1" applyBorder="1" applyAlignment="1">
      <alignment horizontal="right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3F3F3"/>
      <color rgb="FF37AD59"/>
      <color rgb="FFFDBD1D"/>
      <color rgb="FFDF3C29"/>
      <color rgb="FF3782E8"/>
      <color rgb="FFFC3F1D"/>
      <color rgb="FFFFCF37"/>
      <color rgb="FF0097CC"/>
      <color rgb="FF00ADEA"/>
      <color rgb="FFD1D2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1</xdr:rowOff>
    </xdr:from>
    <xdr:to>
      <xdr:col>3</xdr:col>
      <xdr:colOff>90836</xdr:colOff>
      <xdr:row>3</xdr:row>
      <xdr:rowOff>76201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00026"/>
          <a:ext cx="2462561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AB28"/>
  <sheetViews>
    <sheetView showGridLines="0" tabSelected="1" zoomScale="78" zoomScaleNormal="78" workbookViewId="0">
      <selection activeCell="X28" sqref="X28"/>
    </sheetView>
  </sheetViews>
  <sheetFormatPr defaultRowHeight="15.75" x14ac:dyDescent="0.25"/>
  <cols>
    <col min="1" max="1" width="3" style="3" customWidth="1"/>
    <col min="2" max="2" width="24" style="3" customWidth="1"/>
    <col min="3" max="3" width="12" style="3" customWidth="1"/>
    <col min="4" max="4" width="15" style="3" customWidth="1"/>
    <col min="5" max="5" width="17.5703125" style="3" customWidth="1"/>
    <col min="6" max="17" width="12.7109375" style="3" customWidth="1"/>
    <col min="18" max="18" width="14.28515625" style="3" customWidth="1"/>
    <col min="19" max="19" width="12.7109375" style="3" customWidth="1"/>
    <col min="20" max="21" width="15.5703125" style="3" customWidth="1"/>
    <col min="22" max="22" width="13.28515625" style="3" customWidth="1"/>
    <col min="23" max="24" width="15.140625" style="3" customWidth="1"/>
    <col min="25" max="16384" width="9.140625" style="3"/>
  </cols>
  <sheetData>
    <row r="5" spans="2:28" ht="21" x14ac:dyDescent="0.25">
      <c r="B5" s="1" t="s">
        <v>3</v>
      </c>
      <c r="C5" s="6"/>
      <c r="D5" s="2"/>
    </row>
    <row r="6" spans="2:28" x14ac:dyDescent="0.25">
      <c r="B6" s="4" t="s">
        <v>4</v>
      </c>
      <c r="C6" s="7"/>
    </row>
    <row r="7" spans="2:28" x14ac:dyDescent="0.25">
      <c r="B7" s="4" t="s">
        <v>5</v>
      </c>
      <c r="C7" s="7"/>
    </row>
    <row r="8" spans="2:28" ht="16.5" thickBot="1" x14ac:dyDescent="0.3"/>
    <row r="9" spans="2:28" ht="47.25" customHeight="1" x14ac:dyDescent="0.25">
      <c r="B9" s="77" t="s">
        <v>6</v>
      </c>
      <c r="C9" s="79" t="s">
        <v>7</v>
      </c>
      <c r="D9" s="79" t="s">
        <v>11</v>
      </c>
      <c r="E9" s="87" t="s">
        <v>2</v>
      </c>
      <c r="F9" s="77" t="s">
        <v>0</v>
      </c>
      <c r="G9" s="79" t="s">
        <v>20</v>
      </c>
      <c r="H9" s="79" t="s">
        <v>1</v>
      </c>
      <c r="I9" s="87" t="s">
        <v>18</v>
      </c>
      <c r="J9" s="77" t="s">
        <v>26</v>
      </c>
      <c r="K9" s="79" t="s">
        <v>19</v>
      </c>
      <c r="L9" s="87" t="s">
        <v>27</v>
      </c>
      <c r="M9" s="96" t="s">
        <v>25</v>
      </c>
      <c r="N9" s="94" t="s">
        <v>33</v>
      </c>
      <c r="O9" s="79" t="s">
        <v>28</v>
      </c>
      <c r="P9" s="94" t="s">
        <v>29</v>
      </c>
      <c r="Q9" s="94" t="s">
        <v>30</v>
      </c>
      <c r="R9" s="94" t="s">
        <v>31</v>
      </c>
      <c r="S9" s="98" t="s">
        <v>32</v>
      </c>
      <c r="T9" s="77" t="s">
        <v>21</v>
      </c>
      <c r="U9" s="79"/>
      <c r="V9" s="94" t="s">
        <v>12</v>
      </c>
      <c r="W9" s="79" t="s">
        <v>34</v>
      </c>
      <c r="X9" s="87"/>
    </row>
    <row r="10" spans="2:28" ht="16.5" thickBot="1" x14ac:dyDescent="0.3">
      <c r="B10" s="78"/>
      <c r="C10" s="80"/>
      <c r="D10" s="80"/>
      <c r="E10" s="88"/>
      <c r="F10" s="78"/>
      <c r="G10" s="80"/>
      <c r="H10" s="80"/>
      <c r="I10" s="88"/>
      <c r="J10" s="78"/>
      <c r="K10" s="80"/>
      <c r="L10" s="88"/>
      <c r="M10" s="97"/>
      <c r="N10" s="95"/>
      <c r="O10" s="80"/>
      <c r="P10" s="95"/>
      <c r="Q10" s="95"/>
      <c r="R10" s="95"/>
      <c r="S10" s="99"/>
      <c r="T10" s="39" t="s">
        <v>16</v>
      </c>
      <c r="U10" s="40" t="s">
        <v>17</v>
      </c>
      <c r="V10" s="95"/>
      <c r="W10" s="40" t="s">
        <v>16</v>
      </c>
      <c r="X10" s="41" t="s">
        <v>17</v>
      </c>
    </row>
    <row r="11" spans="2:28" x14ac:dyDescent="0.25">
      <c r="B11" s="89" t="s">
        <v>23</v>
      </c>
      <c r="C11" s="8" t="s">
        <v>8</v>
      </c>
      <c r="D11" s="9"/>
      <c r="E11" s="10"/>
      <c r="F11" s="49">
        <f>IFERROR(H11/G11,0)</f>
        <v>0</v>
      </c>
      <c r="G11" s="11"/>
      <c r="H11" s="12">
        <f>IFERROR(X11/I11,0)</f>
        <v>0</v>
      </c>
      <c r="I11" s="50"/>
      <c r="J11" s="56"/>
      <c r="K11" s="42">
        <f t="shared" ref="K11:K17" si="0">IFERROR(X11/L11,0)</f>
        <v>0</v>
      </c>
      <c r="L11" s="57">
        <f>H11*J11</f>
        <v>0</v>
      </c>
      <c r="M11" s="44"/>
      <c r="N11" s="14">
        <f>IFERROR(X11/O11,0)</f>
        <v>0</v>
      </c>
      <c r="O11" s="12">
        <f>L11*M11</f>
        <v>0</v>
      </c>
      <c r="P11" s="13"/>
      <c r="Q11" s="11"/>
      <c r="R11" s="14">
        <f>IFERROR(O11*P11*Q11,0)</f>
        <v>0</v>
      </c>
      <c r="S11" s="66">
        <f>IFERROR((R11-X11)/X11,0)</f>
        <v>0</v>
      </c>
      <c r="T11" s="71">
        <f>U11/1.2</f>
        <v>0</v>
      </c>
      <c r="U11" s="36">
        <f>IFERROR(X11/(V11+1),0)</f>
        <v>0</v>
      </c>
      <c r="V11" s="11">
        <v>0.1</v>
      </c>
      <c r="W11" s="14">
        <f>X11/1.2</f>
        <v>0</v>
      </c>
      <c r="X11" s="37"/>
      <c r="Y11" s="5"/>
      <c r="Z11" s="5"/>
      <c r="AA11" s="5"/>
      <c r="AB11" s="5"/>
    </row>
    <row r="12" spans="2:28" ht="16.5" thickBot="1" x14ac:dyDescent="0.3">
      <c r="B12" s="90"/>
      <c r="C12" s="15" t="s">
        <v>9</v>
      </c>
      <c r="D12" s="16"/>
      <c r="E12" s="17"/>
      <c r="F12" s="51">
        <f>IFERROR(H12/G12,0)</f>
        <v>0</v>
      </c>
      <c r="G12" s="18"/>
      <c r="H12" s="19">
        <f>IFERROR(X12/I12,0)</f>
        <v>0</v>
      </c>
      <c r="I12" s="52"/>
      <c r="J12" s="58"/>
      <c r="K12" s="43">
        <f t="shared" si="0"/>
        <v>0</v>
      </c>
      <c r="L12" s="59">
        <f>H12*J12</f>
        <v>0</v>
      </c>
      <c r="M12" s="45"/>
      <c r="N12" s="21">
        <f>IFERROR(X12/O12,0)</f>
        <v>0</v>
      </c>
      <c r="O12" s="19">
        <f>L12*M12</f>
        <v>0</v>
      </c>
      <c r="P12" s="20"/>
      <c r="Q12" s="18"/>
      <c r="R12" s="21">
        <f>IFERROR(O12*P12*Q12,0)</f>
        <v>0</v>
      </c>
      <c r="S12" s="67">
        <f>IFERROR((R12-X12)/X12,0)</f>
        <v>0</v>
      </c>
      <c r="T12" s="72">
        <f t="shared" ref="T12:T15" si="1">U12/1.2</f>
        <v>0</v>
      </c>
      <c r="U12" s="35">
        <f t="shared" ref="U12" si="2">IFERROR(X12/(V12+1),0)</f>
        <v>0</v>
      </c>
      <c r="V12" s="18">
        <v>0.1</v>
      </c>
      <c r="W12" s="21">
        <f t="shared" ref="W12:W15" si="3">X12/1.2</f>
        <v>0</v>
      </c>
      <c r="X12" s="38"/>
    </row>
    <row r="13" spans="2:28" ht="16.5" thickBot="1" x14ac:dyDescent="0.3">
      <c r="B13" s="91" t="s">
        <v>13</v>
      </c>
      <c r="C13" s="92"/>
      <c r="D13" s="92"/>
      <c r="E13" s="93"/>
      <c r="F13" s="53">
        <f>SUM(F11:F12)</f>
        <v>0</v>
      </c>
      <c r="G13" s="22">
        <f>IFERROR(H13/F13,0)</f>
        <v>0</v>
      </c>
      <c r="H13" s="23">
        <f>SUM(H11:H12)</f>
        <v>0</v>
      </c>
      <c r="I13" s="25">
        <f>IFERROR(X13/H13,0)</f>
        <v>0</v>
      </c>
      <c r="J13" s="60">
        <f>IFERROR(L13/H13,0)</f>
        <v>0</v>
      </c>
      <c r="K13" s="24">
        <f t="shared" si="0"/>
        <v>0</v>
      </c>
      <c r="L13" s="61">
        <f>SUM(L11:L12)</f>
        <v>0</v>
      </c>
      <c r="M13" s="46">
        <f>IFERROR(O13/L13,0)</f>
        <v>0</v>
      </c>
      <c r="N13" s="24">
        <f>IFERROR(X13/O13,0)</f>
        <v>0</v>
      </c>
      <c r="O13" s="23">
        <f>SUM(O11:O12)</f>
        <v>0</v>
      </c>
      <c r="P13" s="24"/>
      <c r="Q13" s="22"/>
      <c r="R13" s="24">
        <f>SUM(R11:R12)</f>
        <v>0</v>
      </c>
      <c r="S13" s="68">
        <f>IFERROR((R13-X13)/X13,0)</f>
        <v>0</v>
      </c>
      <c r="T13" s="73">
        <f>SUM(T11:T12)</f>
        <v>0</v>
      </c>
      <c r="U13" s="24">
        <f>SUM(U11:U12)</f>
        <v>0</v>
      </c>
      <c r="V13" s="22">
        <f>IFERROR((X13-U13)/U13,0)</f>
        <v>0</v>
      </c>
      <c r="W13" s="24">
        <f>SUM(W11:W12)</f>
        <v>0</v>
      </c>
      <c r="X13" s="25">
        <f>SUM(X11:X12)</f>
        <v>0</v>
      </c>
    </row>
    <row r="14" spans="2:28" x14ac:dyDescent="0.25">
      <c r="B14" s="89" t="s">
        <v>24</v>
      </c>
      <c r="C14" s="8" t="s">
        <v>8</v>
      </c>
      <c r="D14" s="9"/>
      <c r="E14" s="10"/>
      <c r="F14" s="49">
        <f>IFERROR(H14/G14,0)</f>
        <v>0</v>
      </c>
      <c r="G14" s="11"/>
      <c r="H14" s="12">
        <f>IFERROR(X14/I14,0)</f>
        <v>0</v>
      </c>
      <c r="I14" s="50"/>
      <c r="J14" s="56"/>
      <c r="K14" s="42">
        <f t="shared" si="0"/>
        <v>0</v>
      </c>
      <c r="L14" s="57">
        <f>H14*J14</f>
        <v>0</v>
      </c>
      <c r="M14" s="44"/>
      <c r="N14" s="14">
        <f t="shared" ref="N14:N17" si="4">IFERROR(X14/O14,0)</f>
        <v>0</v>
      </c>
      <c r="O14" s="12">
        <f t="shared" ref="O14:O15" si="5">L14*M14</f>
        <v>0</v>
      </c>
      <c r="P14" s="13"/>
      <c r="Q14" s="11"/>
      <c r="R14" s="14">
        <f t="shared" ref="R14:R15" si="6">IFERROR(O14*P14*Q14,0)</f>
        <v>0</v>
      </c>
      <c r="S14" s="66">
        <f t="shared" ref="S14:S17" si="7">IFERROR((R14-X14)/X14,0)</f>
        <v>0</v>
      </c>
      <c r="T14" s="71">
        <f t="shared" si="1"/>
        <v>0</v>
      </c>
      <c r="U14" s="36">
        <f>IFERROR(X14/(V14+1),0)</f>
        <v>0</v>
      </c>
      <c r="V14" s="11">
        <v>0.1</v>
      </c>
      <c r="W14" s="14">
        <f t="shared" si="3"/>
        <v>0</v>
      </c>
      <c r="X14" s="37"/>
    </row>
    <row r="15" spans="2:28" ht="16.5" thickBot="1" x14ac:dyDescent="0.3">
      <c r="B15" s="90"/>
      <c r="C15" s="15" t="s">
        <v>10</v>
      </c>
      <c r="D15" s="16"/>
      <c r="E15" s="17"/>
      <c r="F15" s="51">
        <f>IFERROR(H15/G15,0)</f>
        <v>0</v>
      </c>
      <c r="G15" s="18"/>
      <c r="H15" s="19">
        <f>IFERROR(X15/I15,0)</f>
        <v>0</v>
      </c>
      <c r="I15" s="52"/>
      <c r="J15" s="58"/>
      <c r="K15" s="43">
        <f t="shared" si="0"/>
        <v>0</v>
      </c>
      <c r="L15" s="59">
        <f>H15*J15</f>
        <v>0</v>
      </c>
      <c r="M15" s="45"/>
      <c r="N15" s="21">
        <f t="shared" si="4"/>
        <v>0</v>
      </c>
      <c r="O15" s="19">
        <f t="shared" si="5"/>
        <v>0</v>
      </c>
      <c r="P15" s="20"/>
      <c r="Q15" s="18"/>
      <c r="R15" s="21">
        <f t="shared" si="6"/>
        <v>0</v>
      </c>
      <c r="S15" s="67">
        <f t="shared" si="7"/>
        <v>0</v>
      </c>
      <c r="T15" s="72">
        <f t="shared" si="1"/>
        <v>0</v>
      </c>
      <c r="U15" s="35">
        <f>IFERROR(X15/(V15+1),0)</f>
        <v>0</v>
      </c>
      <c r="V15" s="18">
        <v>0.1</v>
      </c>
      <c r="W15" s="21">
        <f t="shared" si="3"/>
        <v>0</v>
      </c>
      <c r="X15" s="38"/>
    </row>
    <row r="16" spans="2:28" ht="16.5" thickBot="1" x14ac:dyDescent="0.3">
      <c r="B16" s="81" t="s">
        <v>14</v>
      </c>
      <c r="C16" s="82"/>
      <c r="D16" s="82"/>
      <c r="E16" s="83"/>
      <c r="F16" s="54">
        <f>SUM(F14:F15)</f>
        <v>0</v>
      </c>
      <c r="G16" s="26">
        <f>IFERROR(H16/F16,0)</f>
        <v>0</v>
      </c>
      <c r="H16" s="27">
        <f>SUM(H14:H15)</f>
        <v>0</v>
      </c>
      <c r="I16" s="29">
        <f>IFERROR(X16/H16,0)</f>
        <v>0</v>
      </c>
      <c r="J16" s="62">
        <f>IFERROR(L16/H16,0)</f>
        <v>0</v>
      </c>
      <c r="K16" s="28">
        <f t="shared" si="0"/>
        <v>0</v>
      </c>
      <c r="L16" s="63">
        <f>SUM(L14:L15)</f>
        <v>0</v>
      </c>
      <c r="M16" s="47">
        <f t="shared" ref="M16:M17" si="8">IFERROR(O16/L16,0)</f>
        <v>0</v>
      </c>
      <c r="N16" s="28">
        <f t="shared" si="4"/>
        <v>0</v>
      </c>
      <c r="O16" s="27">
        <f>SUM(O14:O15)</f>
        <v>0</v>
      </c>
      <c r="P16" s="28"/>
      <c r="Q16" s="26"/>
      <c r="R16" s="28">
        <f>SUM(R14:R15)</f>
        <v>0</v>
      </c>
      <c r="S16" s="69">
        <f t="shared" si="7"/>
        <v>0</v>
      </c>
      <c r="T16" s="74">
        <f>SUM(T14:T15)</f>
        <v>0</v>
      </c>
      <c r="U16" s="28">
        <f>SUM(U14:U15)</f>
        <v>0</v>
      </c>
      <c r="V16" s="26">
        <f>IFERROR((X16-U16)/U16,0)</f>
        <v>0</v>
      </c>
      <c r="W16" s="28">
        <f>SUM(W14:W15)</f>
        <v>0</v>
      </c>
      <c r="X16" s="29">
        <f>SUM(X14:X15)</f>
        <v>0</v>
      </c>
      <c r="Y16" s="5"/>
      <c r="Z16" s="5"/>
      <c r="AA16" s="5"/>
      <c r="AB16" s="5"/>
    </row>
    <row r="17" spans="2:28" ht="16.5" thickBot="1" x14ac:dyDescent="0.3">
      <c r="B17" s="84" t="s">
        <v>15</v>
      </c>
      <c r="C17" s="85"/>
      <c r="D17" s="85"/>
      <c r="E17" s="86"/>
      <c r="F17" s="55">
        <f>SUM(F13,F16)</f>
        <v>0</v>
      </c>
      <c r="G17" s="30">
        <f>IFERROR(H17/F17,0)</f>
        <v>0</v>
      </c>
      <c r="H17" s="31">
        <f>SUM(H13,H16)</f>
        <v>0</v>
      </c>
      <c r="I17" s="33">
        <f>IFERROR(X17/H17,0)</f>
        <v>0</v>
      </c>
      <c r="J17" s="64">
        <f>IFERROR(L17/H17,0)</f>
        <v>0</v>
      </c>
      <c r="K17" s="32">
        <f t="shared" si="0"/>
        <v>0</v>
      </c>
      <c r="L17" s="65">
        <f>SUM(L13,L16)</f>
        <v>0</v>
      </c>
      <c r="M17" s="48">
        <f t="shared" si="8"/>
        <v>0</v>
      </c>
      <c r="N17" s="32">
        <f t="shared" si="4"/>
        <v>0</v>
      </c>
      <c r="O17" s="31">
        <f>SUM(O13,O16)</f>
        <v>0</v>
      </c>
      <c r="P17" s="32"/>
      <c r="Q17" s="30"/>
      <c r="R17" s="32">
        <f>SUM(R13,R16)</f>
        <v>0</v>
      </c>
      <c r="S17" s="70">
        <f t="shared" si="7"/>
        <v>0</v>
      </c>
      <c r="T17" s="75">
        <f>SUM(T13,T16)</f>
        <v>0</v>
      </c>
      <c r="U17" s="32">
        <f>SUM(U13,U16)</f>
        <v>0</v>
      </c>
      <c r="V17" s="30">
        <f>IFERROR((X17-U17)/U17,0)</f>
        <v>0</v>
      </c>
      <c r="W17" s="32">
        <f>SUM(W13,W16)</f>
        <v>0</v>
      </c>
      <c r="X17" s="33">
        <f>SUM(X13,X16)</f>
        <v>0</v>
      </c>
      <c r="Y17" s="5"/>
      <c r="Z17" s="5"/>
      <c r="AA17" s="5"/>
      <c r="AB17" s="5"/>
    </row>
    <row r="19" spans="2:28" x14ac:dyDescent="0.25">
      <c r="B19" s="34" t="s">
        <v>22</v>
      </c>
    </row>
    <row r="22" spans="2:28" x14ac:dyDescent="0.25">
      <c r="I22" s="76"/>
      <c r="K22" s="76"/>
      <c r="N22" s="76"/>
      <c r="R22" s="76"/>
      <c r="S22" s="76"/>
    </row>
    <row r="23" spans="2:28" x14ac:dyDescent="0.25">
      <c r="I23" s="76"/>
      <c r="K23" s="76"/>
      <c r="N23" s="76"/>
      <c r="R23" s="76"/>
      <c r="S23" s="76"/>
    </row>
    <row r="24" spans="2:28" x14ac:dyDescent="0.25">
      <c r="I24" s="76"/>
      <c r="K24" s="76"/>
      <c r="N24" s="76"/>
      <c r="R24" s="76"/>
      <c r="S24" s="76"/>
    </row>
    <row r="25" spans="2:28" x14ac:dyDescent="0.25">
      <c r="I25" s="76"/>
      <c r="K25" s="76"/>
      <c r="N25" s="76"/>
      <c r="R25" s="76"/>
      <c r="S25" s="76"/>
    </row>
    <row r="26" spans="2:28" x14ac:dyDescent="0.25">
      <c r="I26" s="76"/>
      <c r="K26" s="76"/>
      <c r="N26" s="76"/>
      <c r="R26" s="76"/>
      <c r="S26" s="76"/>
    </row>
    <row r="27" spans="2:28" x14ac:dyDescent="0.25">
      <c r="I27" s="76"/>
      <c r="K27" s="76"/>
      <c r="N27" s="76"/>
      <c r="R27" s="76"/>
      <c r="S27" s="76"/>
    </row>
    <row r="28" spans="2:28" x14ac:dyDescent="0.25">
      <c r="I28" s="76"/>
      <c r="K28" s="76"/>
      <c r="N28" s="76"/>
      <c r="R28" s="76"/>
      <c r="S28" s="76"/>
    </row>
  </sheetData>
  <mergeCells count="26">
    <mergeCell ref="T9:U9"/>
    <mergeCell ref="W9:X9"/>
    <mergeCell ref="B13:E13"/>
    <mergeCell ref="L9:L10"/>
    <mergeCell ref="V9:V10"/>
    <mergeCell ref="F9:F10"/>
    <mergeCell ref="G9:G10"/>
    <mergeCell ref="H9:H10"/>
    <mergeCell ref="I9:I10"/>
    <mergeCell ref="M9:M10"/>
    <mergeCell ref="O9:O10"/>
    <mergeCell ref="P9:P10"/>
    <mergeCell ref="Q9:Q10"/>
    <mergeCell ref="R9:R10"/>
    <mergeCell ref="S9:S10"/>
    <mergeCell ref="N9:N10"/>
    <mergeCell ref="J9:J10"/>
    <mergeCell ref="K9:K10"/>
    <mergeCell ref="B16:E16"/>
    <mergeCell ref="B17:E17"/>
    <mergeCell ref="B9:B10"/>
    <mergeCell ref="C9:C10"/>
    <mergeCell ref="D9:D10"/>
    <mergeCell ref="E9:E10"/>
    <mergeCell ref="B11:B12"/>
    <mergeCell ref="B14:B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Медиаплан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2021-05-04T08:50:24Z</dcterms:modified>
</cp:coreProperties>
</file>