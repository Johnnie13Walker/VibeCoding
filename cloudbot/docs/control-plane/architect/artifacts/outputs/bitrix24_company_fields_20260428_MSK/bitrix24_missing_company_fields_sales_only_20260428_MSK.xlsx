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родаж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Problems" displayName="SalesProblems" ref="A1:H20" headerRowCount="1">
  <autoFilter ref="A1:H20"/>
  <tableColumns count="8">
    <tableColumn id="1" name="ID сделки"/>
    <tableColumn id="2" name="Название сделки"/>
    <tableColumn id="3" name="Ссылка на сделку в Bitrix24"/>
    <tableColumn id="4" name="Воронка"/>
    <tableColumn id="5" name="Текущая стадия"/>
    <tableColumn id="6" name="Ответственный сотрудник"/>
    <tableColumn id="7" name="ИНН заполнен: да/нет"/>
    <tableColumn id="8" name="Годовая выручка заполнена: да/нет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Отчёт</t>
        </is>
      </c>
      <c r="B1" s="2" t="inlineStr">
        <is>
          <t>Bitrix24: проблемные сделки только из воронки «Продажи»</t>
        </is>
      </c>
    </row>
    <row r="2">
      <c r="A2" s="3" t="inlineStr">
        <is>
          <t>Источник</t>
        </is>
      </c>
      <c r="B2" t="inlineStr">
        <is>
          <t>/Users/pro2kuror/Desktop/architect/outputs/bitrix24_company_fields_20260428_MSK/bitrix24_missing_company_fields_20260428_MSK.xlsx</t>
        </is>
      </c>
    </row>
    <row r="3">
      <c r="A3" s="4" t="inlineStr">
        <is>
          <t>Проблемных сделок в воронке «Продажи»</t>
        </is>
      </c>
      <c r="B3" s="5" t="n">
        <v>19</v>
      </c>
    </row>
    <row r="4">
      <c r="A4" s="3" t="inlineStr">
        <is>
          <t>Состав</t>
        </is>
      </c>
      <c r="B4" t="inlineStr">
        <is>
          <t>Сделки, где не заполнен ИНН компании или годовая выручка компании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58" customWidth="1" min="3" max="3"/>
    <col width="18" customWidth="1" min="4" max="4"/>
    <col width="28" customWidth="1" min="5" max="5"/>
    <col width="28" customWidth="1" min="6" max="6"/>
    <col width="22" customWidth="1" min="7" max="7"/>
    <col width="30" customWidth="1" min="8" max="8"/>
  </cols>
  <sheetData>
    <row r="1">
      <c r="A1" s="6" t="inlineStr">
        <is>
          <t>ID сделки</t>
        </is>
      </c>
      <c r="B1" s="6" t="inlineStr">
        <is>
          <t>Название сделки</t>
        </is>
      </c>
      <c r="C1" s="6" t="inlineStr">
        <is>
          <t>Ссылка на сделку в Bitrix24</t>
        </is>
      </c>
      <c r="D1" s="6" t="inlineStr">
        <is>
          <t>Воронка</t>
        </is>
      </c>
      <c r="E1" s="6" t="inlineStr">
        <is>
          <t>Текущая стадия</t>
        </is>
      </c>
      <c r="F1" s="6" t="inlineStr">
        <is>
          <t>Ответственный сотрудник</t>
        </is>
      </c>
      <c r="G1" s="6" t="inlineStr">
        <is>
          <t>ИНН заполнен: да/нет</t>
        </is>
      </c>
      <c r="H1" s="6" t="inlineStr">
        <is>
          <t>Годовая выручка заполнена: да/нет</t>
        </is>
      </c>
    </row>
    <row r="2">
      <c r="A2" s="7" t="inlineStr">
        <is>
          <t>10844</t>
        </is>
      </c>
      <c r="B2" s="7" t="inlineStr">
        <is>
          <t>pro.market</t>
        </is>
      </c>
      <c r="C2" s="8">
        <f>HYPERLINK("https://belberrycrm.bitrix24.ru/crm/deal/details/10844/","https://belberrycrm.bitrix24.ru/crm/deal/details/10844/")</f>
        <v/>
      </c>
      <c r="D2" s="7" t="inlineStr">
        <is>
          <t>Продажи</t>
        </is>
      </c>
      <c r="E2" s="7" t="inlineStr">
        <is>
          <t>Догрев и переговоры</t>
        </is>
      </c>
      <c r="F2" s="7" t="inlineStr">
        <is>
          <t>Елизавета Деговцова</t>
        </is>
      </c>
      <c r="G2" s="7" t="inlineStr">
        <is>
          <t>нет</t>
        </is>
      </c>
      <c r="H2" s="7" t="inlineStr">
        <is>
          <t>нет</t>
        </is>
      </c>
    </row>
    <row r="3">
      <c r="A3" s="7" t="inlineStr">
        <is>
          <t>10938</t>
        </is>
      </c>
      <c r="B3" s="7" t="inlineStr">
        <is>
          <t>sporttravma.org</t>
        </is>
      </c>
      <c r="C3" s="8">
        <f>HYPERLINK("https://belberrycrm.bitrix24.ru/crm/deal/details/10938/","https://belberrycrm.bitrix24.ru/crm/deal/details/10938/")</f>
        <v/>
      </c>
      <c r="D3" s="7" t="inlineStr">
        <is>
          <t>Продажи</t>
        </is>
      </c>
      <c r="E3" s="7" t="inlineStr">
        <is>
          <t>Подготовка КП</t>
        </is>
      </c>
      <c r="F3" s="7" t="inlineStr">
        <is>
          <t>Елизавета Деговцова</t>
        </is>
      </c>
      <c r="G3" s="7" t="inlineStr">
        <is>
          <t>да</t>
        </is>
      </c>
      <c r="H3" s="7" t="inlineStr">
        <is>
          <t>нет</t>
        </is>
      </c>
    </row>
    <row r="4">
      <c r="A4" s="7" t="inlineStr">
        <is>
          <t>11412</t>
        </is>
      </c>
      <c r="B4" s="7" t="inlineStr">
        <is>
          <t>metriks.ru</t>
        </is>
      </c>
      <c r="C4" s="8">
        <f>HYPERLINK("https://belberrycrm.bitrix24.ru/crm/deal/details/11412/","https://belberrycrm.bitrix24.ru/crm/deal/details/11412/")</f>
        <v/>
      </c>
      <c r="D4" s="7" t="inlineStr">
        <is>
          <t>Продажи</t>
        </is>
      </c>
      <c r="E4" s="7" t="inlineStr">
        <is>
          <t>Подготовка БРИФа</t>
        </is>
      </c>
      <c r="F4" s="7" t="inlineStr">
        <is>
          <t>Елизавета Деговцова</t>
        </is>
      </c>
      <c r="G4" s="7" t="inlineStr">
        <is>
          <t>да</t>
        </is>
      </c>
      <c r="H4" s="7" t="inlineStr">
        <is>
          <t>нет</t>
        </is>
      </c>
    </row>
    <row r="5">
      <c r="A5" s="7" t="inlineStr">
        <is>
          <t>18484</t>
        </is>
      </c>
      <c r="B5" s="7" t="inlineStr">
        <is>
          <t>evromedika.ru</t>
        </is>
      </c>
      <c r="C5" s="8">
        <f>HYPERLINK("https://belberrycrm.bitrix24.ru/crm/deal/details/18484/","https://belberrycrm.bitrix24.ru/crm/deal/details/18484/")</f>
        <v/>
      </c>
      <c r="D5" s="7" t="inlineStr">
        <is>
          <t>Продажи</t>
        </is>
      </c>
      <c r="E5" s="7" t="inlineStr">
        <is>
          <t>Догрев и переговоры</t>
        </is>
      </c>
      <c r="F5" s="7" t="inlineStr">
        <is>
          <t>Илья Смирнов</t>
        </is>
      </c>
      <c r="G5" s="7" t="inlineStr">
        <is>
          <t>да</t>
        </is>
      </c>
      <c r="H5" s="7" t="inlineStr">
        <is>
          <t>нет</t>
        </is>
      </c>
    </row>
    <row r="6">
      <c r="A6" s="7" t="inlineStr">
        <is>
          <t>20564</t>
        </is>
      </c>
      <c r="B6" s="7" t="inlineStr">
        <is>
          <t>flebolog-arm.ru</t>
        </is>
      </c>
      <c r="C6" s="8">
        <f>HYPERLINK("https://belberrycrm.bitrix24.ru/crm/deal/details/20564/","https://belberrycrm.bitrix24.ru/crm/deal/details/20564/")</f>
        <v/>
      </c>
      <c r="D6" s="7" t="inlineStr">
        <is>
          <t>Продажи</t>
        </is>
      </c>
      <c r="E6" s="7" t="inlineStr">
        <is>
          <t>Догрев и переговоры</t>
        </is>
      </c>
      <c r="F6" s="7" t="inlineStr">
        <is>
          <t>Илья Смирнов</t>
        </is>
      </c>
      <c r="G6" s="7" t="inlineStr">
        <is>
          <t>нет</t>
        </is>
      </c>
      <c r="H6" s="7" t="inlineStr">
        <is>
          <t>нет</t>
        </is>
      </c>
    </row>
    <row r="7">
      <c r="A7" s="7" t="inlineStr">
        <is>
          <t>23582</t>
        </is>
      </c>
      <c r="B7" s="7" t="inlineStr">
        <is>
          <t>idmed-clinic.ru</t>
        </is>
      </c>
      <c r="C7" s="8">
        <f>HYPERLINK("https://belberrycrm.bitrix24.ru/crm/deal/details/23582/","https://belberrycrm.bitrix24.ru/crm/deal/details/23582/")</f>
        <v/>
      </c>
      <c r="D7" s="7" t="inlineStr">
        <is>
          <t>Продажи</t>
        </is>
      </c>
      <c r="E7" s="7" t="inlineStr">
        <is>
          <t>Подготовка КП</t>
        </is>
      </c>
      <c r="F7" s="7" t="inlineStr">
        <is>
          <t>Илья Смирнов</t>
        </is>
      </c>
      <c r="G7" s="7" t="inlineStr">
        <is>
          <t>нет</t>
        </is>
      </c>
      <c r="H7" s="7" t="inlineStr">
        <is>
          <t>нет</t>
        </is>
      </c>
    </row>
    <row r="8">
      <c r="A8" s="7" t="inlineStr">
        <is>
          <t>23642</t>
        </is>
      </c>
      <c r="B8" s="7" t="inlineStr">
        <is>
          <t>natroshvili.ru</t>
        </is>
      </c>
      <c r="C8" s="8">
        <f>HYPERLINK("https://belberrycrm.bitrix24.ru/crm/deal/details/23642/","https://belberrycrm.bitrix24.ru/crm/deal/details/23642/")</f>
        <v/>
      </c>
      <c r="D8" s="7" t="inlineStr">
        <is>
          <t>Продажи</t>
        </is>
      </c>
      <c r="E8" s="7" t="inlineStr">
        <is>
          <t>Догрев и переговоры</t>
        </is>
      </c>
      <c r="F8" s="7" t="inlineStr">
        <is>
          <t>Илья Смирнов</t>
        </is>
      </c>
      <c r="G8" s="7" t="inlineStr">
        <is>
          <t>да</t>
        </is>
      </c>
      <c r="H8" s="7" t="inlineStr">
        <is>
          <t>нет</t>
        </is>
      </c>
    </row>
    <row r="9">
      <c r="A9" s="7" t="inlineStr">
        <is>
          <t>23820</t>
        </is>
      </c>
      <c r="B9" s="7" t="inlineStr">
        <is>
          <t>Казимагомедов Казбек Низамиевич</t>
        </is>
      </c>
      <c r="C9" s="8">
        <f>HYPERLINK("https://belberrycrm.bitrix24.ru/crm/deal/details/23820/","https://belberrycrm.bitrix24.ru/crm/deal/details/23820/")</f>
        <v/>
      </c>
      <c r="D9" s="7" t="inlineStr">
        <is>
          <t>Продажи</t>
        </is>
      </c>
      <c r="E9" s="7" t="inlineStr">
        <is>
          <t>Квалификация</t>
        </is>
      </c>
      <c r="F9" s="7" t="inlineStr">
        <is>
          <t>Илья Смирнов</t>
        </is>
      </c>
      <c r="G9" s="7" t="inlineStr">
        <is>
          <t>нет</t>
        </is>
      </c>
      <c r="H9" s="7" t="inlineStr">
        <is>
          <t>нет</t>
        </is>
      </c>
    </row>
    <row r="10">
      <c r="A10" s="7" t="inlineStr">
        <is>
          <t>23894</t>
        </is>
      </c>
      <c r="B10" s="7" t="inlineStr">
        <is>
          <t>romanov5.ru</t>
        </is>
      </c>
      <c r="C10" s="8">
        <f>HYPERLINK("https://belberrycrm.bitrix24.ru/crm/deal/details/23894/","https://belberrycrm.bitrix24.ru/crm/deal/details/23894/")</f>
        <v/>
      </c>
      <c r="D10" s="7" t="inlineStr">
        <is>
          <t>Продажи</t>
        </is>
      </c>
      <c r="E10" s="7" t="inlineStr">
        <is>
          <t>Подготовка КП</t>
        </is>
      </c>
      <c r="F10" s="7" t="inlineStr">
        <is>
          <t>Елизавета Деговцова</t>
        </is>
      </c>
      <c r="G10" s="7" t="inlineStr">
        <is>
          <t>нет</t>
        </is>
      </c>
      <c r="H10" s="7" t="inlineStr">
        <is>
          <t>нет</t>
        </is>
      </c>
    </row>
    <row r="11">
      <c r="A11" s="7" t="inlineStr">
        <is>
          <t>23898</t>
        </is>
      </c>
      <c r="B11" s="7" t="inlineStr">
        <is>
          <t>САУНОВА МАРИНА СТАНИСЛАВОВНА</t>
        </is>
      </c>
      <c r="C11" s="8">
        <f>HYPERLINK("https://belberrycrm.bitrix24.ru/crm/deal/details/23898/","https://belberrycrm.bitrix24.ru/crm/deal/details/23898/")</f>
        <v/>
      </c>
      <c r="D11" s="7" t="inlineStr">
        <is>
          <t>Продажи</t>
        </is>
      </c>
      <c r="E11" s="7" t="inlineStr">
        <is>
          <t>Подготовка КП</t>
        </is>
      </c>
      <c r="F11" s="7" t="inlineStr">
        <is>
          <t>Илья Смирнов</t>
        </is>
      </c>
      <c r="G11" s="7" t="inlineStr">
        <is>
          <t>нет</t>
        </is>
      </c>
      <c r="H11" s="7" t="inlineStr">
        <is>
          <t>нет</t>
        </is>
      </c>
    </row>
    <row r="12">
      <c r="A12" s="7" t="inlineStr">
        <is>
          <t>23916</t>
        </is>
      </c>
      <c r="B12" s="7" t="inlineStr">
        <is>
          <t>spasgan.ru</t>
        </is>
      </c>
      <c r="C12" s="8">
        <f>HYPERLINK("https://belberrycrm.bitrix24.ru/crm/deal/details/23916/","https://belberrycrm.bitrix24.ru/crm/deal/details/23916/")</f>
        <v/>
      </c>
      <c r="D12" s="7" t="inlineStr">
        <is>
          <t>Продажи</t>
        </is>
      </c>
      <c r="E12" s="7" t="inlineStr">
        <is>
          <t>Квалификация</t>
        </is>
      </c>
      <c r="F12" s="7" t="inlineStr">
        <is>
          <t>Илья Смирнов</t>
        </is>
      </c>
      <c r="G12" s="7" t="inlineStr">
        <is>
          <t>нет</t>
        </is>
      </c>
      <c r="H12" s="7" t="inlineStr">
        <is>
          <t>нет</t>
        </is>
      </c>
    </row>
    <row r="13">
      <c r="A13" s="7" t="inlineStr">
        <is>
          <t>23946</t>
        </is>
      </c>
      <c r="B13" s="7" t="inlineStr">
        <is>
          <t>panaceadoc.ru</t>
        </is>
      </c>
      <c r="C13" s="8">
        <f>HYPERLINK("https://belberrycrm.bitrix24.ru/crm/deal/details/23946/","https://belberrycrm.bitrix24.ru/crm/deal/details/23946/")</f>
        <v/>
      </c>
      <c r="D13" s="7" t="inlineStr">
        <is>
          <t>Продажи</t>
        </is>
      </c>
      <c r="E13" s="7" t="inlineStr">
        <is>
          <t>Квалификация</t>
        </is>
      </c>
      <c r="F13" s="7" t="inlineStr">
        <is>
          <t>Илья Смирнов</t>
        </is>
      </c>
      <c r="G13" s="7" t="inlineStr">
        <is>
          <t>нет</t>
        </is>
      </c>
      <c r="H13" s="7" t="inlineStr">
        <is>
          <t>нет</t>
        </is>
      </c>
    </row>
    <row r="14">
      <c r="A14" s="7" t="inlineStr">
        <is>
          <t>23976</t>
        </is>
      </c>
      <c r="B14" s="7" t="inlineStr">
        <is>
          <t>mnevnikident.ru</t>
        </is>
      </c>
      <c r="C14" s="8">
        <f>HYPERLINK("https://belberrycrm.bitrix24.ru/crm/deal/details/23976/","https://belberrycrm.bitrix24.ru/crm/deal/details/23976/")</f>
        <v/>
      </c>
      <c r="D14" s="7" t="inlineStr">
        <is>
          <t>Продажи</t>
        </is>
      </c>
      <c r="E14" s="7" t="inlineStr">
        <is>
          <t>Квалификация</t>
        </is>
      </c>
      <c r="F14" s="7" t="inlineStr">
        <is>
          <t>Елизавета Деговцова</t>
        </is>
      </c>
      <c r="G14" s="7" t="inlineStr">
        <is>
          <t>нет</t>
        </is>
      </c>
      <c r="H14" s="7" t="inlineStr">
        <is>
          <t>нет</t>
        </is>
      </c>
    </row>
    <row r="15">
      <c r="A15" s="7" t="inlineStr">
        <is>
          <t>23978</t>
        </is>
      </c>
      <c r="B15" s="7" t="inlineStr">
        <is>
          <t>ltvgroup.ru</t>
        </is>
      </c>
      <c r="C15" s="8">
        <f>HYPERLINK("https://belberrycrm.bitrix24.ru/crm/deal/details/23978/","https://belberrycrm.bitrix24.ru/crm/deal/details/23978/")</f>
        <v/>
      </c>
      <c r="D15" s="7" t="inlineStr">
        <is>
          <t>Продажи</t>
        </is>
      </c>
      <c r="E15" s="7" t="inlineStr">
        <is>
          <t>Квалификация</t>
        </is>
      </c>
      <c r="F15" s="7" t="inlineStr">
        <is>
          <t>Елизавета Деговцова</t>
        </is>
      </c>
      <c r="G15" s="7" t="inlineStr">
        <is>
          <t>нет</t>
        </is>
      </c>
      <c r="H15" s="7" t="inlineStr">
        <is>
          <t>нет</t>
        </is>
      </c>
    </row>
    <row r="16">
      <c r="A16" s="7" t="inlineStr">
        <is>
          <t>23980</t>
        </is>
      </c>
      <c r="B16" s="7" t="inlineStr">
        <is>
          <t>7 923 702-87-03 - Входящий звонок</t>
        </is>
      </c>
      <c r="C16" s="8">
        <f>HYPERLINK("https://belberrycrm.bitrix24.ru/crm/deal/details/23980/","https://belberrycrm.bitrix24.ru/crm/deal/details/23980/")</f>
        <v/>
      </c>
      <c r="D16" s="7" t="inlineStr">
        <is>
          <t>Продажи</t>
        </is>
      </c>
      <c r="E16" s="7" t="inlineStr">
        <is>
          <t>Квалификация</t>
        </is>
      </c>
      <c r="F16" s="7" t="inlineStr">
        <is>
          <t>Илья Смирнов</t>
        </is>
      </c>
      <c r="G16" s="7" t="inlineStr">
        <is>
          <t>нет</t>
        </is>
      </c>
      <c r="H16" s="7" t="inlineStr">
        <is>
          <t>нет</t>
        </is>
      </c>
    </row>
    <row r="17">
      <c r="A17" s="7" t="inlineStr">
        <is>
          <t>23988</t>
        </is>
      </c>
      <c r="B17" s="7" t="inlineStr">
        <is>
          <t>klinikapelya.ru</t>
        </is>
      </c>
      <c r="C17" s="8">
        <f>HYPERLINK("https://belberrycrm.bitrix24.ru/crm/deal/details/23988/","https://belberrycrm.bitrix24.ru/crm/deal/details/23988/")</f>
        <v/>
      </c>
      <c r="D17" s="7" t="inlineStr">
        <is>
          <t>Продажи</t>
        </is>
      </c>
      <c r="E17" s="7" t="inlineStr">
        <is>
          <t>Подготовка БРИФа</t>
        </is>
      </c>
      <c r="F17" s="7" t="inlineStr">
        <is>
          <t>Илья Смирнов</t>
        </is>
      </c>
      <c r="G17" s="7" t="inlineStr">
        <is>
          <t>нет</t>
        </is>
      </c>
      <c r="H17" s="7" t="inlineStr">
        <is>
          <t>нет</t>
        </is>
      </c>
    </row>
    <row r="18">
      <c r="A18" s="7" t="inlineStr">
        <is>
          <t>23990</t>
        </is>
      </c>
      <c r="B18" s="7" t="inlineStr">
        <is>
          <t>Заявка с сайта Belberry от укецкуец 73452345345</t>
        </is>
      </c>
      <c r="C18" s="8">
        <f>HYPERLINK("https://belberrycrm.bitrix24.ru/crm/deal/details/23990/","https://belberrycrm.bitrix24.ru/crm/deal/details/23990/")</f>
        <v/>
      </c>
      <c r="D18" s="7" t="inlineStr">
        <is>
          <t>Продажи</t>
        </is>
      </c>
      <c r="E18" s="7" t="inlineStr">
        <is>
          <t>Квалификация</t>
        </is>
      </c>
      <c r="F18" s="7" t="inlineStr">
        <is>
          <t>Елизавета Деговцова</t>
        </is>
      </c>
      <c r="G18" s="7" t="inlineStr">
        <is>
          <t>нет</t>
        </is>
      </c>
      <c r="H18" s="7" t="inlineStr">
        <is>
          <t>нет</t>
        </is>
      </c>
    </row>
    <row r="19">
      <c r="A19" s="7" t="inlineStr">
        <is>
          <t>23996</t>
        </is>
      </c>
      <c r="B19" s="7" t="inlineStr">
        <is>
          <t>blagorc.ru</t>
        </is>
      </c>
      <c r="C19" s="8">
        <f>HYPERLINK("https://belberrycrm.bitrix24.ru/crm/deal/details/23996/","https://belberrycrm.bitrix24.ru/crm/deal/details/23996/")</f>
        <v/>
      </c>
      <c r="D19" s="7" t="inlineStr">
        <is>
          <t>Продажи</t>
        </is>
      </c>
      <c r="E19" s="7" t="inlineStr">
        <is>
          <t>Подготовка БРИФа</t>
        </is>
      </c>
      <c r="F19" s="7" t="inlineStr">
        <is>
          <t>Илья Смирнов</t>
        </is>
      </c>
      <c r="G19" s="7" t="inlineStr">
        <is>
          <t>нет</t>
        </is>
      </c>
      <c r="H19" s="7" t="inlineStr">
        <is>
          <t>нет</t>
        </is>
      </c>
    </row>
    <row r="20">
      <c r="A20" s="7" t="inlineStr">
        <is>
          <t>24002</t>
        </is>
      </c>
      <c r="B20" s="7" t="inlineStr">
        <is>
          <t>Email | hello@belberry.net от ООО ВАЛЕД info@valed.ru</t>
        </is>
      </c>
      <c r="C20" s="8">
        <f>HYPERLINK("https://belberrycrm.bitrix24.ru/crm/deal/details/24002/","https://belberrycrm.bitrix24.ru/crm/deal/details/24002/")</f>
        <v/>
      </c>
      <c r="D20" s="7" t="inlineStr">
        <is>
          <t>Продажи</t>
        </is>
      </c>
      <c r="E20" s="7" t="inlineStr">
        <is>
          <t>Квалификация</t>
        </is>
      </c>
      <c r="F20" s="7" t="inlineStr">
        <is>
          <t>Елизавета Деговцова</t>
        </is>
      </c>
      <c r="G20" s="7" t="inlineStr">
        <is>
          <t>нет</t>
        </is>
      </c>
      <c r="H20" s="7" t="inlineStr">
        <is>
          <t>нет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2026-04-28T09:45:24Z</dcterms:created>
  <dcterms:modified xmlns:dcterms="http://purl.org/dc/terms/" xmlns:xsi="http://www.w3.org/2001/XMLSchema-instance" xsi:type="dcterms:W3CDTF">2026-04-28T09:45:24Z</dcterms:modified>
</cp:coreProperties>
</file>