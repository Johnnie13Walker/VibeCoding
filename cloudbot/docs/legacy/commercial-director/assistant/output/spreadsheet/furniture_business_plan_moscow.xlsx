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пущения" sheetId="1" state="visible" r:id="rId1"/>
    <sheet name="Итоги" sheetId="2" state="visible" r:id="rId2"/>
    <sheet name="Unit-экономика" sheetId="3" state="visible" r:id="rId3"/>
    <sheet name="Инвестиции" sheetId="4" state="visible" r:id="rId4"/>
    <sheet name="Источники" sheetId="5" state="visible" r:id="rId5"/>
    <sheet name="Логика_медиаплана" sheetId="6" state="visible" r:id="rId6"/>
    <sheet name="A_Базо" sheetId="7" state="visible" r:id="rId7"/>
    <sheet name="Смета (MID)" sheetId="8" state="visible" r:id="rId8"/>
    <sheet name="ROMI_Базо" sheetId="9" state="visible" r:id="rId9"/>
    <sheet name="A_Опти" sheetId="10" state="visible" r:id="rId10"/>
    <sheet name="Смета (OPT)" sheetId="11" state="visible" r:id="rId11"/>
    <sheet name="ROMI_Опти" sheetId="12" state="visible" r:id="rId12"/>
    <sheet name="Конверсии" sheetId="13" state="visible" r:id="rId13"/>
    <sheet name="ФОТ" sheetId="14" state="visible" r:id="rId14"/>
    <sheet name="ФОТ_24м" sheetId="15" state="visible" r:id="rId15"/>
    <sheet name="План_найма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₽&quot;"/>
    <numFmt numFmtId="165" formatCode="0.0%"/>
    <numFmt numFmtId="166" formatCode="0.0"/>
    <numFmt numFmtId="167" formatCode="0.0x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wrapText="1"/>
    </xf>
    <xf numFmtId="38" fontId="0" fillId="0" borderId="0" pivotButton="0" quotePrefix="0" xfId="0"/>
    <xf numFmtId="166" fontId="0" fillId="0" borderId="0" pivotButton="0" quotePrefix="0" xfId="0"/>
    <xf numFmtId="0" fontId="0" fillId="0" borderId="1" pivotButton="0" quotePrefix="0" xfId="0"/>
    <xf numFmtId="38" fontId="0" fillId="0" borderId="1" pivotButton="0" quotePrefix="0" xfId="0"/>
    <xf numFmtId="0" fontId="2" fillId="4" borderId="0" pivotButton="0" quotePrefix="0" xfId="0"/>
    <xf numFmtId="38" fontId="0" fillId="5" borderId="0" pivotButton="0" quotePrefix="0" xfId="0"/>
    <xf numFmtId="0" fontId="3" fillId="0" borderId="0" pivotButton="0" quotePrefix="0" xfId="0"/>
    <xf numFmtId="0" fontId="2" fillId="4" borderId="1" pivotButton="0" quotePrefix="0" xfId="0"/>
    <xf numFmtId="38" fontId="2" fillId="5" borderId="1" pivotButton="0" quotePrefix="0" xfId="0"/>
    <xf numFmtId="0" fontId="2" fillId="0" borderId="0" pivotButton="0" quotePrefix="0" xfId="0"/>
    <xf numFmtId="165" fontId="0" fillId="0" borderId="0" pivotButton="0" quotePrefix="0" xfId="0"/>
    <xf numFmtId="0" fontId="0" fillId="0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166" fontId="0" fillId="0" borderId="1" pivotButton="0" quotePrefix="0" xfId="0"/>
    <xf numFmtId="167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Рост выручки и чистой прибыли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'A_Базо'!$B$3:$Y$3</f>
            </numRef>
          </cat>
          <val>
            <numRef>
              <f>'A_Базо'!$B$8:$Y$8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'A_Базо'!$B$3:$Y$3</f>
            </numRef>
          </cat>
          <val>
            <numRef>
              <f>'A_Базо'!$B$22:$Y$22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₽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Рост выручки и чистой прибыли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'A_Опти'!$B$3:$Y$3</f>
            </numRef>
          </cat>
          <val>
            <numRef>
              <f>'A_Опти'!$B$8:$Y$8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'A_Опти'!$B$3:$Y$3</f>
            </numRef>
          </cat>
          <val>
            <numRef>
              <f>'A_Опти'!$B$22:$Y$22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₽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C2" authorId="0" shapeId="0">
      <text>
        <t>Ставка УСН «доходы минус расходы» 15%, «доходы» 6%.</t>
      </text>
    </comment>
    <comment ref="F2" authorId="0" shapeId="0">
      <text>
        <t>https://www.nalog.gov.ru/rn25/ifns/r25_14/info/15658830/</t>
      </text>
    </comment>
    <comment ref="C3" authorId="0" shapeId="0">
      <text>
        <t>В 2026 году льгота 15% для МСП зависит от отрасли; для модели принят консервативный эффективный тариф на ФОТ.</t>
      </text>
    </comment>
    <comment ref="F3" authorId="0" shapeId="0">
      <text>
        <t>https://www.nalog.gov.ru/rn77/news/activities_fts/16599875/</t>
      </text>
    </comment>
    <comment ref="C5" authorId="0" shapeId="0">
      <text>
        <t>Ориентир офисной аренды 19–20,5 тыс. ₽/м2/год для помещения около 380 м2.</t>
      </text>
    </comment>
    <comment ref="F5" authorId="0" shapeId="0">
      <text>
        <t>https://www.ecooffice.ru/arenda_ofisa/ot_200_metrov_kv</t>
      </text>
    </comment>
    <comment ref="C6" authorId="0" shapeId="0">
      <text>
        <t>Ориентир аренды мебельного цеха 500 м2: 190 тыс. ₽/мес.</t>
      </text>
    </comment>
    <comment ref="F6" authorId="0" shapeId="0">
      <text>
        <t>https://optima-invest.ru/msk/obekty/stolyarnyy_tsekh_i_mebelnoe_proizvodstvo/</t>
      </text>
    </comment>
    <comment ref="C7" authorId="0" shapeId="0">
      <text>
        <t>Ориентир цены базового раскроечного станка: 200 тыс. ₽.</t>
      </text>
    </comment>
    <comment ref="F7" authorId="0" shapeId="0">
      <text>
        <t>https://www.stankoff.ru/product/26773/formatno-raskroechnyiy-stanok-d45a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25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25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2" customWidth="1" min="4" max="4"/>
    <col width="28" customWidth="1" min="5" max="5"/>
    <col width="28" customWidth="1" min="6" max="6"/>
  </cols>
  <sheetData>
    <row r="1">
      <c r="A1" s="1" t="inlineStr">
        <is>
          <t>Категория</t>
        </is>
      </c>
      <c r="B1" s="1" t="inlineStr">
        <is>
          <t>Показатель</t>
        </is>
      </c>
      <c r="C1" s="1" t="inlineStr">
        <is>
          <t>Значение</t>
        </is>
      </c>
      <c r="D1" s="1" t="inlineStr">
        <is>
          <t>Ед.</t>
        </is>
      </c>
      <c r="E1" s="1" t="inlineStr">
        <is>
          <t>Комментарий</t>
        </is>
      </c>
      <c r="F1" s="1" t="inlineStr">
        <is>
          <t>Источник</t>
        </is>
      </c>
    </row>
    <row r="2">
      <c r="A2" t="inlineStr">
        <is>
          <t>Налоги</t>
        </is>
      </c>
      <c r="B2" t="inlineStr">
        <is>
          <t>Режим налогообложения</t>
        </is>
      </c>
      <c r="C2" s="2" t="inlineStr">
        <is>
          <t>УСН 15%</t>
        </is>
      </c>
      <c r="D2" t="inlineStr"/>
      <c r="E2" s="3" t="inlineStr">
        <is>
          <t>Оптимально при доле прямых затрат выше 55%.</t>
        </is>
      </c>
      <c r="F2" s="3" t="inlineStr">
        <is>
          <t>https://www.nalog.gov.ru/rn25/ifns/r25_14/info/15658830/</t>
        </is>
      </c>
    </row>
    <row r="3">
      <c r="A3" t="inlineStr">
        <is>
          <t>ФОТ</t>
        </is>
      </c>
      <c r="B3" t="inlineStr">
        <is>
          <t>Эффективные взносы на ФОТ</t>
        </is>
      </c>
      <c r="C3" s="2" t="n">
        <v>27</v>
      </c>
      <c r="D3" t="inlineStr">
        <is>
          <t>%</t>
        </is>
      </c>
      <c r="E3" s="3" t="inlineStr">
        <is>
          <t>Консервативная ставка с учетом структуры МСП и действующих правил 2025-2026.</t>
        </is>
      </c>
      <c r="F3" s="3" t="inlineStr">
        <is>
          <t>https://www.nalog.gov.ru/rn77/news/activities_fts/16599875/</t>
        </is>
      </c>
    </row>
    <row r="4">
      <c r="A4" t="inlineStr">
        <is>
          <t>Продажи</t>
        </is>
      </c>
      <c r="B4" t="inlineStr">
        <is>
          <t>Доля рекомендаций от базы</t>
        </is>
      </c>
      <c r="C4" s="2" t="n">
        <v>12</v>
      </c>
      <c r="D4" t="inlineStr">
        <is>
          <t>%</t>
        </is>
      </c>
      <c r="E4" s="3" t="inlineStr">
        <is>
          <t>В базовом сценарии referral-канал разгоняется от накопленной базы.</t>
        </is>
      </c>
      <c r="F4" s="3" t="inlineStr">
        <is>
          <t>Управленческое допущение</t>
        </is>
      </c>
    </row>
    <row r="5">
      <c r="A5" t="inlineStr">
        <is>
          <t>Офис</t>
        </is>
      </c>
      <c r="B5" t="inlineStr">
        <is>
          <t>Шоурум / офис в Москве</t>
        </is>
      </c>
      <c r="C5" s="2" t="n">
        <v>140000</v>
      </c>
      <c r="D5" t="inlineStr">
        <is>
          <t>₽/мес</t>
        </is>
      </c>
      <c r="E5" s="3" t="inlineStr">
        <is>
          <t>Для старта берется компактный шоурум 50-70 м2.</t>
        </is>
      </c>
      <c r="F5" s="3" t="inlineStr">
        <is>
          <t>https://www.ecooffice.ru/arenda_ofisa/ot_200_metrov_kv</t>
        </is>
      </c>
    </row>
    <row r="6">
      <c r="A6" t="inlineStr">
        <is>
          <t>Цех</t>
        </is>
      </c>
      <c r="B6" t="inlineStr">
        <is>
          <t>Аренда цеха 180-250 м2</t>
        </is>
      </c>
      <c r="C6" s="2" t="n">
        <v>250000</v>
      </c>
      <c r="D6" t="inlineStr">
        <is>
          <t>₽/мес</t>
        </is>
      </c>
      <c r="E6" s="3" t="inlineStr">
        <is>
          <t>Заложено выше ориентира рынка с запасом на коммунальные и склад.</t>
        </is>
      </c>
      <c r="F6" s="3" t="inlineStr">
        <is>
          <t>https://optima-invest.ru/msk/obekty/stolyarnyy_tsekh_i_mebelnoe_proizvodstvo/</t>
        </is>
      </c>
    </row>
    <row r="7">
      <c r="A7" t="inlineStr">
        <is>
          <t>Оборудование</t>
        </is>
      </c>
      <c r="B7" t="inlineStr">
        <is>
          <t>Базовый форматно-раскроечный станок</t>
        </is>
      </c>
      <c r="C7" s="2" t="n">
        <v>200000</v>
      </c>
      <c r="D7" t="inlineStr">
        <is>
          <t>₽</t>
        </is>
      </c>
      <c r="E7" s="3" t="inlineStr">
        <is>
          <t>Минимальный ориентир для расчета CAPEX.</t>
        </is>
      </c>
      <c r="F7" s="3" t="inlineStr">
        <is>
          <t>https://www.stankoff.ru/product/26773/formatno-raskroechnyiy-stanok-d45a</t>
        </is>
      </c>
    </row>
    <row r="8">
      <c r="A8" t="inlineStr">
        <is>
          <t>Маркетинг</t>
        </is>
      </c>
      <c r="B8" t="inlineStr">
        <is>
          <t>CPL SEO</t>
        </is>
      </c>
      <c r="C8" s="2" t="n">
        <v>3500</v>
      </c>
      <c r="D8" t="inlineStr">
        <is>
          <t>₽</t>
        </is>
      </c>
      <c r="E8" s="3" t="inlineStr">
        <is>
          <t>Консервативный ориентир для Москвы по нише корпусной мебели.</t>
        </is>
      </c>
      <c r="F8" s="3" t="inlineStr">
        <is>
          <t>Управленческое допущение</t>
        </is>
      </c>
    </row>
    <row r="9">
      <c r="A9" t="inlineStr">
        <is>
          <t>Маркетинг</t>
        </is>
      </c>
      <c r="B9" t="inlineStr">
        <is>
          <t>CPL Контекст</t>
        </is>
      </c>
      <c r="C9" s="2" t="n">
        <v>5500</v>
      </c>
      <c r="D9" t="inlineStr">
        <is>
          <t>₽</t>
        </is>
      </c>
      <c r="E9" s="3" t="inlineStr">
        <is>
          <t>Высококонкурентный аукцион по мебели на заказ.</t>
        </is>
      </c>
      <c r="F9" s="3" t="inlineStr">
        <is>
          <t>Управленческое допущение</t>
        </is>
      </c>
    </row>
    <row r="10">
      <c r="A10" t="inlineStr">
        <is>
          <t>Маркетинг</t>
        </is>
      </c>
      <c r="B10" t="inlineStr">
        <is>
          <t>CPL Авито</t>
        </is>
      </c>
      <c r="C10" s="2" t="n">
        <v>2500</v>
      </c>
      <c r="D10" t="inlineStr">
        <is>
          <t>₽</t>
        </is>
      </c>
      <c r="E10" s="3" t="inlineStr">
        <is>
          <t>С учетом платного продвижения и обработки входящих.</t>
        </is>
      </c>
      <c r="F10" s="3" t="inlineStr">
        <is>
          <t>Управленческое допущение</t>
        </is>
      </c>
    </row>
    <row r="11">
      <c r="A11" t="inlineStr">
        <is>
          <t>Маркетинг</t>
        </is>
      </c>
      <c r="B11" t="inlineStr">
        <is>
          <t>CPL Агрегаторы</t>
        </is>
      </c>
      <c r="C11" s="2" t="n">
        <v>4500</v>
      </c>
      <c r="D11" t="inlineStr">
        <is>
          <t>₽</t>
        </is>
      </c>
      <c r="E11" s="3" t="inlineStr">
        <is>
          <t>С учетом комиссии и покупки трафика.</t>
        </is>
      </c>
      <c r="F11" s="3" t="inlineStr">
        <is>
          <t>Управленческое допущение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5" customWidth="1" min="3" max="3"/>
    <col width="22" customWidth="1" min="4" max="4"/>
    <col width="21" customWidth="1" min="5" max="5"/>
    <col width="27" customWidth="1" min="6" max="6"/>
    <col width="23" customWidth="1" min="7" max="7"/>
    <col width="28" customWidth="1" min="8" max="8"/>
    <col width="18" customWidth="1" min="9" max="9"/>
  </cols>
  <sheetData>
    <row r="1">
      <c r="A1" s="1" t="inlineStr">
        <is>
          <t>Модель</t>
        </is>
      </c>
      <c r="B1" s="1" t="inlineStr">
        <is>
          <t>Сценарий</t>
        </is>
      </c>
      <c r="C1" s="1" t="inlineStr">
        <is>
          <t>Стартовые инвестиции, ₽</t>
        </is>
      </c>
      <c r="D1" s="1" t="inlineStr">
        <is>
          <t>Месяц безубыточности</t>
        </is>
      </c>
      <c r="E1" s="1" t="inlineStr">
        <is>
          <t>Месяц 2 млн чистыми</t>
        </is>
      </c>
      <c r="F1" s="1" t="inlineStr">
        <is>
          <t>Выручка на месяце цели, ₽</t>
        </is>
      </c>
      <c r="G1" s="1" t="inlineStr">
        <is>
          <t>Заказы на месяце цели</t>
        </is>
      </c>
      <c r="H1" s="1" t="inlineStr">
        <is>
          <t>Средний чек на месяце цели, ₽</t>
        </is>
      </c>
      <c r="I1" s="1" t="inlineStr">
        <is>
          <t>Окупаемость, мес</t>
        </is>
      </c>
    </row>
    <row r="2">
      <c r="A2" t="inlineStr">
        <is>
          <t>Аутсорс производства</t>
        </is>
      </c>
      <c r="B2" t="inlineStr">
        <is>
          <t>Базовый</t>
        </is>
      </c>
      <c r="C2" s="4" t="n">
        <v>3050000</v>
      </c>
      <c r="D2" t="n">
        <v>5</v>
      </c>
      <c r="E2" t="n">
        <v>21</v>
      </c>
      <c r="F2" s="4" t="n">
        <v>19820621.56502015</v>
      </c>
      <c r="G2" s="5" t="n">
        <v>50.09833576237513</v>
      </c>
      <c r="H2" s="4" t="n">
        <v>395634.33122874</v>
      </c>
      <c r="I2" t="n">
        <v>15</v>
      </c>
    </row>
    <row r="3">
      <c r="A3" t="inlineStr">
        <is>
          <t>Аутсорс производства</t>
        </is>
      </c>
      <c r="B3" t="inlineStr">
        <is>
          <t>Оптимистичный</t>
        </is>
      </c>
      <c r="C3" s="4" t="n">
        <v>3050000</v>
      </c>
      <c r="D3" t="n">
        <v>2</v>
      </c>
      <c r="E3" t="n">
        <v>10</v>
      </c>
      <c r="F3" s="4" t="n">
        <v>17941972.14808486</v>
      </c>
      <c r="G3" s="5" t="n">
        <v>42.50514421585566</v>
      </c>
      <c r="H3" s="4" t="n">
        <v>422112.9578332776</v>
      </c>
      <c r="I3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7" customWidth="1" min="4" max="4"/>
    <col width="21" customWidth="1" min="5" max="5"/>
    <col width="19" customWidth="1" min="6" max="6"/>
    <col width="28" customWidth="1" min="7" max="7"/>
  </cols>
  <sheetData>
    <row r="1">
      <c r="A1" s="1" t="inlineStr">
        <is>
          <t>Канал</t>
        </is>
      </c>
      <c r="B1" s="1" t="inlineStr">
        <is>
          <t>CPL, ₽</t>
        </is>
      </c>
      <c r="C1" s="1" t="inlineStr">
        <is>
          <t>Лид → замер</t>
        </is>
      </c>
      <c r="D1" s="1" t="inlineStr">
        <is>
          <t>Замер → договор</t>
        </is>
      </c>
      <c r="E1" s="1" t="inlineStr">
        <is>
          <t>Конверсия в клиента</t>
        </is>
      </c>
      <c r="F1" s="1" t="inlineStr">
        <is>
          <t>CAC, ₽</t>
        </is>
      </c>
      <c r="G1" s="1" t="inlineStr">
        <is>
          <t>ROMI-порог при валовой марже 33%</t>
        </is>
      </c>
    </row>
    <row r="2">
      <c r="A2" s="6" t="inlineStr">
        <is>
          <t>Контекст_поиск</t>
        </is>
      </c>
      <c r="B2" s="7" t="n">
        <v>5800</v>
      </c>
      <c r="C2" s="7" t="n">
        <v>0.18</v>
      </c>
      <c r="D2" s="7" t="n">
        <v>0.39</v>
      </c>
      <c r="E2" s="7" t="n">
        <v>0.0702</v>
      </c>
      <c r="F2" s="7" t="n">
        <v>82621.08262108262</v>
      </c>
      <c r="G2" s="7" t="n">
        <v>0.665228116599246</v>
      </c>
    </row>
    <row r="3">
      <c r="A3" s="6" t="inlineStr">
        <is>
          <t>Ретаргетинг</t>
        </is>
      </c>
      <c r="B3" s="7" t="n">
        <v>3000</v>
      </c>
      <c r="C3" s="7" t="n">
        <v>0.24</v>
      </c>
      <c r="D3" s="7" t="n">
        <v>0.34</v>
      </c>
      <c r="E3" s="7" t="n">
        <v>0.08160000000000001</v>
      </c>
      <c r="F3" s="7" t="n">
        <v>36764.70588235294</v>
      </c>
      <c r="G3" s="7" t="n">
        <v>0.2960130184157395</v>
      </c>
    </row>
    <row r="4">
      <c r="A4" s="6" t="inlineStr">
        <is>
          <t>Авито</t>
        </is>
      </c>
      <c r="B4" s="7" t="n">
        <v>2500</v>
      </c>
      <c r="C4" s="7" t="n">
        <v>0.2</v>
      </c>
      <c r="D4" s="7" t="n">
        <v>0.3</v>
      </c>
      <c r="E4" s="7" t="n">
        <v>0.06</v>
      </c>
      <c r="F4" s="7" t="n">
        <v>41666.66666666667</v>
      </c>
      <c r="G4" s="7" t="n">
        <v>0.3354814208711715</v>
      </c>
    </row>
    <row r="5">
      <c r="A5" s="6" t="inlineStr">
        <is>
          <t>Агрегаторы</t>
        </is>
      </c>
      <c r="B5" s="7" t="n">
        <v>4500</v>
      </c>
      <c r="C5" s="7" t="n">
        <v>0.17</v>
      </c>
      <c r="D5" s="7" t="n">
        <v>0.28</v>
      </c>
      <c r="E5" s="7" t="n">
        <v>0.04760000000000001</v>
      </c>
      <c r="F5" s="7" t="n">
        <v>94537.81512605039</v>
      </c>
      <c r="G5" s="7" t="n">
        <v>0.7611763330690442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28" customWidth="1" min="3" max="3"/>
  </cols>
  <sheetData>
    <row r="1">
      <c r="A1" s="1" t="inlineStr">
        <is>
          <t>Статья</t>
        </is>
      </c>
      <c r="B1" s="1" t="inlineStr">
        <is>
          <t>Аутсорс, ₽</t>
        </is>
      </c>
      <c r="C1" s="1" t="inlineStr">
        <is>
          <t>Комментарий</t>
        </is>
      </c>
    </row>
    <row r="2">
      <c r="A2" t="inlineStr">
        <is>
          <t>Маркетинговый запуск на 2 месяца</t>
        </is>
      </c>
      <c r="B2" s="4" t="n">
        <v>700000</v>
      </c>
      <c r="C2" s="3" t="inlineStr">
        <is>
          <t>Контекст, Авито, SEO-ядро, фотоконтент и посадочные.</t>
        </is>
      </c>
    </row>
    <row r="3">
      <c r="A3" t="inlineStr">
        <is>
          <t>Разработка сайта</t>
        </is>
      </c>
      <c r="B3" s="4" t="n">
        <v>280000</v>
      </c>
      <c r="C3" s="3" t="inlineStr">
        <is>
          <t>Прототип, дизайн, верстка, калькулятор, формы, аналитика, базовое SEO.</t>
        </is>
      </c>
    </row>
    <row r="4">
      <c r="A4" t="inlineStr">
        <is>
          <t>CRM, телефония, аналитика</t>
        </is>
      </c>
      <c r="B4" s="4" t="n">
        <v>120000</v>
      </c>
      <c r="C4" s="3" t="inlineStr">
        <is>
          <t>Bitrix24/amo + коллтрекинг + сквозная аналитика.</t>
        </is>
      </c>
    </row>
    <row r="5">
      <c r="A5" t="inlineStr">
        <is>
          <t>Депозит и запуск офиса/шоурума</t>
        </is>
      </c>
      <c r="B5" s="4" t="n">
        <v>250000</v>
      </c>
      <c r="C5" s="3" t="inlineStr">
        <is>
          <t>1-2 месяца депозита и базовая мебель.</t>
        </is>
      </c>
    </row>
    <row r="6">
      <c r="A6" t="inlineStr">
        <is>
          <t>Оборотный капитал</t>
        </is>
      </c>
      <c r="B6" s="4" t="n">
        <v>1250000</v>
      </c>
      <c r="C6" s="3" t="inlineStr">
        <is>
          <t>Авансы фабрикам/поставщикам, кассовый разрыв, реклама.</t>
        </is>
      </c>
    </row>
    <row r="7">
      <c r="A7" t="inlineStr">
        <is>
          <t>Фотоконтент и портфолио</t>
        </is>
      </c>
      <c r="B7" s="4" t="n">
        <v>180000</v>
      </c>
      <c r="C7" s="3" t="inlineStr">
        <is>
          <t>Предметная и интерьерная съемка 8-10 проектов, ретушь, видео-рили.</t>
        </is>
      </c>
    </row>
    <row r="8">
      <c r="A8" t="inlineStr">
        <is>
          <t>Юр. запуск, бренд, регламенты</t>
        </is>
      </c>
      <c r="B8" s="4" t="n">
        <v>270000</v>
      </c>
      <c r="C8" s="3" t="inlineStr">
        <is>
          <t>Договорная база, бренд, скрипты, KPI, шаблоны ТЗ.</t>
        </is>
      </c>
    </row>
    <row r="9">
      <c r="A9" s="8" t="inlineStr">
        <is>
          <t>ИТОГО</t>
        </is>
      </c>
      <c r="B9" s="9">
        <f>SUM(B2:B8)</f>
        <v/>
      </c>
      <c r="C9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Источник</t>
        </is>
      </c>
      <c r="B1" s="1" t="inlineStr">
        <is>
          <t>URL</t>
        </is>
      </c>
      <c r="C1" s="1" t="inlineStr">
        <is>
          <t>Как использовано в модели</t>
        </is>
      </c>
    </row>
    <row r="2">
      <c r="A2" t="inlineStr">
        <is>
          <t>ФНС: УСН 6% и 15%</t>
        </is>
      </c>
      <c r="B2" s="3" t="inlineStr">
        <is>
          <t>https://www.nalog.gov.ru/rn25/ifns/r25_14/info/15658830/</t>
        </is>
      </c>
      <c r="C2" s="3" t="inlineStr">
        <is>
          <t>Ставка УСН «доходы минус расходы» 15%, «доходы» 6%.</t>
        </is>
      </c>
    </row>
    <row r="3">
      <c r="A3" t="inlineStr">
        <is>
          <t>ФНС: изменения взносов 2025</t>
        </is>
      </c>
      <c r="B3" s="3" t="inlineStr">
        <is>
          <t>https://www.nalog.gov.ru/rn28/news/activities_fts/15540345/</t>
        </is>
      </c>
      <c r="C3" s="3" t="inlineStr">
        <is>
          <t>С 2025 года пониженный тариф МСП 15% применяется к выплатам сверх 1,5 МРОТ.</t>
        </is>
      </c>
    </row>
    <row r="4">
      <c r="A4" t="inlineStr">
        <is>
          <t>ФНС Москва: взносы 2026</t>
        </is>
      </c>
      <c r="B4" s="3" t="inlineStr">
        <is>
          <t>https://www.nalog.gov.ru/rn77/news/activities_fts/16599875/</t>
        </is>
      </c>
      <c r="C4" s="3" t="inlineStr">
        <is>
          <t>В 2026 году льгота 15% для МСП зависит от отрасли; для модели принят консервативный эффективный тариф на ФОТ.</t>
        </is>
      </c>
    </row>
    <row r="5">
      <c r="A5" t="inlineStr">
        <is>
          <t>Экоофис: аренда офиса в Москве</t>
        </is>
      </c>
      <c r="B5" s="3" t="inlineStr">
        <is>
          <t>https://www.ecooffice.ru/arenda_ofisa/ot_200_metrov_kv</t>
        </is>
      </c>
      <c r="C5" s="3" t="inlineStr">
        <is>
          <t>Ориентир офисной аренды 19–20,5 тыс. ₽/м2/год для помещения около 380 м2.</t>
        </is>
      </c>
    </row>
    <row r="6">
      <c r="A6" t="inlineStr">
        <is>
          <t>Optima Invest: мебельный цех в Москве</t>
        </is>
      </c>
      <c r="B6" s="3" t="inlineStr">
        <is>
          <t>https://optima-invest.ru/msk/obekty/stolyarnyy_tsekh_i_mebelnoe_proizvodstvo/</t>
        </is>
      </c>
      <c r="C6" s="3" t="inlineStr">
        <is>
          <t>Ориентир аренды мебельного цеха 500 м2: 190 тыс. ₽/мес.</t>
        </is>
      </c>
    </row>
    <row r="7">
      <c r="A7" t="inlineStr">
        <is>
          <t>Станкофф: форматно-раскроечный станок D45A</t>
        </is>
      </c>
      <c r="B7" s="3" t="inlineStr">
        <is>
          <t>https://www.stankoff.ru/product/26773/formatno-raskroechnyiy-stanok-d45a</t>
        </is>
      </c>
      <c r="C7" s="3" t="inlineStr">
        <is>
          <t>Ориентир цены базового раскроечного станка: 200 тыс. ₽.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8" customWidth="1" min="3" max="3"/>
    <col width="28" customWidth="1" min="4" max="4"/>
  </cols>
  <sheetData>
    <row r="1">
      <c r="A1" s="1" t="inlineStr">
        <is>
          <t>Фаза</t>
        </is>
      </c>
      <c r="B1" s="1" t="inlineStr">
        <is>
          <t>Период</t>
        </is>
      </c>
      <c r="C1" s="1" t="inlineStr">
        <is>
          <t>Логика бюджета</t>
        </is>
      </c>
      <c r="D1" s="1" t="inlineStr">
        <is>
          <t>Что считаем успехом</t>
        </is>
      </c>
    </row>
    <row r="2">
      <c r="A2" t="inlineStr">
        <is>
          <t>Запуск</t>
        </is>
      </c>
      <c r="B2" t="inlineStr">
        <is>
          <t>M1-M3</t>
        </is>
      </c>
      <c r="C2" s="3" t="inlineStr">
        <is>
          <t>Сайт и аналитика собраны, контекст и Авито дают первые сделки, SEO в разогреве.</t>
        </is>
      </c>
      <c r="D2" s="3" t="inlineStr">
        <is>
          <t>Сайт запущен, сквозная аналитика работает, первые 8-10 договоров/мес.</t>
        </is>
      </c>
    </row>
    <row r="3">
      <c r="A3" t="inlineStr">
        <is>
          <t>Разгон</t>
        </is>
      </c>
      <c r="B3" t="inlineStr">
        <is>
          <t>M4-M8</t>
        </is>
      </c>
      <c r="C3" s="3" t="inlineStr">
        <is>
          <t>Усиливаем лучшее: расширяем семантику, объявления, кейсы и отзывы.</t>
        </is>
      </c>
      <c r="D3" s="3" t="inlineStr">
        <is>
          <t>Есть ROMI-положительные связки объявлений и 12-18 договоров/мес.</t>
        </is>
      </c>
    </row>
    <row r="4">
      <c r="A4" t="inlineStr">
        <is>
          <t>Оптимизация</t>
        </is>
      </c>
      <c r="B4" t="inlineStr">
        <is>
          <t>M9-M14</t>
        </is>
      </c>
      <c r="C4" s="3" t="inlineStr">
        <is>
          <t>Чистим неэффективные кампании, повышаем долю ROMI-положительных каналов.</t>
        </is>
      </c>
      <c r="D4" s="3" t="inlineStr">
        <is>
          <t>Удерживаем CAC, перераспределяем бюджет в SEO, ретаргетинг и сильные кластеры.</t>
        </is>
      </c>
    </row>
    <row r="5">
      <c r="A5" t="inlineStr">
        <is>
          <t>Масштабирование</t>
        </is>
      </c>
      <c r="B5" t="inlineStr">
        <is>
          <t>M15-M24</t>
        </is>
      </c>
      <c r="C5" s="3" t="inlineStr">
        <is>
          <t>Добавляем объем только в каналы с устойчивой окупаемостью и SLA по обработке.</t>
        </is>
      </c>
      <c r="D5" s="3" t="inlineStr">
        <is>
          <t>Масштабируем только то, что выдерживает SLA обработки и дает прибыль.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0" t="inlineStr">
        <is>
          <t>Аутсорс производства | Базовый</t>
        </is>
      </c>
    </row>
    <row r="2"/>
    <row r="3">
      <c r="A3" s="1" t="inlineStr">
        <is>
          <t>Показатель</t>
        </is>
      </c>
      <c r="B3" s="1" t="inlineStr">
        <is>
          <t>M1</t>
        </is>
      </c>
      <c r="C3" s="1" t="inlineStr">
        <is>
          <t>M2</t>
        </is>
      </c>
      <c r="D3" s="1" t="inlineStr">
        <is>
          <t>M3</t>
        </is>
      </c>
      <c r="E3" s="1" t="inlineStr">
        <is>
          <t>M4</t>
        </is>
      </c>
      <c r="F3" s="1" t="inlineStr">
        <is>
          <t>M5</t>
        </is>
      </c>
      <c r="G3" s="1" t="inlineStr">
        <is>
          <t>M6</t>
        </is>
      </c>
      <c r="H3" s="1" t="inlineStr">
        <is>
          <t>M7</t>
        </is>
      </c>
      <c r="I3" s="1" t="inlineStr">
        <is>
          <t>M8</t>
        </is>
      </c>
      <c r="J3" s="1" t="inlineStr">
        <is>
          <t>M9</t>
        </is>
      </c>
      <c r="K3" s="1" t="inlineStr">
        <is>
          <t>M10</t>
        </is>
      </c>
      <c r="L3" s="1" t="inlineStr">
        <is>
          <t>M11</t>
        </is>
      </c>
      <c r="M3" s="1" t="inlineStr">
        <is>
          <t>M12</t>
        </is>
      </c>
      <c r="N3" s="1" t="inlineStr">
        <is>
          <t>M13</t>
        </is>
      </c>
      <c r="O3" s="1" t="inlineStr">
        <is>
          <t>M14</t>
        </is>
      </c>
      <c r="P3" s="1" t="inlineStr">
        <is>
          <t>M15</t>
        </is>
      </c>
      <c r="Q3" s="1" t="inlineStr">
        <is>
          <t>M16</t>
        </is>
      </c>
      <c r="R3" s="1" t="inlineStr">
        <is>
          <t>M17</t>
        </is>
      </c>
      <c r="S3" s="1" t="inlineStr">
        <is>
          <t>M18</t>
        </is>
      </c>
      <c r="T3" s="1" t="inlineStr">
        <is>
          <t>M19</t>
        </is>
      </c>
      <c r="U3" s="1" t="inlineStr">
        <is>
          <t>M20</t>
        </is>
      </c>
      <c r="V3" s="1" t="inlineStr">
        <is>
          <t>M21</t>
        </is>
      </c>
      <c r="W3" s="1" t="inlineStr">
        <is>
          <t>M22</t>
        </is>
      </c>
      <c r="X3" s="1" t="inlineStr">
        <is>
          <t>M23</t>
        </is>
      </c>
      <c r="Y3" s="1" t="inlineStr">
        <is>
          <t>M24</t>
        </is>
      </c>
    </row>
    <row r="4">
      <c r="A4" s="6" t="inlineStr">
        <is>
          <t>Лиды</t>
        </is>
      </c>
      <c r="B4" s="7" t="n">
        <v>84.58620689655173</v>
      </c>
      <c r="C4" s="7" t="n">
        <v>98.59837514086475</v>
      </c>
      <c r="D4" s="7" t="n">
        <v>114.4829723231682</v>
      </c>
      <c r="E4" s="7" t="n">
        <v>158.1651304838983</v>
      </c>
      <c r="F4" s="7" t="n">
        <v>176.0540629832018</v>
      </c>
      <c r="G4" s="7" t="n">
        <v>174.9123311486064</v>
      </c>
      <c r="H4" s="7" t="n">
        <v>168.2173716047153</v>
      </c>
      <c r="I4" s="7" t="n">
        <v>192.1960343147918</v>
      </c>
      <c r="J4" s="7" t="n">
        <v>272.1776156731509</v>
      </c>
      <c r="K4" s="7" t="n">
        <v>313.6997174124887</v>
      </c>
      <c r="L4" s="7" t="n">
        <v>331.0329565671145</v>
      </c>
      <c r="M4" s="7" t="n">
        <v>316.575288465118</v>
      </c>
      <c r="N4" s="7" t="n">
        <v>317.7545832180317</v>
      </c>
      <c r="O4" s="7" t="n">
        <v>360.2458159310926</v>
      </c>
      <c r="P4" s="7" t="n">
        <v>439.702933772451</v>
      </c>
      <c r="Q4" s="7" t="n">
        <v>494.8637325401622</v>
      </c>
      <c r="R4" s="7" t="n">
        <v>535.7446711868598</v>
      </c>
      <c r="S4" s="7" t="n">
        <v>517.6891973776317</v>
      </c>
      <c r="T4" s="7" t="n">
        <v>484.2351668176686</v>
      </c>
      <c r="U4" s="7" t="n">
        <v>538.1045397496855</v>
      </c>
      <c r="V4" s="7" t="n">
        <v>683.8759187849582</v>
      </c>
      <c r="W4" s="7" t="n">
        <v>766.5650863891276</v>
      </c>
      <c r="X4" s="7" t="n">
        <v>786.7126084561156</v>
      </c>
      <c r="Y4" s="7" t="n">
        <v>731.6979312818759</v>
      </c>
    </row>
    <row r="5">
      <c r="A5" s="6" t="inlineStr">
        <is>
          <t>Замеры</t>
        </is>
      </c>
      <c r="B5" s="7" t="n">
        <v>16.00151724137931</v>
      </c>
      <c r="C5" s="7" t="n">
        <v>18.65194997291745</v>
      </c>
      <c r="D5" s="7" t="n">
        <v>21.65649691288887</v>
      </c>
      <c r="E5" s="7" t="n">
        <v>30.42857768672373</v>
      </c>
      <c r="F5" s="7" t="n">
        <v>33.86985219173015</v>
      </c>
      <c r="G5" s="7" t="n">
        <v>33.64991471831222</v>
      </c>
      <c r="H5" s="7" t="n">
        <v>32.36164758136861</v>
      </c>
      <c r="I5" s="7" t="n">
        <v>36.97433701685876</v>
      </c>
      <c r="J5" s="7" t="n">
        <v>52.41932567717561</v>
      </c>
      <c r="K5" s="7" t="n">
        <v>60.41533915104117</v>
      </c>
      <c r="L5" s="7" t="n">
        <v>63.75266488499209</v>
      </c>
      <c r="M5" s="7" t="n">
        <v>60.96745913064539</v>
      </c>
      <c r="N5" s="7" t="n">
        <v>61.1937174115826</v>
      </c>
      <c r="O5" s="7" t="n">
        <v>69.37577405101433</v>
      </c>
      <c r="P5" s="7" t="n">
        <v>84.8168608543921</v>
      </c>
      <c r="Q5" s="7" t="n">
        <v>95.45542114237949</v>
      </c>
      <c r="R5" s="7" t="n">
        <v>103.3391605846004</v>
      </c>
      <c r="S5" s="7" t="n">
        <v>99.85463488293573</v>
      </c>
      <c r="T5" s="7" t="n">
        <v>93.40012672686821</v>
      </c>
      <c r="U5" s="7" t="n">
        <v>103.7886271289092</v>
      </c>
      <c r="V5" s="7" t="n">
        <v>131.9022952441775</v>
      </c>
      <c r="W5" s="7" t="n">
        <v>147.8481740440667</v>
      </c>
      <c r="X5" s="7" t="n">
        <v>151.7311982400843</v>
      </c>
      <c r="Y5" s="7" t="n">
        <v>141.1179989188348</v>
      </c>
    </row>
    <row r="6">
      <c r="A6" s="6" t="inlineStr">
        <is>
          <t>Заказы</t>
        </is>
      </c>
      <c r="B6" s="7" t="n">
        <v>6.298431724137931</v>
      </c>
      <c r="C6" s="7" t="n">
        <v>7.177030659965526</v>
      </c>
      <c r="D6" s="7" t="n">
        <v>8.177986293041759</v>
      </c>
      <c r="E6" s="7" t="n">
        <v>11.28063865340972</v>
      </c>
      <c r="F6" s="7" t="n">
        <v>12.86297174431771</v>
      </c>
      <c r="G6" s="7" t="n">
        <v>13.01289333455303</v>
      </c>
      <c r="H6" s="7" t="n">
        <v>12.60623756441013</v>
      </c>
      <c r="I6" s="7" t="n">
        <v>14.08830366887223</v>
      </c>
      <c r="J6" s="7" t="n">
        <v>19.53789330028633</v>
      </c>
      <c r="K6" s="7" t="n">
        <v>22.98322493474034</v>
      </c>
      <c r="L6" s="7" t="n">
        <v>24.58717683671245</v>
      </c>
      <c r="M6" s="7" t="n">
        <v>23.88112525643484</v>
      </c>
      <c r="N6" s="7" t="n">
        <v>23.86112058091792</v>
      </c>
      <c r="O6" s="7" t="n">
        <v>26.6050887755495</v>
      </c>
      <c r="P6" s="7" t="n">
        <v>32.29889485380854</v>
      </c>
      <c r="Q6" s="7" t="n">
        <v>36.68466044097551</v>
      </c>
      <c r="R6" s="7" t="n">
        <v>39.95997734105912</v>
      </c>
      <c r="S6" s="7" t="n">
        <v>39.24906569978356</v>
      </c>
      <c r="T6" s="7" t="n">
        <v>36.97861213136787</v>
      </c>
      <c r="U6" s="7" t="n">
        <v>40.16752953649048</v>
      </c>
      <c r="V6" s="7" t="n">
        <v>50.09833576237513</v>
      </c>
      <c r="W6" s="7" t="n">
        <v>56.87237745729631</v>
      </c>
      <c r="X6" s="7" t="n">
        <v>59.13748458557453</v>
      </c>
      <c r="Y6" s="7" t="n">
        <v>55.88178359038533</v>
      </c>
    </row>
    <row r="7">
      <c r="A7" s="6" t="inlineStr">
        <is>
          <t>Средний чек</t>
        </is>
      </c>
      <c r="B7" s="7" t="n">
        <v>376362.5</v>
      </c>
      <c r="C7" s="7" t="n">
        <v>377303.40625</v>
      </c>
      <c r="D7" s="7" t="n">
        <v>378246.664765625</v>
      </c>
      <c r="E7" s="7" t="n">
        <v>379192.281427539</v>
      </c>
      <c r="F7" s="7" t="n">
        <v>380140.2621311079</v>
      </c>
      <c r="G7" s="7" t="n">
        <v>381090.6127864356</v>
      </c>
      <c r="H7" s="7" t="n">
        <v>382043.3393184016</v>
      </c>
      <c r="I7" s="7" t="n">
        <v>382998.4476666976</v>
      </c>
      <c r="J7" s="7" t="n">
        <v>383955.9437858644</v>
      </c>
      <c r="K7" s="7" t="n">
        <v>384915.8336453291</v>
      </c>
      <c r="L7" s="7" t="n">
        <v>385878.1232294423</v>
      </c>
      <c r="M7" s="7" t="n">
        <v>386842.8185375158</v>
      </c>
      <c r="N7" s="7" t="n">
        <v>387809.9255838597</v>
      </c>
      <c r="O7" s="7" t="n">
        <v>388779.4503978193</v>
      </c>
      <c r="P7" s="7" t="n">
        <v>389751.3990238138</v>
      </c>
      <c r="Q7" s="7" t="n">
        <v>390725.7775213733</v>
      </c>
      <c r="R7" s="7" t="n">
        <v>391702.5919651767</v>
      </c>
      <c r="S7" s="7" t="n">
        <v>392681.8484450897</v>
      </c>
      <c r="T7" s="7" t="n">
        <v>393663.5530662023</v>
      </c>
      <c r="U7" s="7" t="n">
        <v>394647.7119488679</v>
      </c>
      <c r="V7" s="7" t="n">
        <v>395634.33122874</v>
      </c>
      <c r="W7" s="7" t="n">
        <v>396623.4170568118</v>
      </c>
      <c r="X7" s="7" t="n">
        <v>397614.9755994538</v>
      </c>
      <c r="Y7" s="7" t="n">
        <v>398609.0130384525</v>
      </c>
    </row>
    <row r="8">
      <c r="A8" s="11" t="inlineStr">
        <is>
          <t>Выручка</t>
        </is>
      </c>
      <c r="B8" s="12" t="n">
        <v>2370493.509775862</v>
      </c>
      <c r="C8" s="12" t="n">
        <v>2707918.114765679</v>
      </c>
      <c r="D8" s="12" t="n">
        <v>3093296.039842042</v>
      </c>
      <c r="E8" s="12" t="n">
        <v>4277531.106946112</v>
      </c>
      <c r="F8" s="12" t="n">
        <v>4889733.450669969</v>
      </c>
      <c r="G8" s="12" t="n">
        <v>4959091.494989339</v>
      </c>
      <c r="H8" s="12" t="n">
        <v>4816129.095348319</v>
      </c>
      <c r="I8" s="12" t="n">
        <v>5395798.435435104</v>
      </c>
      <c r="J8" s="12" t="n">
        <v>7501690.261698955</v>
      </c>
      <c r="K8" s="12" t="n">
        <v>8846607.185613692</v>
      </c>
      <c r="L8" s="12" t="n">
        <v>9487653.653261015</v>
      </c>
      <c r="M8" s="12" t="n">
        <v>9238241.804046709</v>
      </c>
      <c r="N8" s="12" t="n">
        <v>9253579.39683328</v>
      </c>
      <c r="O8" s="12" t="n">
        <v>10343511.79194333</v>
      </c>
      <c r="P8" s="12" t="n">
        <v>12588539.45619494</v>
      </c>
      <c r="Q8" s="12" t="n">
        <v>14333642.47390772</v>
      </c>
      <c r="R8" s="12" t="n">
        <v>15652426.69936259</v>
      </c>
      <c r="S8" s="12" t="n">
        <v>15412395.66873378</v>
      </c>
      <c r="T8" s="12" t="n">
        <v>14557131.83909125</v>
      </c>
      <c r="U8" s="12" t="n">
        <v>15852023.62621454</v>
      </c>
      <c r="V8" s="12" t="n">
        <v>19820621.56502015</v>
      </c>
      <c r="W8" s="12" t="n">
        <v>22556916.68325765</v>
      </c>
      <c r="X8" s="12" t="n">
        <v>23513949.49050629</v>
      </c>
      <c r="Y8" s="12" t="n">
        <v>22274982.60379189</v>
      </c>
    </row>
    <row r="9">
      <c r="A9" s="6" t="inlineStr">
        <is>
          <t>Себестоимость: производство</t>
        </is>
      </c>
      <c r="B9" s="7" t="n">
        <v>995607.274105862</v>
      </c>
      <c r="C9" s="7" t="n">
        <v>1137325.608201585</v>
      </c>
      <c r="D9" s="7" t="n">
        <v>1299184.336733658</v>
      </c>
      <c r="E9" s="7" t="n">
        <v>1796563.064917367</v>
      </c>
      <c r="F9" s="7" t="n">
        <v>2053688.049281387</v>
      </c>
      <c r="G9" s="7" t="n">
        <v>2082818.427895522</v>
      </c>
      <c r="H9" s="7" t="n">
        <v>2022774.220046294</v>
      </c>
      <c r="I9" s="7" t="n">
        <v>2266235.342882744</v>
      </c>
      <c r="J9" s="7" t="n">
        <v>3150709.909913561</v>
      </c>
      <c r="K9" s="7" t="n">
        <v>3715575.01795775</v>
      </c>
      <c r="L9" s="7" t="n">
        <v>3984814.534369626</v>
      </c>
      <c r="M9" s="7" t="n">
        <v>3880061.557699617</v>
      </c>
      <c r="N9" s="7" t="n">
        <v>3886503.346669978</v>
      </c>
      <c r="O9" s="7" t="n">
        <v>4344274.952616197</v>
      </c>
      <c r="P9" s="7" t="n">
        <v>5287186.571601873</v>
      </c>
      <c r="Q9" s="7" t="n">
        <v>6020129.839041242</v>
      </c>
      <c r="R9" s="7" t="n">
        <v>6574019.213732285</v>
      </c>
      <c r="S9" s="7" t="n">
        <v>6473206.180868185</v>
      </c>
      <c r="T9" s="7" t="n">
        <v>6113995.372418325</v>
      </c>
      <c r="U9" s="7" t="n">
        <v>6657849.923010105</v>
      </c>
      <c r="V9" s="7" t="n">
        <v>8324661.057308463</v>
      </c>
      <c r="W9" s="7" t="n">
        <v>9473905.006968215</v>
      </c>
      <c r="X9" s="7" t="n">
        <v>9875858.786012642</v>
      </c>
      <c r="Y9" s="7" t="n">
        <v>9355492.693592591</v>
      </c>
    </row>
    <row r="10">
      <c r="A10" s="6" t="inlineStr">
        <is>
          <t>Себестоимость: материалы</t>
        </is>
      </c>
      <c r="B10" s="7" t="n">
        <v>237049.3509775862</v>
      </c>
      <c r="C10" s="7" t="n">
        <v>270791.8114765679</v>
      </c>
      <c r="D10" s="7" t="n">
        <v>309329.6039842042</v>
      </c>
      <c r="E10" s="7" t="n">
        <v>427753.1106946112</v>
      </c>
      <c r="F10" s="7" t="n">
        <v>488973.345066997</v>
      </c>
      <c r="G10" s="7" t="n">
        <v>495909.1494989339</v>
      </c>
      <c r="H10" s="7" t="n">
        <v>481612.9095348319</v>
      </c>
      <c r="I10" s="7" t="n">
        <v>539579.8435435104</v>
      </c>
      <c r="J10" s="7" t="n">
        <v>750169.0261698955</v>
      </c>
      <c r="K10" s="7" t="n">
        <v>884660.7185613692</v>
      </c>
      <c r="L10" s="7" t="n">
        <v>948765.3653261015</v>
      </c>
      <c r="M10" s="7" t="n">
        <v>923824.180404671</v>
      </c>
      <c r="N10" s="7" t="n">
        <v>925357.939683328</v>
      </c>
      <c r="O10" s="7" t="n">
        <v>1034351.179194333</v>
      </c>
      <c r="P10" s="7" t="n">
        <v>1258853.945619494</v>
      </c>
      <c r="Q10" s="7" t="n">
        <v>1433364.247390772</v>
      </c>
      <c r="R10" s="7" t="n">
        <v>1565242.669936259</v>
      </c>
      <c r="S10" s="7" t="n">
        <v>1541239.566873378</v>
      </c>
      <c r="T10" s="7" t="n">
        <v>1455713.183909125</v>
      </c>
      <c r="U10" s="7" t="n">
        <v>1585202.362621454</v>
      </c>
      <c r="V10" s="7" t="n">
        <v>1982062.156502015</v>
      </c>
      <c r="W10" s="7" t="n">
        <v>2255691.668325766</v>
      </c>
      <c r="X10" s="7" t="n">
        <v>2351394.949050629</v>
      </c>
      <c r="Y10" s="7" t="n">
        <v>2227498.260379189</v>
      </c>
    </row>
    <row r="11">
      <c r="A11" s="6" t="inlineStr">
        <is>
          <t>Себестоимость: логистика</t>
        </is>
      </c>
      <c r="B11" s="7" t="n">
        <v>82967.27284215519</v>
      </c>
      <c r="C11" s="7" t="n">
        <v>94777.13401679875</v>
      </c>
      <c r="D11" s="7" t="n">
        <v>108265.3613944715</v>
      </c>
      <c r="E11" s="7" t="n">
        <v>149713.5887431139</v>
      </c>
      <c r="F11" s="7" t="n">
        <v>171140.6707734489</v>
      </c>
      <c r="G11" s="7" t="n">
        <v>173568.2023246269</v>
      </c>
      <c r="H11" s="7" t="n">
        <v>168564.5183371912</v>
      </c>
      <c r="I11" s="7" t="n">
        <v>188852.9452402287</v>
      </c>
      <c r="J11" s="7" t="n">
        <v>262559.1591594634</v>
      </c>
      <c r="K11" s="7" t="n">
        <v>309631.2514964793</v>
      </c>
      <c r="L11" s="7" t="n">
        <v>332067.8778641355</v>
      </c>
      <c r="M11" s="7" t="n">
        <v>323338.4631416348</v>
      </c>
      <c r="N11" s="7" t="n">
        <v>323875.2788891649</v>
      </c>
      <c r="O11" s="7" t="n">
        <v>362022.9127180165</v>
      </c>
      <c r="P11" s="7" t="n">
        <v>440598.8809668228</v>
      </c>
      <c r="Q11" s="7" t="n">
        <v>501677.4865867703</v>
      </c>
      <c r="R11" s="7" t="n">
        <v>547834.9344776905</v>
      </c>
      <c r="S11" s="7" t="n">
        <v>539433.8484056822</v>
      </c>
      <c r="T11" s="7" t="n">
        <v>509499.6143681938</v>
      </c>
      <c r="U11" s="7" t="n">
        <v>554820.8269175088</v>
      </c>
      <c r="V11" s="7" t="n">
        <v>693721.7547757054</v>
      </c>
      <c r="W11" s="7" t="n">
        <v>789492.083914018</v>
      </c>
      <c r="X11" s="7" t="n">
        <v>822988.2321677203</v>
      </c>
      <c r="Y11" s="7" t="n">
        <v>779624.3911327161</v>
      </c>
    </row>
    <row r="12">
      <c r="A12" s="6" t="inlineStr">
        <is>
          <t>Себестоимость: сборка</t>
        </is>
      </c>
      <c r="B12" s="7" t="n">
        <v>106672.2079399138</v>
      </c>
      <c r="C12" s="7" t="n">
        <v>121856.3151644555</v>
      </c>
      <c r="D12" s="7" t="n">
        <v>139198.3217928919</v>
      </c>
      <c r="E12" s="7" t="n">
        <v>192488.899812575</v>
      </c>
      <c r="F12" s="7" t="n">
        <v>220038.0052801486</v>
      </c>
      <c r="G12" s="7" t="n">
        <v>223159.1172745202</v>
      </c>
      <c r="H12" s="7" t="n">
        <v>216725.8092906743</v>
      </c>
      <c r="I12" s="7" t="n">
        <v>242810.9295945797</v>
      </c>
      <c r="J12" s="7" t="n">
        <v>337576.0617764529</v>
      </c>
      <c r="K12" s="7" t="n">
        <v>398097.3233526161</v>
      </c>
      <c r="L12" s="7" t="n">
        <v>426944.4143967457</v>
      </c>
      <c r="M12" s="7" t="n">
        <v>415720.8811821019</v>
      </c>
      <c r="N12" s="7" t="n">
        <v>416411.0728574976</v>
      </c>
      <c r="O12" s="7" t="n">
        <v>465458.0306374497</v>
      </c>
      <c r="P12" s="7" t="n">
        <v>566484.2755287722</v>
      </c>
      <c r="Q12" s="7" t="n">
        <v>645013.9113258474</v>
      </c>
      <c r="R12" s="7" t="n">
        <v>704359.2014713163</v>
      </c>
      <c r="S12" s="7" t="n">
        <v>693557.8050930199</v>
      </c>
      <c r="T12" s="7" t="n">
        <v>655070.9327591063</v>
      </c>
      <c r="U12" s="7" t="n">
        <v>713341.0631796541</v>
      </c>
      <c r="V12" s="7" t="n">
        <v>891927.9704259068</v>
      </c>
      <c r="W12" s="7" t="n">
        <v>1015061.250746594</v>
      </c>
      <c r="X12" s="7" t="n">
        <v>1058127.727072783</v>
      </c>
      <c r="Y12" s="7" t="n">
        <v>1002374.217170635</v>
      </c>
    </row>
    <row r="13">
      <c r="A13" s="6" t="inlineStr">
        <is>
          <t>Итого себестоимость</t>
        </is>
      </c>
      <c r="B13" s="7" t="n">
        <v>1422296.105865517</v>
      </c>
      <c r="C13" s="7" t="n">
        <v>1624750.868859407</v>
      </c>
      <c r="D13" s="7" t="n">
        <v>1855977.623905225</v>
      </c>
      <c r="E13" s="7" t="n">
        <v>2566518.664167667</v>
      </c>
      <c r="F13" s="7" t="n">
        <v>2933840.070401981</v>
      </c>
      <c r="G13" s="7" t="n">
        <v>2975454.896993604</v>
      </c>
      <c r="H13" s="7" t="n">
        <v>2889677.457208992</v>
      </c>
      <c r="I13" s="7" t="n">
        <v>3237479.061261062</v>
      </c>
      <c r="J13" s="7" t="n">
        <v>4501014.157019373</v>
      </c>
      <c r="K13" s="7" t="n">
        <v>5307964.311368215</v>
      </c>
      <c r="L13" s="7" t="n">
        <v>5692592.191956609</v>
      </c>
      <c r="M13" s="7" t="n">
        <v>5542945.082428025</v>
      </c>
      <c r="N13" s="7" t="n">
        <v>5552147.638099968</v>
      </c>
      <c r="O13" s="7" t="n">
        <v>6206107.075165996</v>
      </c>
      <c r="P13" s="7" t="n">
        <v>7553123.673716961</v>
      </c>
      <c r="Q13" s="7" t="n">
        <v>8600185.484344631</v>
      </c>
      <c r="R13" s="7" t="n">
        <v>9391456.01961755</v>
      </c>
      <c r="S13" s="7" t="n">
        <v>9247437.401240265</v>
      </c>
      <c r="T13" s="7" t="n">
        <v>8734279.103454752</v>
      </c>
      <c r="U13" s="7" t="n">
        <v>9511214.175728723</v>
      </c>
      <c r="V13" s="7" t="n">
        <v>11892372.93901209</v>
      </c>
      <c r="W13" s="7" t="n">
        <v>13534150.00995459</v>
      </c>
      <c r="X13" s="7" t="n">
        <v>14108369.69430378</v>
      </c>
      <c r="Y13" s="7" t="n">
        <v>13364989.56227513</v>
      </c>
    </row>
    <row r="14">
      <c r="A14" s="6" t="inlineStr">
        <is>
          <t>Маркетинг</t>
        </is>
      </c>
      <c r="B14" s="7" t="n">
        <v>355563.9480782069</v>
      </c>
      <c r="C14" s="7" t="n">
        <v>413016.9449181255</v>
      </c>
      <c r="D14" s="7" t="n">
        <v>477982.7563187364</v>
      </c>
      <c r="E14" s="7" t="n">
        <v>654884.5820475691</v>
      </c>
      <c r="F14" s="7" t="n">
        <v>728170.21528796</v>
      </c>
      <c r="G14" s="7" t="n">
        <v>722460.967390855</v>
      </c>
      <c r="H14" s="7" t="n">
        <v>693459.5081881445</v>
      </c>
      <c r="I14" s="7" t="n">
        <v>789489.4337977412</v>
      </c>
      <c r="J14" s="7" t="n">
        <v>1121709.405339101</v>
      </c>
      <c r="K14" s="7" t="n">
        <v>1291144.016371839</v>
      </c>
      <c r="L14" s="7" t="n">
        <v>1360236.669544333</v>
      </c>
      <c r="M14" s="7" t="n">
        <v>1298840.860635899</v>
      </c>
      <c r="N14" s="7" t="n">
        <v>1300213.494976359</v>
      </c>
      <c r="O14" s="7" t="n">
        <v>1469154.44248466</v>
      </c>
      <c r="P14" s="7" t="n">
        <v>1796836.974168746</v>
      </c>
      <c r="Q14" s="7" t="n">
        <v>2018324.128293973</v>
      </c>
      <c r="R14" s="7" t="n">
        <v>2180461.743774679</v>
      </c>
      <c r="S14" s="7" t="n">
        <v>2103805.410795839</v>
      </c>
      <c r="T14" s="7" t="n">
        <v>1963873.28046473</v>
      </c>
      <c r="U14" s="7" t="n">
        <v>2174089.26100216</v>
      </c>
      <c r="V14" s="7" t="n">
        <v>2753261.061588845</v>
      </c>
      <c r="W14" s="7" t="n">
        <v>3080853.798119565</v>
      </c>
      <c r="X14" s="7" t="n">
        <v>3156519.403886671</v>
      </c>
      <c r="Y14" s="7" t="n">
        <v>2931398.102715665</v>
      </c>
    </row>
    <row r="15">
      <c r="A15" s="6" t="inlineStr">
        <is>
          <t>ФОТ</t>
        </is>
      </c>
      <c r="B15" s="7" t="n">
        <v>677668.8831759655</v>
      </c>
      <c r="C15" s="7" t="n">
        <v>683742.5260657822</v>
      </c>
      <c r="D15" s="7" t="n">
        <v>690679.3287171568</v>
      </c>
      <c r="E15" s="7" t="n">
        <v>711995.55992503</v>
      </c>
      <c r="F15" s="7" t="n">
        <v>723015.2021120595</v>
      </c>
      <c r="G15" s="7" t="n">
        <v>724263.646909808</v>
      </c>
      <c r="H15" s="7" t="n">
        <v>721690.3237162697</v>
      </c>
      <c r="I15" s="7" t="n">
        <v>732124.3718378319</v>
      </c>
      <c r="J15" s="7" t="n">
        <v>970030.4247105812</v>
      </c>
      <c r="K15" s="7" t="n">
        <v>1124238.929341046</v>
      </c>
      <c r="L15" s="7" t="n">
        <v>1135777.765758698</v>
      </c>
      <c r="M15" s="7" t="n">
        <v>1131288.352472841</v>
      </c>
      <c r="N15" s="7" t="n">
        <v>1131564.429142999</v>
      </c>
      <c r="O15" s="7" t="n">
        <v>1151183.21225498</v>
      </c>
      <c r="P15" s="7" t="n">
        <v>1281593.710211509</v>
      </c>
      <c r="Q15" s="7" t="n">
        <v>1423005.564530339</v>
      </c>
      <c r="R15" s="7" t="n">
        <v>1446743.680588527</v>
      </c>
      <c r="S15" s="7" t="n">
        <v>1442423.122037208</v>
      </c>
      <c r="T15" s="7" t="n">
        <v>1427028.373103642</v>
      </c>
      <c r="U15" s="7" t="n">
        <v>1450336.425271862</v>
      </c>
      <c r="V15" s="7" t="n">
        <v>1961771.188170363</v>
      </c>
      <c r="W15" s="7" t="n">
        <v>2121024.500298638</v>
      </c>
      <c r="X15" s="7" t="n">
        <v>2138251.090829113</v>
      </c>
      <c r="Y15" s="7" t="n">
        <v>2115949.686868254</v>
      </c>
    </row>
    <row r="16">
      <c r="A16" s="6" t="inlineStr">
        <is>
          <t>Налоги на ФОТ</t>
        </is>
      </c>
      <c r="B16" s="7" t="n">
        <v>169417.2207939914</v>
      </c>
      <c r="C16" s="7" t="n">
        <v>170935.6315164455</v>
      </c>
      <c r="D16" s="7" t="n">
        <v>172669.8321792892</v>
      </c>
      <c r="E16" s="7" t="n">
        <v>177998.8899812575</v>
      </c>
      <c r="F16" s="7" t="n">
        <v>180753.8005280149</v>
      </c>
      <c r="G16" s="7" t="n">
        <v>181065.911727452</v>
      </c>
      <c r="H16" s="7" t="n">
        <v>180422.5809290674</v>
      </c>
      <c r="I16" s="7" t="n">
        <v>183031.092959458</v>
      </c>
      <c r="J16" s="7" t="n">
        <v>242507.6061776453</v>
      </c>
      <c r="K16" s="7" t="n">
        <v>281059.7323352616</v>
      </c>
      <c r="L16" s="7" t="n">
        <v>283944.4414396746</v>
      </c>
      <c r="M16" s="7" t="n">
        <v>282822.0881182102</v>
      </c>
      <c r="N16" s="7" t="n">
        <v>282891.1072857497</v>
      </c>
      <c r="O16" s="7" t="n">
        <v>287795.803063745</v>
      </c>
      <c r="P16" s="7" t="n">
        <v>320398.4275528772</v>
      </c>
      <c r="Q16" s="7" t="n">
        <v>355751.3911325847</v>
      </c>
      <c r="R16" s="7" t="n">
        <v>361685.9201471317</v>
      </c>
      <c r="S16" s="7" t="n">
        <v>360605.780509302</v>
      </c>
      <c r="T16" s="7" t="n">
        <v>356757.0932759106</v>
      </c>
      <c r="U16" s="7" t="n">
        <v>362584.1063179654</v>
      </c>
      <c r="V16" s="7" t="n">
        <v>490442.7970425907</v>
      </c>
      <c r="W16" s="7" t="n">
        <v>530256.1250746595</v>
      </c>
      <c r="X16" s="7" t="n">
        <v>534562.7727072783</v>
      </c>
      <c r="Y16" s="7" t="n">
        <v>528987.4217170635</v>
      </c>
    </row>
    <row r="17">
      <c r="A17" s="6" t="inlineStr">
        <is>
          <t>Аренда</t>
        </is>
      </c>
      <c r="B17" s="7" t="n">
        <v>140000</v>
      </c>
      <c r="C17" s="7" t="n">
        <v>140000</v>
      </c>
      <c r="D17" s="7" t="n">
        <v>140000</v>
      </c>
      <c r="E17" s="7" t="n">
        <v>140000</v>
      </c>
      <c r="F17" s="7" t="n">
        <v>140000</v>
      </c>
      <c r="G17" s="7" t="n">
        <v>140000</v>
      </c>
      <c r="H17" s="7" t="n">
        <v>140000</v>
      </c>
      <c r="I17" s="7" t="n">
        <v>140000</v>
      </c>
      <c r="J17" s="7" t="n">
        <v>140000</v>
      </c>
      <c r="K17" s="7" t="n">
        <v>140000</v>
      </c>
      <c r="L17" s="7" t="n">
        <v>140000</v>
      </c>
      <c r="M17" s="7" t="n">
        <v>140000</v>
      </c>
      <c r="N17" s="7" t="n">
        <v>140000</v>
      </c>
      <c r="O17" s="7" t="n">
        <v>140000</v>
      </c>
      <c r="P17" s="7" t="n">
        <v>140000</v>
      </c>
      <c r="Q17" s="7" t="n">
        <v>140000</v>
      </c>
      <c r="R17" s="7" t="n">
        <v>140000</v>
      </c>
      <c r="S17" s="7" t="n">
        <v>140000</v>
      </c>
      <c r="T17" s="7" t="n">
        <v>140000</v>
      </c>
      <c r="U17" s="7" t="n">
        <v>140000</v>
      </c>
      <c r="V17" s="7" t="n">
        <v>140000</v>
      </c>
      <c r="W17" s="7" t="n">
        <v>140000</v>
      </c>
      <c r="X17" s="7" t="n">
        <v>140000</v>
      </c>
      <c r="Y17" s="7" t="n">
        <v>140000</v>
      </c>
    </row>
    <row r="18">
      <c r="A18" s="6" t="inlineStr">
        <is>
          <t>IT/CRM</t>
        </is>
      </c>
      <c r="B18" s="7" t="n">
        <v>35000</v>
      </c>
      <c r="C18" s="7" t="n">
        <v>35000</v>
      </c>
      <c r="D18" s="7" t="n">
        <v>35000</v>
      </c>
      <c r="E18" s="7" t="n">
        <v>35000</v>
      </c>
      <c r="F18" s="7" t="n">
        <v>35000</v>
      </c>
      <c r="G18" s="7" t="n">
        <v>35000</v>
      </c>
      <c r="H18" s="7" t="n">
        <v>35000</v>
      </c>
      <c r="I18" s="7" t="n">
        <v>35000</v>
      </c>
      <c r="J18" s="7" t="n">
        <v>35000</v>
      </c>
      <c r="K18" s="7" t="n">
        <v>35000</v>
      </c>
      <c r="L18" s="7" t="n">
        <v>35000</v>
      </c>
      <c r="M18" s="7" t="n">
        <v>35000</v>
      </c>
      <c r="N18" s="7" t="n">
        <v>35000</v>
      </c>
      <c r="O18" s="7" t="n">
        <v>35000</v>
      </c>
      <c r="P18" s="7" t="n">
        <v>35000</v>
      </c>
      <c r="Q18" s="7" t="n">
        <v>35000</v>
      </c>
      <c r="R18" s="7" t="n">
        <v>35000</v>
      </c>
      <c r="S18" s="7" t="n">
        <v>35000</v>
      </c>
      <c r="T18" s="7" t="n">
        <v>35000</v>
      </c>
      <c r="U18" s="7" t="n">
        <v>35000</v>
      </c>
      <c r="V18" s="7" t="n">
        <v>35000</v>
      </c>
      <c r="W18" s="7" t="n">
        <v>35000</v>
      </c>
      <c r="X18" s="7" t="n">
        <v>35000</v>
      </c>
      <c r="Y18" s="7" t="n">
        <v>35000</v>
      </c>
    </row>
    <row r="19">
      <c r="A19" s="6" t="inlineStr">
        <is>
          <t>Прочие</t>
        </is>
      </c>
      <c r="B19" s="7" t="n">
        <v>65000</v>
      </c>
      <c r="C19" s="7" t="n">
        <v>65000</v>
      </c>
      <c r="D19" s="7" t="n">
        <v>65000</v>
      </c>
      <c r="E19" s="7" t="n">
        <v>65000</v>
      </c>
      <c r="F19" s="7" t="n">
        <v>65000</v>
      </c>
      <c r="G19" s="7" t="n">
        <v>65000</v>
      </c>
      <c r="H19" s="7" t="n">
        <v>65000</v>
      </c>
      <c r="I19" s="7" t="n">
        <v>65000</v>
      </c>
      <c r="J19" s="7" t="n">
        <v>65000</v>
      </c>
      <c r="K19" s="7" t="n">
        <v>65000</v>
      </c>
      <c r="L19" s="7" t="n">
        <v>65000</v>
      </c>
      <c r="M19" s="7" t="n">
        <v>65000</v>
      </c>
      <c r="N19" s="7" t="n">
        <v>65000</v>
      </c>
      <c r="O19" s="7" t="n">
        <v>65000</v>
      </c>
      <c r="P19" s="7" t="n">
        <v>65000</v>
      </c>
      <c r="Q19" s="7" t="n">
        <v>65000</v>
      </c>
      <c r="R19" s="7" t="n">
        <v>65000</v>
      </c>
      <c r="S19" s="7" t="n">
        <v>65000</v>
      </c>
      <c r="T19" s="7" t="n">
        <v>65000</v>
      </c>
      <c r="U19" s="7" t="n">
        <v>65000</v>
      </c>
      <c r="V19" s="7" t="n">
        <v>65000</v>
      </c>
      <c r="W19" s="7" t="n">
        <v>65000</v>
      </c>
      <c r="X19" s="7" t="n">
        <v>65000</v>
      </c>
      <c r="Y19" s="7" t="n">
        <v>65000</v>
      </c>
    </row>
    <row r="20">
      <c r="A20" s="11" t="inlineStr">
        <is>
          <t>EBITDA</t>
        </is>
      </c>
      <c r="B20" s="12" t="n">
        <v>-494452.6481378191</v>
      </c>
      <c r="C20" s="12" t="n">
        <v>-424527.8565940819</v>
      </c>
      <c r="D20" s="12" t="n">
        <v>-344013.5012783656</v>
      </c>
      <c r="E20" s="12" t="n">
        <v>-73866.58917541173</v>
      </c>
      <c r="F20" s="12" t="n">
        <v>83954.16233995347</v>
      </c>
      <c r="G20" s="12" t="n">
        <v>115846.0719676203</v>
      </c>
      <c r="H20" s="12" t="n">
        <v>90879.22530584584</v>
      </c>
      <c r="I20" s="12" t="n">
        <v>213674.4755790109</v>
      </c>
      <c r="J20" s="12" t="n">
        <v>426428.6684522539</v>
      </c>
      <c r="K20" s="12" t="n">
        <v>602200.1961973303</v>
      </c>
      <c r="L20" s="12" t="n">
        <v>775102.5845617001</v>
      </c>
      <c r="M20" s="12" t="n">
        <v>742345.420391734</v>
      </c>
      <c r="N20" s="12" t="n">
        <v>746762.7273282044</v>
      </c>
      <c r="O20" s="12" t="n">
        <v>989271.2589739454</v>
      </c>
      <c r="P20" s="12" t="n">
        <v>1396586.670544843</v>
      </c>
      <c r="Q20" s="12" t="n">
        <v>1696375.905606193</v>
      </c>
      <c r="R20" s="12" t="n">
        <v>2032079.335234697</v>
      </c>
      <c r="S20" s="12" t="n">
        <v>2018123.954151162</v>
      </c>
      <c r="T20" s="12" t="n">
        <v>1835193.988792216</v>
      </c>
      <c r="U20" s="12" t="n">
        <v>2113799.657893826</v>
      </c>
      <c r="V20" s="12" t="n">
        <v>2482773.579206261</v>
      </c>
      <c r="W20" s="12" t="n">
        <v>3050632.2498102</v>
      </c>
      <c r="X20" s="12" t="n">
        <v>3336246.528779454</v>
      </c>
      <c r="Y20" s="12" t="n">
        <v>3093657.83021577</v>
      </c>
    </row>
    <row r="21">
      <c r="A21" s="6" t="inlineStr">
        <is>
          <t>Налог УСН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48897.33450669969</v>
      </c>
      <c r="G21" s="7" t="n">
        <v>49590.91494989339</v>
      </c>
      <c r="H21" s="7" t="n">
        <v>48161.29095348319</v>
      </c>
      <c r="I21" s="7" t="n">
        <v>53957.98435435104</v>
      </c>
      <c r="J21" s="7" t="n">
        <v>75016.90261698955</v>
      </c>
      <c r="K21" s="7" t="n">
        <v>90330.02942959954</v>
      </c>
      <c r="L21" s="7" t="n">
        <v>116265.387684255</v>
      </c>
      <c r="M21" s="7" t="n">
        <v>111351.8130587601</v>
      </c>
      <c r="N21" s="7" t="n">
        <v>112014.4090992307</v>
      </c>
      <c r="O21" s="7" t="n">
        <v>148390.6888460918</v>
      </c>
      <c r="P21" s="7" t="n">
        <v>209488.0005817265</v>
      </c>
      <c r="Q21" s="7" t="n">
        <v>254456.3858409289</v>
      </c>
      <c r="R21" s="7" t="n">
        <v>304811.9002852046</v>
      </c>
      <c r="S21" s="7" t="n">
        <v>302718.5931226743</v>
      </c>
      <c r="T21" s="7" t="n">
        <v>275279.0983188324</v>
      </c>
      <c r="U21" s="7" t="n">
        <v>317069.9486840739</v>
      </c>
      <c r="V21" s="7" t="n">
        <v>372416.0368809392</v>
      </c>
      <c r="W21" s="7" t="n">
        <v>457594.83747153</v>
      </c>
      <c r="X21" s="7" t="n">
        <v>500436.979316918</v>
      </c>
      <c r="Y21" s="7" t="n">
        <v>464048.6745323655</v>
      </c>
    </row>
    <row r="22">
      <c r="A22" s="11" t="inlineStr">
        <is>
          <t>Чистая прибыль</t>
        </is>
      </c>
      <c r="B22" s="12" t="n">
        <v>-494452.6481378191</v>
      </c>
      <c r="C22" s="12" t="n">
        <v>-424527.8565940819</v>
      </c>
      <c r="D22" s="12" t="n">
        <v>-344013.5012783656</v>
      </c>
      <c r="E22" s="12" t="n">
        <v>-73866.58917541173</v>
      </c>
      <c r="F22" s="12" t="n">
        <v>35056.82783325378</v>
      </c>
      <c r="G22" s="12" t="n">
        <v>66255.15701772695</v>
      </c>
      <c r="H22" s="12" t="n">
        <v>42717.93435236265</v>
      </c>
      <c r="I22" s="12" t="n">
        <v>159716.4912246599</v>
      </c>
      <c r="J22" s="12" t="n">
        <v>351411.7658352643</v>
      </c>
      <c r="K22" s="12" t="n">
        <v>511870.1667677307</v>
      </c>
      <c r="L22" s="12" t="n">
        <v>658837.1968774451</v>
      </c>
      <c r="M22" s="12" t="n">
        <v>630993.6073329739</v>
      </c>
      <c r="N22" s="12" t="n">
        <v>634748.3182289738</v>
      </c>
      <c r="O22" s="12" t="n">
        <v>840880.5701278537</v>
      </c>
      <c r="P22" s="12" t="n">
        <v>1187098.669963117</v>
      </c>
      <c r="Q22" s="12" t="n">
        <v>1441919.519765264</v>
      </c>
      <c r="R22" s="12" t="n">
        <v>1727267.434949493</v>
      </c>
      <c r="S22" s="12" t="n">
        <v>1715405.361028488</v>
      </c>
      <c r="T22" s="12" t="n">
        <v>1559914.890473383</v>
      </c>
      <c r="U22" s="12" t="n">
        <v>1796729.709209752</v>
      </c>
      <c r="V22" s="12" t="n">
        <v>2110357.542325322</v>
      </c>
      <c r="W22" s="12" t="n">
        <v>2593037.41233867</v>
      </c>
      <c r="X22" s="12" t="n">
        <v>2835809.549462535</v>
      </c>
      <c r="Y22" s="12" t="n">
        <v>2629609.155683404</v>
      </c>
    </row>
    <row r="23"/>
    <row r="24"/>
    <row r="25">
      <c r="A25" s="13" t="inlineStr">
        <is>
          <t>Выручка по типам мебели</t>
        </is>
      </c>
    </row>
    <row r="26">
      <c r="A26" s="1" t="inlineStr">
        <is>
          <t>Тип</t>
        </is>
      </c>
      <c r="B26" s="1" t="inlineStr">
        <is>
          <t>Доля</t>
        </is>
      </c>
      <c r="C26" s="1" t="inlineStr">
        <is>
          <t>М12, ₽</t>
        </is>
      </c>
      <c r="D26" s="1" t="inlineStr">
        <is>
          <t>М24, ₽</t>
        </is>
      </c>
    </row>
    <row r="27">
      <c r="A27" t="inlineStr">
        <is>
          <t>Кухни</t>
        </is>
      </c>
      <c r="B27" s="14" t="n">
        <v>0.45</v>
      </c>
      <c r="C27" s="4" t="n">
        <v>4157208.811821019</v>
      </c>
      <c r="D27" s="4" t="n">
        <v>10023742.17170635</v>
      </c>
    </row>
    <row r="28">
      <c r="A28" t="inlineStr">
        <is>
          <t>Шкафы-купе и гардеробные</t>
        </is>
      </c>
      <c r="B28" s="14" t="n">
        <v>0.3</v>
      </c>
      <c r="C28" s="4" t="n">
        <v>2771472.541214013</v>
      </c>
      <c r="D28" s="4" t="n">
        <v>6682494.781137565</v>
      </c>
    </row>
    <row r="29">
      <c r="A29" t="inlineStr">
        <is>
          <t>Мебель для ванных</t>
        </is>
      </c>
      <c r="B29" s="14" t="n">
        <v>0.15</v>
      </c>
      <c r="C29" s="4" t="n">
        <v>1385736.270607006</v>
      </c>
      <c r="D29" s="4" t="n">
        <v>3341247.390568783</v>
      </c>
    </row>
    <row r="30">
      <c r="A30" t="inlineStr">
        <is>
          <t>Прочая корпусная мебель</t>
        </is>
      </c>
      <c r="B30" s="14" t="n">
        <v>0.1</v>
      </c>
      <c r="C30" s="4" t="n">
        <v>923824.180404671</v>
      </c>
      <c r="D30" s="4" t="n">
        <v>2227498.260379189</v>
      </c>
    </row>
    <row r="31"/>
    <row r="32"/>
    <row r="33">
      <c r="A33" s="13" t="inlineStr">
        <is>
          <t>Выручка по сегментам</t>
        </is>
      </c>
    </row>
    <row r="34">
      <c r="A34" s="1" t="inlineStr">
        <is>
          <t>Сегмент</t>
        </is>
      </c>
      <c r="B34" s="1" t="inlineStr">
        <is>
          <t>Доля</t>
        </is>
      </c>
      <c r="C34" s="1" t="inlineStr">
        <is>
          <t>М12, ₽</t>
        </is>
      </c>
      <c r="D34" s="1" t="inlineStr">
        <is>
          <t>М24, ₽</t>
        </is>
      </c>
    </row>
    <row r="35">
      <c r="A35" t="inlineStr">
        <is>
          <t>Эконом</t>
        </is>
      </c>
      <c r="B35" s="14" t="n">
        <v>0.25</v>
      </c>
      <c r="C35" s="4" t="n">
        <v>2309560.451011677</v>
      </c>
      <c r="D35" s="4" t="n">
        <v>5568745.650947971</v>
      </c>
    </row>
    <row r="36">
      <c r="A36" t="inlineStr">
        <is>
          <t>Средний</t>
        </is>
      </c>
      <c r="B36" s="14" t="n">
        <v>0.55</v>
      </c>
      <c r="C36" s="4" t="n">
        <v>5081032.992225691</v>
      </c>
      <c r="D36" s="4" t="n">
        <v>12251240.43208554</v>
      </c>
    </row>
    <row r="37">
      <c r="A37" t="inlineStr">
        <is>
          <t>Премиум</t>
        </is>
      </c>
      <c r="B37" s="14" t="n">
        <v>0.2</v>
      </c>
      <c r="C37" s="4" t="n">
        <v>1847648.360809342</v>
      </c>
      <c r="D37" s="4" t="n">
        <v>4454996.520758377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9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Услуги</t>
        </is>
      </c>
      <c r="B1" s="1" t="inlineStr">
        <is>
          <t>апрель 2026</t>
        </is>
      </c>
      <c r="C1" s="1" t="inlineStr">
        <is>
          <t>май 2026</t>
        </is>
      </c>
      <c r="D1" s="1" t="inlineStr">
        <is>
          <t>июнь 2026</t>
        </is>
      </c>
      <c r="E1" s="1" t="inlineStr">
        <is>
          <t>июль 2026</t>
        </is>
      </c>
      <c r="F1" s="1" t="inlineStr">
        <is>
          <t>август 2026</t>
        </is>
      </c>
      <c r="G1" s="1" t="inlineStr">
        <is>
          <t>сентябрь 2026</t>
        </is>
      </c>
      <c r="H1" s="1" t="inlineStr">
        <is>
          <t>октябрь 2026</t>
        </is>
      </c>
      <c r="I1" s="1" t="inlineStr">
        <is>
          <t>ноябрь 2026</t>
        </is>
      </c>
      <c r="J1" s="1" t="inlineStr">
        <is>
          <t>декабрь 2026</t>
        </is>
      </c>
      <c r="K1" s="1" t="inlineStr">
        <is>
          <t>январь 2027</t>
        </is>
      </c>
      <c r="L1" s="1" t="inlineStr">
        <is>
          <t>февраль 2027</t>
        </is>
      </c>
      <c r="M1" s="1" t="inlineStr">
        <is>
          <t>март 2027</t>
        </is>
      </c>
      <c r="N1" s="1" t="inlineStr">
        <is>
          <t>апрель 2027</t>
        </is>
      </c>
      <c r="O1" s="1" t="inlineStr">
        <is>
          <t>май 2027</t>
        </is>
      </c>
      <c r="P1" s="1" t="inlineStr">
        <is>
          <t>июнь 2027</t>
        </is>
      </c>
      <c r="Q1" s="1" t="inlineStr">
        <is>
          <t>июль 2027</t>
        </is>
      </c>
      <c r="R1" s="1" t="inlineStr">
        <is>
          <t>август 2027</t>
        </is>
      </c>
      <c r="S1" s="1" t="inlineStr">
        <is>
          <t>сентябрь 2027</t>
        </is>
      </c>
      <c r="T1" s="1" t="inlineStr">
        <is>
          <t>октябрь 2027</t>
        </is>
      </c>
      <c r="U1" s="1" t="inlineStr">
        <is>
          <t>ноябрь 2027</t>
        </is>
      </c>
      <c r="V1" s="1" t="inlineStr">
        <is>
          <t>декабрь 2027</t>
        </is>
      </c>
      <c r="W1" s="1" t="inlineStr">
        <is>
          <t>январь 2028</t>
        </is>
      </c>
      <c r="X1" s="1" t="inlineStr">
        <is>
          <t>февраль 2028</t>
        </is>
      </c>
      <c r="Y1" s="1" t="inlineStr">
        <is>
          <t>март 2028</t>
        </is>
      </c>
    </row>
    <row r="2">
      <c r="A2" s="15" t="inlineStr">
        <is>
          <t>Разработка сайта</t>
        </is>
      </c>
      <c r="B2" s="7" t="n">
        <v>140000</v>
      </c>
      <c r="C2" s="7" t="n">
        <v>140000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  <c r="T2" s="7" t="n">
        <v>0</v>
      </c>
      <c r="U2" s="7" t="n">
        <v>0</v>
      </c>
      <c r="V2" s="7" t="n">
        <v>0</v>
      </c>
      <c r="W2" s="7" t="n">
        <v>0</v>
      </c>
      <c r="X2" s="7" t="n">
        <v>0</v>
      </c>
      <c r="Y2" s="7" t="n">
        <v>0</v>
      </c>
    </row>
    <row r="3">
      <c r="A3" s="15" t="inlineStr">
        <is>
          <t>Техническая поддержка сайта</t>
        </is>
      </c>
      <c r="B3" s="7" t="n">
        <v>0</v>
      </c>
      <c r="C3" s="7" t="n">
        <v>0</v>
      </c>
      <c r="D3" s="7" t="n">
        <v>24000</v>
      </c>
      <c r="E3" s="7" t="n">
        <v>24000</v>
      </c>
      <c r="F3" s="7" t="n">
        <v>24000</v>
      </c>
      <c r="G3" s="7" t="n">
        <v>24000</v>
      </c>
      <c r="H3" s="7" t="n">
        <v>24000</v>
      </c>
      <c r="I3" s="7" t="n">
        <v>24000</v>
      </c>
      <c r="J3" s="7" t="n">
        <v>24000</v>
      </c>
      <c r="K3" s="7" t="n">
        <v>24000</v>
      </c>
      <c r="L3" s="7" t="n">
        <v>24000</v>
      </c>
      <c r="M3" s="7" t="n">
        <v>24000</v>
      </c>
      <c r="N3" s="7" t="n">
        <v>24000</v>
      </c>
      <c r="O3" s="7" t="n">
        <v>24000</v>
      </c>
      <c r="P3" s="7" t="n">
        <v>24000</v>
      </c>
      <c r="Q3" s="7" t="n">
        <v>24000</v>
      </c>
      <c r="R3" s="7" t="n">
        <v>24000</v>
      </c>
      <c r="S3" s="7" t="n">
        <v>24000</v>
      </c>
      <c r="T3" s="7" t="n">
        <v>24000</v>
      </c>
      <c r="U3" s="7" t="n">
        <v>24000</v>
      </c>
      <c r="V3" s="7" t="n">
        <v>24000</v>
      </c>
      <c r="W3" s="7" t="n">
        <v>24000</v>
      </c>
      <c r="X3" s="7" t="n">
        <v>24000</v>
      </c>
      <c r="Y3" s="7" t="n">
        <v>24000</v>
      </c>
    </row>
    <row r="4">
      <c r="A4" s="15" t="inlineStr">
        <is>
          <t>Ведение контекстной рекламы</t>
        </is>
      </c>
      <c r="B4" s="7" t="n">
        <v>40000</v>
      </c>
      <c r="C4" s="7" t="n">
        <v>60000</v>
      </c>
      <c r="D4" s="7" t="n">
        <v>60000</v>
      </c>
      <c r="E4" s="7" t="n">
        <v>60000</v>
      </c>
      <c r="F4" s="7" t="n">
        <v>60000</v>
      </c>
      <c r="G4" s="7" t="n">
        <v>60000</v>
      </c>
      <c r="H4" s="7" t="n">
        <v>60000</v>
      </c>
      <c r="I4" s="7" t="n">
        <v>60000</v>
      </c>
      <c r="J4" s="7" t="n">
        <v>60000</v>
      </c>
      <c r="K4" s="7" t="n">
        <v>60000</v>
      </c>
      <c r="L4" s="7" t="n">
        <v>60000</v>
      </c>
      <c r="M4" s="7" t="n">
        <v>60000</v>
      </c>
      <c r="N4" s="7" t="n">
        <v>60000</v>
      </c>
      <c r="O4" s="7" t="n">
        <v>60000</v>
      </c>
      <c r="P4" s="7" t="n">
        <v>60000</v>
      </c>
      <c r="Q4" s="7" t="n">
        <v>60000</v>
      </c>
      <c r="R4" s="7" t="n">
        <v>60000</v>
      </c>
      <c r="S4" s="7" t="n">
        <v>60000</v>
      </c>
      <c r="T4" s="7" t="n">
        <v>60000</v>
      </c>
      <c r="U4" s="7" t="n">
        <v>60000</v>
      </c>
      <c r="V4" s="7" t="n">
        <v>60000</v>
      </c>
      <c r="W4" s="7" t="n">
        <v>60000</v>
      </c>
      <c r="X4" s="7" t="n">
        <v>60000</v>
      </c>
      <c r="Y4" s="7" t="n">
        <v>60000</v>
      </c>
    </row>
    <row r="5">
      <c r="A5" s="15" t="inlineStr">
        <is>
          <t>Бюджет контекстной рекламной кампании</t>
        </is>
      </c>
      <c r="B5" s="7" t="n">
        <v>189000</v>
      </c>
      <c r="C5" s="7" t="n">
        <v>219744</v>
      </c>
      <c r="D5" s="7" t="n">
        <v>254491.02</v>
      </c>
      <c r="E5" s="7" t="n">
        <v>337769.46378</v>
      </c>
      <c r="F5" s="7" t="n">
        <v>374986.6546965001</v>
      </c>
      <c r="G5" s="7" t="n">
        <v>371577.6851083501</v>
      </c>
      <c r="H5" s="7" t="n">
        <v>356417.3155559295</v>
      </c>
      <c r="I5" s="7" t="n">
        <v>406153.7318630524</v>
      </c>
      <c r="J5" s="7" t="n">
        <v>598366.561299565</v>
      </c>
      <c r="K5" s="7" t="n">
        <v>687795.1637337909</v>
      </c>
      <c r="L5" s="7" t="n">
        <v>723845.1171432863</v>
      </c>
      <c r="M5" s="7" t="n">
        <v>690367.2804754092</v>
      </c>
      <c r="N5" s="7" t="n">
        <v>691071.7368840576</v>
      </c>
      <c r="O5" s="7" t="n">
        <v>781371.7771702412</v>
      </c>
      <c r="P5" s="7" t="n">
        <v>981560.7291192901</v>
      </c>
      <c r="Q5" s="7" t="n">
        <v>1101657.571270356</v>
      </c>
      <c r="R5" s="7" t="n">
        <v>1189382.155649292</v>
      </c>
      <c r="S5" s="7" t="n">
        <v>1146131.895443863</v>
      </c>
      <c r="T5" s="7" t="n">
        <v>1069111.832070036</v>
      </c>
      <c r="U5" s="7" t="n">
        <v>1184770.293903067</v>
      </c>
      <c r="V5" s="7" t="n">
        <v>1501567.568142365</v>
      </c>
      <c r="W5" s="7" t="n">
        <v>1678479.528898048</v>
      </c>
      <c r="X5" s="7" t="n">
        <v>1717836.979920485</v>
      </c>
      <c r="Y5" s="7" t="n">
        <v>1593293.79887625</v>
      </c>
    </row>
    <row r="6">
      <c r="A6" s="15" t="inlineStr">
        <is>
          <t>Ведение Авито</t>
        </is>
      </c>
      <c r="B6" s="7" t="n">
        <v>20000</v>
      </c>
      <c r="C6" s="7" t="n">
        <v>25000</v>
      </c>
      <c r="D6" s="7" t="n">
        <v>25000</v>
      </c>
      <c r="E6" s="7" t="n">
        <v>25000</v>
      </c>
      <c r="F6" s="7" t="n">
        <v>25000</v>
      </c>
      <c r="G6" s="7" t="n">
        <v>25000</v>
      </c>
      <c r="H6" s="7" t="n">
        <v>25000</v>
      </c>
      <c r="I6" s="7" t="n">
        <v>25000</v>
      </c>
      <c r="J6" s="7" t="n">
        <v>25000</v>
      </c>
      <c r="K6" s="7" t="n">
        <v>25000</v>
      </c>
      <c r="L6" s="7" t="n">
        <v>25000</v>
      </c>
      <c r="M6" s="7" t="n">
        <v>25000</v>
      </c>
      <c r="N6" s="7" t="n">
        <v>25000</v>
      </c>
      <c r="O6" s="7" t="n">
        <v>25000</v>
      </c>
      <c r="P6" s="7" t="n">
        <v>25000</v>
      </c>
      <c r="Q6" s="7" t="n">
        <v>25000</v>
      </c>
      <c r="R6" s="7" t="n">
        <v>25000</v>
      </c>
      <c r="S6" s="7" t="n">
        <v>25000</v>
      </c>
      <c r="T6" s="7" t="n">
        <v>25000</v>
      </c>
      <c r="U6" s="7" t="n">
        <v>25000</v>
      </c>
      <c r="V6" s="7" t="n">
        <v>25000</v>
      </c>
      <c r="W6" s="7" t="n">
        <v>25000</v>
      </c>
      <c r="X6" s="7" t="n">
        <v>25000</v>
      </c>
      <c r="Y6" s="7" t="n">
        <v>25000</v>
      </c>
    </row>
    <row r="7">
      <c r="A7" s="15" t="inlineStr">
        <is>
          <t>Бюджет Авито</t>
        </is>
      </c>
      <c r="B7" s="7" t="n">
        <v>108000</v>
      </c>
      <c r="C7" s="7" t="n">
        <v>125568</v>
      </c>
      <c r="D7" s="7" t="n">
        <v>145423.44</v>
      </c>
      <c r="E7" s="7" t="n">
        <v>181262.6190720001</v>
      </c>
      <c r="F7" s="7" t="n">
        <v>201235.0743216001</v>
      </c>
      <c r="G7" s="7" t="n">
        <v>199405.6645550401</v>
      </c>
      <c r="H7" s="7" t="n">
        <v>191269.9134411945</v>
      </c>
      <c r="I7" s="7" t="n">
        <v>217960.7604532157</v>
      </c>
      <c r="J7" s="7" t="n">
        <v>302471.0090085713</v>
      </c>
      <c r="K7" s="7" t="n">
        <v>347676.676173125</v>
      </c>
      <c r="L7" s="7" t="n">
        <v>365899.7295449579</v>
      </c>
      <c r="M7" s="7" t="n">
        <v>348976.8670535036</v>
      </c>
      <c r="N7" s="7" t="n">
        <v>349332.9658974357</v>
      </c>
      <c r="O7" s="7" t="n">
        <v>394979.140108034</v>
      </c>
      <c r="P7" s="7" t="n">
        <v>471922.7939016882</v>
      </c>
      <c r="Q7" s="7" t="n">
        <v>529663.9357437772</v>
      </c>
      <c r="R7" s="7" t="n">
        <v>571840.8787752262</v>
      </c>
      <c r="S7" s="7" t="n">
        <v>551046.6650015817</v>
      </c>
      <c r="T7" s="7" t="n">
        <v>514016.3291134755</v>
      </c>
      <c r="U7" s="7" t="n">
        <v>569623.5501721151</v>
      </c>
      <c r="V7" s="7" t="n">
        <v>721935.9342398763</v>
      </c>
      <c r="W7" s="7" t="n">
        <v>806993.1134012289</v>
      </c>
      <c r="X7" s="7" t="n">
        <v>825915.710543051</v>
      </c>
      <c r="Y7" s="7" t="n">
        <v>766036.8215286797</v>
      </c>
    </row>
    <row r="8">
      <c r="A8" s="15" t="inlineStr">
        <is>
          <t>Агрегаторы</t>
        </is>
      </c>
      <c r="B8" s="7" t="n">
        <v>39600</v>
      </c>
      <c r="C8" s="7" t="n">
        <v>46041.6</v>
      </c>
      <c r="D8" s="7" t="n">
        <v>53321.92800000001</v>
      </c>
      <c r="E8" s="7" t="n">
        <v>69232.25034000003</v>
      </c>
      <c r="F8" s="7" t="n">
        <v>76860.61866450004</v>
      </c>
      <c r="G8" s="7" t="n">
        <v>76161.88576755003</v>
      </c>
      <c r="H8" s="7" t="n">
        <v>73054.48082823399</v>
      </c>
      <c r="I8" s="7" t="n">
        <v>83248.90156199211</v>
      </c>
      <c r="J8" s="7" t="n">
        <v>102467.5338489182</v>
      </c>
      <c r="K8" s="7" t="n">
        <v>117781.7725441565</v>
      </c>
      <c r="L8" s="7" t="n">
        <v>123955.1620016434</v>
      </c>
      <c r="M8" s="7" t="n">
        <v>118222.2357590674</v>
      </c>
      <c r="N8" s="7" t="n">
        <v>118342.8706935154</v>
      </c>
      <c r="O8" s="7" t="n">
        <v>133806.3391308014</v>
      </c>
      <c r="P8" s="7" t="n">
        <v>141834.7194786496</v>
      </c>
      <c r="Q8" s="7" t="n">
        <v>159188.614567802</v>
      </c>
      <c r="R8" s="7" t="n">
        <v>171864.7449870899</v>
      </c>
      <c r="S8" s="7" t="n">
        <v>165615.1178966503</v>
      </c>
      <c r="T8" s="7" t="n">
        <v>154485.7819739954</v>
      </c>
      <c r="U8" s="7" t="n">
        <v>171198.3347511822</v>
      </c>
      <c r="V8" s="7" t="n">
        <v>216975.2807824766</v>
      </c>
      <c r="W8" s="7" t="n">
        <v>242538.9138637574</v>
      </c>
      <c r="X8" s="7" t="n">
        <v>248226.0332233214</v>
      </c>
      <c r="Y8" s="7" t="n">
        <v>230229.6458146306</v>
      </c>
    </row>
    <row r="9">
      <c r="A9" s="15" t="inlineStr">
        <is>
          <t>Ретаргетинг</t>
        </is>
      </c>
      <c r="B9" s="7" t="n">
        <v>0</v>
      </c>
      <c r="C9" s="7" t="n">
        <v>0</v>
      </c>
      <c r="D9" s="7" t="n">
        <v>0</v>
      </c>
      <c r="E9" s="7" t="n">
        <v>32400</v>
      </c>
      <c r="F9" s="7" t="n">
        <v>35970.00000000001</v>
      </c>
      <c r="G9" s="7" t="n">
        <v>35643.00000000001</v>
      </c>
      <c r="H9" s="7" t="n">
        <v>34188.76560000001</v>
      </c>
      <c r="I9" s="7" t="n">
        <v>38959.65243600001</v>
      </c>
      <c r="J9" s="7" t="n">
        <v>58390.77908845501</v>
      </c>
      <c r="K9" s="7" t="n">
        <v>67117.54643585684</v>
      </c>
      <c r="L9" s="7" t="n">
        <v>70635.43162835694</v>
      </c>
      <c r="M9" s="7" t="n">
        <v>67368.54291554543</v>
      </c>
      <c r="N9" s="7" t="n">
        <v>67437.28632668375</v>
      </c>
      <c r="O9" s="7" t="n">
        <v>76249.0917400371</v>
      </c>
      <c r="P9" s="7" t="n">
        <v>100810.4160195588</v>
      </c>
      <c r="Q9" s="7" t="n">
        <v>113144.8669207755</v>
      </c>
      <c r="R9" s="7" t="n">
        <v>122154.5507681706</v>
      </c>
      <c r="S9" s="7" t="n">
        <v>117712.5671038735</v>
      </c>
      <c r="T9" s="7" t="n">
        <v>109802.2825944932</v>
      </c>
      <c r="U9" s="7" t="n">
        <v>121680.8931660793</v>
      </c>
      <c r="V9" s="7" t="n">
        <v>154217.3059039657</v>
      </c>
      <c r="W9" s="7" t="n">
        <v>172386.9084904693</v>
      </c>
      <c r="X9" s="7" t="n">
        <v>176429.0842757631</v>
      </c>
      <c r="Y9" s="7" t="n">
        <v>163637.9756657702</v>
      </c>
    </row>
    <row r="10">
      <c r="A10" s="15" t="inlineStr">
        <is>
          <t>Calltracking / аналитика</t>
        </is>
      </c>
      <c r="B10" s="7" t="n">
        <v>0</v>
      </c>
      <c r="C10" s="7" t="n">
        <v>12000</v>
      </c>
      <c r="D10" s="7" t="n">
        <v>12000</v>
      </c>
      <c r="E10" s="7" t="n">
        <v>12000</v>
      </c>
      <c r="F10" s="7" t="n">
        <v>12000</v>
      </c>
      <c r="G10" s="7" t="n">
        <v>12000</v>
      </c>
      <c r="H10" s="7" t="n">
        <v>12000</v>
      </c>
      <c r="I10" s="7" t="n">
        <v>12000</v>
      </c>
      <c r="J10" s="7" t="n">
        <v>12000</v>
      </c>
      <c r="K10" s="7" t="n">
        <v>12000</v>
      </c>
      <c r="L10" s="7" t="n">
        <v>12000</v>
      </c>
      <c r="M10" s="7" t="n">
        <v>12000</v>
      </c>
      <c r="N10" s="7" t="n">
        <v>12000</v>
      </c>
      <c r="O10" s="7" t="n">
        <v>12000</v>
      </c>
      <c r="P10" s="7" t="n">
        <v>12000</v>
      </c>
      <c r="Q10" s="7" t="n">
        <v>12000</v>
      </c>
      <c r="R10" s="7" t="n">
        <v>12000</v>
      </c>
      <c r="S10" s="7" t="n">
        <v>12000</v>
      </c>
      <c r="T10" s="7" t="n">
        <v>12000</v>
      </c>
      <c r="U10" s="7" t="n">
        <v>12000</v>
      </c>
      <c r="V10" s="7" t="n">
        <v>12000</v>
      </c>
      <c r="W10" s="7" t="n">
        <v>12000</v>
      </c>
      <c r="X10" s="7" t="n">
        <v>12000</v>
      </c>
      <c r="Y10" s="7" t="n">
        <v>12000</v>
      </c>
    </row>
    <row r="11">
      <c r="A11" s="16" t="inlineStr">
        <is>
          <t>СУММА</t>
        </is>
      </c>
      <c r="B11" s="7">
        <f>SUM(B2:B10)</f>
        <v/>
      </c>
      <c r="C11" s="7">
        <f>SUM(C2:C10)</f>
        <v/>
      </c>
      <c r="D11" s="7">
        <f>SUM(D2:D10)</f>
        <v/>
      </c>
      <c r="E11" s="7">
        <f>SUM(E2:E10)</f>
        <v/>
      </c>
      <c r="F11" s="7">
        <f>SUM(F2:F10)</f>
        <v/>
      </c>
      <c r="G11" s="7">
        <f>SUM(G2:G10)</f>
        <v/>
      </c>
      <c r="H11" s="7">
        <f>SUM(H2:H10)</f>
        <v/>
      </c>
      <c r="I11" s="7">
        <f>SUM(I2:I10)</f>
        <v/>
      </c>
      <c r="J11" s="7">
        <f>SUM(J2:J10)</f>
        <v/>
      </c>
      <c r="K11" s="7">
        <f>SUM(K2:K10)</f>
        <v/>
      </c>
      <c r="L11" s="7">
        <f>SUM(L2:L10)</f>
        <v/>
      </c>
      <c r="M11" s="7">
        <f>SUM(M2:M10)</f>
        <v/>
      </c>
      <c r="N11" s="7">
        <f>SUM(N2:N10)</f>
        <v/>
      </c>
      <c r="O11" s="7">
        <f>SUM(O2:O10)</f>
        <v/>
      </c>
      <c r="P11" s="7">
        <f>SUM(P2:P10)</f>
        <v/>
      </c>
      <c r="Q11" s="7">
        <f>SUM(Q2:Q10)</f>
        <v/>
      </c>
      <c r="R11" s="7">
        <f>SUM(R2:R10)</f>
        <v/>
      </c>
      <c r="S11" s="7">
        <f>SUM(S2:S10)</f>
        <v/>
      </c>
      <c r="T11" s="7">
        <f>SUM(T2:T10)</f>
        <v/>
      </c>
      <c r="U11" s="7">
        <f>SUM(U2:U10)</f>
        <v/>
      </c>
      <c r="V11" s="7">
        <f>SUM(V2:V10)</f>
        <v/>
      </c>
      <c r="W11" s="7">
        <f>SUM(W2:W10)</f>
        <v/>
      </c>
      <c r="X11" s="7">
        <f>SUM(X2:X10)</f>
        <v/>
      </c>
      <c r="Y11" s="7">
        <f>SUM(Y2:Y10)</f>
        <v/>
      </c>
    </row>
    <row r="12">
      <c r="A12" s="15" t="inlineStr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</row>
    <row r="13">
      <c r="A13" s="16" t="inlineStr">
        <is>
          <t>Прогноз по лидам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>
      <c r="A14" s="15" t="inlineStr">
        <is>
          <t>Прогнозное количество лидов с источником PPC (Контекстная реклама)</t>
        </is>
      </c>
      <c r="B14" s="7" t="n">
        <v>32.58620689655172</v>
      </c>
      <c r="C14" s="7" t="n">
        <v>38.03905276277524</v>
      </c>
      <c r="D14" s="7" t="n">
        <v>44.23090158723804</v>
      </c>
      <c r="E14" s="7" t="n">
        <v>58.94057598115118</v>
      </c>
      <c r="F14" s="7" t="n">
        <v>65.69774524152189</v>
      </c>
      <c r="G14" s="7" t="n">
        <v>65.36194077515412</v>
      </c>
      <c r="H14" s="7" t="n">
        <v>62.94696143727696</v>
      </c>
      <c r="I14" s="7" t="n">
        <v>72.01899978242669</v>
      </c>
      <c r="J14" s="7" t="n">
        <v>106.5282063612375</v>
      </c>
      <c r="K14" s="7" t="n">
        <v>122.9410954026548</v>
      </c>
      <c r="L14" s="7" t="n">
        <v>129.904522631527</v>
      </c>
      <c r="M14" s="7" t="n">
        <v>124.3940145178905</v>
      </c>
      <c r="N14" s="7" t="n">
        <v>125.0210313110099</v>
      </c>
      <c r="O14" s="7" t="n">
        <v>141.9248119835829</v>
      </c>
      <c r="P14" s="7" t="n">
        <v>179.0022306687827</v>
      </c>
      <c r="Q14" s="7" t="n">
        <v>201.7105221568848</v>
      </c>
      <c r="R14" s="7" t="n">
        <v>218.6472453098762</v>
      </c>
      <c r="S14" s="7" t="n">
        <v>211.5426068167842</v>
      </c>
      <c r="T14" s="7" t="n">
        <v>198.1194213239923</v>
      </c>
      <c r="U14" s="7" t="n">
        <v>220.4340768473409</v>
      </c>
      <c r="V14" s="7" t="n">
        <v>280.4982250785746</v>
      </c>
      <c r="W14" s="7" t="n">
        <v>314.8052369081921</v>
      </c>
      <c r="X14" s="7" t="n">
        <v>323.480800146626</v>
      </c>
      <c r="Y14" s="7" t="n">
        <v>301.2333756385498</v>
      </c>
    </row>
    <row r="15">
      <c r="A15" s="15" t="inlineStr">
        <is>
          <t>Прогнозное количество лидов с источником Авито</t>
        </is>
      </c>
      <c r="B15" s="17" t="n">
        <v>43.2</v>
      </c>
      <c r="C15" s="17" t="n">
        <v>50.32785571142285</v>
      </c>
      <c r="D15" s="17" t="n">
        <v>58.40275340259679</v>
      </c>
      <c r="E15" s="17" t="n">
        <v>72.94182385356979</v>
      </c>
      <c r="F15" s="17" t="n">
        <v>81.1412146519244</v>
      </c>
      <c r="G15" s="17" t="n">
        <v>80.56469663927638</v>
      </c>
      <c r="H15" s="17" t="n">
        <v>77.43252206051494</v>
      </c>
      <c r="I15" s="17" t="n">
        <v>88.41470796397839</v>
      </c>
      <c r="J15" s="17" t="n">
        <v>122.9417571819682</v>
      </c>
      <c r="K15" s="17" t="n">
        <v>141.5991599388601</v>
      </c>
      <c r="L15" s="17" t="n">
        <v>149.319548107733</v>
      </c>
      <c r="M15" s="17" t="n">
        <v>142.6989168414333</v>
      </c>
      <c r="N15" s="17" t="n">
        <v>143.1307895601877</v>
      </c>
      <c r="O15" s="17" t="n">
        <v>162.1575277849555</v>
      </c>
      <c r="P15" s="17" t="n">
        <v>194.13478880781</v>
      </c>
      <c r="Q15" s="17" t="n">
        <v>218.3244000031248</v>
      </c>
      <c r="R15" s="17" t="n">
        <v>236.181854824133</v>
      </c>
      <c r="S15" s="17" t="n">
        <v>228.0495227851895</v>
      </c>
      <c r="T15" s="17" t="n">
        <v>213.1508966473194</v>
      </c>
      <c r="U15" s="17" t="n">
        <v>236.683314823358</v>
      </c>
      <c r="V15" s="17" t="n">
        <v>300.571518127598</v>
      </c>
      <c r="W15" s="17" t="n">
        <v>336.6576231460143</v>
      </c>
      <c r="X15" s="17" t="n">
        <v>345.2421482611328</v>
      </c>
      <c r="Y15" s="17" t="n">
        <v>320.8538001124255</v>
      </c>
    </row>
    <row r="16">
      <c r="A16" s="15" t="inlineStr">
        <is>
          <t>Прогнозное количество лидов с источником Агрегаторы</t>
        </is>
      </c>
      <c r="B16" s="17" t="n">
        <v>8.800000000000001</v>
      </c>
      <c r="C16" s="17" t="n">
        <v>10.23146666666667</v>
      </c>
      <c r="D16" s="17" t="n">
        <v>11.84931733333334</v>
      </c>
      <c r="E16" s="17" t="n">
        <v>15.38494452000001</v>
      </c>
      <c r="F16" s="17" t="n">
        <v>17.08013748100001</v>
      </c>
      <c r="G16" s="17" t="n">
        <v>16.92486350390001</v>
      </c>
      <c r="H16" s="17" t="n">
        <v>16.23432907294089</v>
      </c>
      <c r="I16" s="17" t="n">
        <v>18.49975590266491</v>
      </c>
      <c r="J16" s="17" t="n">
        <v>22.77056307753738</v>
      </c>
      <c r="K16" s="17" t="n">
        <v>26.17372723203479</v>
      </c>
      <c r="L16" s="17" t="n">
        <v>27.54559155592075</v>
      </c>
      <c r="M16" s="17" t="n">
        <v>26.27160794645942</v>
      </c>
      <c r="N16" s="17" t="n">
        <v>26.29841570967009</v>
      </c>
      <c r="O16" s="17" t="n">
        <v>29.73474202906699</v>
      </c>
      <c r="P16" s="17" t="n">
        <v>31.51882655081101</v>
      </c>
      <c r="Q16" s="17" t="n">
        <v>35.37524768173378</v>
      </c>
      <c r="R16" s="17" t="n">
        <v>38.19216555268665</v>
      </c>
      <c r="S16" s="17" t="n">
        <v>36.80335953258896</v>
      </c>
      <c r="T16" s="17" t="n">
        <v>34.33017377199898</v>
      </c>
      <c r="U16" s="17" t="n">
        <v>38.0440743891516</v>
      </c>
      <c r="V16" s="17" t="n">
        <v>48.21672906277257</v>
      </c>
      <c r="W16" s="17" t="n">
        <v>53.89753641416831</v>
      </c>
      <c r="X16" s="17" t="n">
        <v>55.16134071629365</v>
      </c>
      <c r="Y16" s="17" t="n">
        <v>51.16214351436235</v>
      </c>
    </row>
    <row r="17">
      <c r="A17" s="15" t="inlineStr">
        <is>
          <t>Прогнозное количество лидов с источником Ретаргетинг</t>
        </is>
      </c>
      <c r="B17" s="17" t="n">
        <v>0</v>
      </c>
      <c r="C17" s="17" t="n">
        <v>0</v>
      </c>
      <c r="D17" s="17" t="n">
        <v>0</v>
      </c>
      <c r="E17" s="17" t="n">
        <v>10.89778612917734</v>
      </c>
      <c r="F17" s="17" t="n">
        <v>12.13496560875555</v>
      </c>
      <c r="G17" s="17" t="n">
        <v>12.06083023027587</v>
      </c>
      <c r="H17" s="17" t="n">
        <v>11.60355903398256</v>
      </c>
      <c r="I17" s="17" t="n">
        <v>13.26257066572184</v>
      </c>
      <c r="J17" s="17" t="n">
        <v>19.93708905240783</v>
      </c>
      <c r="K17" s="17" t="n">
        <v>22.98573483893906</v>
      </c>
      <c r="L17" s="17" t="n">
        <v>24.26329427193374</v>
      </c>
      <c r="M17" s="17" t="n">
        <v>23.21074915933481</v>
      </c>
      <c r="N17" s="17" t="n">
        <v>23.304346637164</v>
      </c>
      <c r="O17" s="17" t="n">
        <v>26.42873413348722</v>
      </c>
      <c r="P17" s="17" t="n">
        <v>35.0470877450473</v>
      </c>
      <c r="Q17" s="17" t="n">
        <v>39.45356269841893</v>
      </c>
      <c r="R17" s="17" t="n">
        <v>42.72340550016391</v>
      </c>
      <c r="S17" s="17" t="n">
        <v>41.29370824306897</v>
      </c>
      <c r="T17" s="17" t="n">
        <v>38.63467507435781</v>
      </c>
      <c r="U17" s="17" t="n">
        <v>42.94307368983512</v>
      </c>
      <c r="V17" s="17" t="n">
        <v>54.58944651601299</v>
      </c>
      <c r="W17" s="17" t="n">
        <v>61.20468992075278</v>
      </c>
      <c r="X17" s="17" t="n">
        <v>62.82831933206319</v>
      </c>
      <c r="Y17" s="17" t="n">
        <v>58.44861201653821</v>
      </c>
    </row>
    <row r="18">
      <c r="A18" s="16" t="inlineStr">
        <is>
          <t>Всего</t>
        </is>
      </c>
      <c r="B18" s="17">
        <f>SUM(B15:B18)</f>
        <v/>
      </c>
      <c r="C18" s="17">
        <f>SUM(C15:C18)</f>
        <v/>
      </c>
      <c r="D18" s="17">
        <f>SUM(D15:D18)</f>
        <v/>
      </c>
      <c r="E18" s="17">
        <f>SUM(E15:E18)</f>
        <v/>
      </c>
      <c r="F18" s="17">
        <f>SUM(F15:F18)</f>
        <v/>
      </c>
      <c r="G18" s="17">
        <f>SUM(G15:G18)</f>
        <v/>
      </c>
      <c r="H18" s="17">
        <f>SUM(H15:H18)</f>
        <v/>
      </c>
      <c r="I18" s="17">
        <f>SUM(I15:I18)</f>
        <v/>
      </c>
      <c r="J18" s="17">
        <f>SUM(J15:J18)</f>
        <v/>
      </c>
      <c r="K18" s="17">
        <f>SUM(K15:K18)</f>
        <v/>
      </c>
      <c r="L18" s="17">
        <f>SUM(L15:L18)</f>
        <v/>
      </c>
      <c r="M18" s="17">
        <f>SUM(M15:M18)</f>
        <v/>
      </c>
      <c r="N18" s="17">
        <f>SUM(N15:N18)</f>
        <v/>
      </c>
      <c r="O18" s="17">
        <f>SUM(O15:O18)</f>
        <v/>
      </c>
      <c r="P18" s="17">
        <f>SUM(P15:P18)</f>
        <v/>
      </c>
      <c r="Q18" s="17">
        <f>SUM(Q15:Q18)</f>
        <v/>
      </c>
      <c r="R18" s="17">
        <f>SUM(R15:R18)</f>
        <v/>
      </c>
      <c r="S18" s="17">
        <f>SUM(S15:S18)</f>
        <v/>
      </c>
      <c r="T18" s="17">
        <f>SUM(T15:T18)</f>
        <v/>
      </c>
      <c r="U18" s="17">
        <f>SUM(U15:U18)</f>
        <v/>
      </c>
      <c r="V18" s="17">
        <f>SUM(V15:V18)</f>
        <v/>
      </c>
      <c r="W18" s="17">
        <f>SUM(W15:W18)</f>
        <v/>
      </c>
      <c r="X18" s="17">
        <f>SUM(X15:X18)</f>
        <v/>
      </c>
      <c r="Y18" s="17">
        <f>SUM(Y15:Y18)</f>
        <v/>
      </c>
    </row>
    <row r="19">
      <c r="A19" s="15" t="inlineStr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>
      <c r="A20" s="16" t="inlineStr">
        <is>
          <t>CPL от всех затрат</t>
        </is>
      </c>
      <c r="B20" s="7">
        <f>B11/B18</f>
        <v/>
      </c>
      <c r="C20" s="7">
        <f>C11/C18</f>
        <v/>
      </c>
      <c r="D20" s="7">
        <f>D11/D18</f>
        <v/>
      </c>
      <c r="E20" s="7">
        <f>E11/E18</f>
        <v/>
      </c>
      <c r="F20" s="7">
        <f>F11/F18</f>
        <v/>
      </c>
      <c r="G20" s="7">
        <f>G11/G18</f>
        <v/>
      </c>
      <c r="H20" s="7">
        <f>H11/H18</f>
        <v/>
      </c>
      <c r="I20" s="7">
        <f>I11/I18</f>
        <v/>
      </c>
      <c r="J20" s="7">
        <f>J11/J18</f>
        <v/>
      </c>
      <c r="K20" s="7">
        <f>K11/K18</f>
        <v/>
      </c>
      <c r="L20" s="7">
        <f>L11/L18</f>
        <v/>
      </c>
      <c r="M20" s="7">
        <f>M11/M18</f>
        <v/>
      </c>
      <c r="N20" s="7">
        <f>N11/N18</f>
        <v/>
      </c>
      <c r="O20" s="7">
        <f>O11/O18</f>
        <v/>
      </c>
      <c r="P20" s="7">
        <f>P11/P18</f>
        <v/>
      </c>
      <c r="Q20" s="7">
        <f>Q11/Q18</f>
        <v/>
      </c>
      <c r="R20" s="7">
        <f>R11/R18</f>
        <v/>
      </c>
      <c r="S20" s="7">
        <f>S11/S18</f>
        <v/>
      </c>
      <c r="T20" s="7">
        <f>T11/T18</f>
        <v/>
      </c>
      <c r="U20" s="7">
        <f>U11/U18</f>
        <v/>
      </c>
      <c r="V20" s="7">
        <f>V11/V18</f>
        <v/>
      </c>
      <c r="W20" s="7">
        <f>W11/W18</f>
        <v/>
      </c>
      <c r="X20" s="7">
        <f>X11/X18</f>
        <v/>
      </c>
      <c r="Y20" s="7">
        <f>Y11/Y18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28" customWidth="1" min="4" max="4"/>
    <col width="21" customWidth="1" min="5" max="5"/>
    <col width="20" customWidth="1" min="6" max="6"/>
    <col width="28" customWidth="1" min="7" max="7"/>
    <col width="20" customWidth="1" min="8" max="8"/>
    <col width="20" customWidth="1" min="9" max="9"/>
    <col width="23" customWidth="1" min="10" max="10"/>
    <col width="20" customWidth="1" min="11" max="11"/>
    <col width="20" customWidth="1" min="12" max="12"/>
    <col width="28" customWidth="1" min="13" max="13"/>
    <col width="20" customWidth="1" min="14" max="14"/>
  </cols>
  <sheetData>
    <row r="1">
      <c r="A1" s="1" t="inlineStr">
        <is>
          <t>Месяц</t>
        </is>
      </c>
      <c r="B1" s="1" t="inlineStr">
        <is>
          <t>Фаза</t>
        </is>
      </c>
      <c r="C1" s="1" t="inlineStr">
        <is>
          <t>Контекст_поиск бюджет</t>
        </is>
      </c>
      <c r="D1" s="1" t="inlineStr">
        <is>
          <t>Контекст_поиск валовая прибыль</t>
        </is>
      </c>
      <c r="E1" s="1" t="inlineStr">
        <is>
          <t>Контекст_поиск ROMI</t>
        </is>
      </c>
      <c r="F1" s="1" t="inlineStr">
        <is>
          <t>Ретаргетинг бюджет</t>
        </is>
      </c>
      <c r="G1" s="1" t="inlineStr">
        <is>
          <t>Ретаргетинг валовая прибыль</t>
        </is>
      </c>
      <c r="H1" s="1" t="inlineStr">
        <is>
          <t>Ретаргетинг ROMI</t>
        </is>
      </c>
      <c r="I1" s="1" t="inlineStr">
        <is>
          <t>Авито бюджет</t>
        </is>
      </c>
      <c r="J1" s="1" t="inlineStr">
        <is>
          <t>Авито валовая прибыль</t>
        </is>
      </c>
      <c r="K1" s="1" t="inlineStr">
        <is>
          <t>Авито ROMI</t>
        </is>
      </c>
      <c r="L1" s="1" t="inlineStr">
        <is>
          <t>Агрегаторы бюджет</t>
        </is>
      </c>
      <c r="M1" s="1" t="inlineStr">
        <is>
          <t>Агрегаторы валовая прибыль</t>
        </is>
      </c>
      <c r="N1" s="1" t="inlineStr">
        <is>
          <t>Агрегаторы ROMI</t>
        </is>
      </c>
    </row>
    <row r="2">
      <c r="A2" t="n">
        <v>1</v>
      </c>
      <c r="B2" t="inlineStr">
        <is>
          <t>Запуск</t>
        </is>
      </c>
      <c r="C2" s="4" t="n">
        <v>189000</v>
      </c>
      <c r="D2" s="4" t="n">
        <v>344379.4743103447</v>
      </c>
      <c r="E2" s="18" t="n">
        <v>0.8221136206896547</v>
      </c>
      <c r="F2" s="4" t="n">
        <v>0</v>
      </c>
      <c r="G2" s="4" t="n">
        <v>0</v>
      </c>
      <c r="H2" s="18" t="n">
        <v>0</v>
      </c>
      <c r="I2" s="4" t="n">
        <v>108000</v>
      </c>
      <c r="J2" s="4" t="n">
        <v>390212.6399999999</v>
      </c>
      <c r="K2" s="18" t="n">
        <v>2.613079999999999</v>
      </c>
      <c r="L2" s="4" t="n">
        <v>39600</v>
      </c>
      <c r="M2" s="4" t="n">
        <v>63060.2896</v>
      </c>
      <c r="N2" s="18" t="n">
        <v>0.5924315555555556</v>
      </c>
    </row>
    <row r="3">
      <c r="A3" t="n">
        <v>2</v>
      </c>
      <c r="B3" t="inlineStr">
        <is>
          <t>Запуск</t>
        </is>
      </c>
      <c r="C3" s="4" t="n">
        <v>219744</v>
      </c>
      <c r="D3" s="4" t="n">
        <v>403011.5781159534</v>
      </c>
      <c r="E3" s="18" t="n">
        <v>0.8340049244391351</v>
      </c>
      <c r="F3" s="4" t="n">
        <v>0</v>
      </c>
      <c r="G3" s="4" t="n">
        <v>0</v>
      </c>
      <c r="H3" s="18" t="n">
        <v>0</v>
      </c>
      <c r="I3" s="4" t="n">
        <v>125568</v>
      </c>
      <c r="J3" s="4" t="n">
        <v>455732.9133402805</v>
      </c>
      <c r="K3" s="18" t="n">
        <v>2.629371442885771</v>
      </c>
      <c r="L3" s="4" t="n">
        <v>46041.6</v>
      </c>
      <c r="M3" s="4" t="n">
        <v>73501.39195003733</v>
      </c>
      <c r="N3" s="18" t="n">
        <v>0.5964126344444445</v>
      </c>
    </row>
    <row r="4">
      <c r="A4" t="n">
        <v>3</v>
      </c>
      <c r="B4" t="inlineStr">
        <is>
          <t>Запуск</t>
        </is>
      </c>
      <c r="C4" s="4" t="n">
        <v>254491.02</v>
      </c>
      <c r="D4" s="4" t="n">
        <v>469783.7634189784</v>
      </c>
      <c r="E4" s="18" t="n">
        <v>0.8459738320785475</v>
      </c>
      <c r="F4" s="4" t="n">
        <v>0</v>
      </c>
      <c r="G4" s="4" t="n">
        <v>0</v>
      </c>
      <c r="H4" s="18" t="n">
        <v>0</v>
      </c>
      <c r="I4" s="4" t="n">
        <v>145423.44</v>
      </c>
      <c r="J4" s="4" t="n">
        <v>530175.5205038757</v>
      </c>
      <c r="K4" s="18" t="n">
        <v>2.645736344181348</v>
      </c>
      <c r="L4" s="4" t="n">
        <v>53321.92800000001</v>
      </c>
      <c r="M4" s="4" t="n">
        <v>85336.60905101734</v>
      </c>
      <c r="N4" s="18" t="n">
        <v>0.6004036660305555</v>
      </c>
    </row>
    <row r="5">
      <c r="A5" t="n">
        <v>4</v>
      </c>
      <c r="B5" t="inlineStr">
        <is>
          <t>Разгон</t>
        </is>
      </c>
      <c r="C5" s="4" t="n">
        <v>337769.46378</v>
      </c>
      <c r="D5" s="4" t="n">
        <v>627582.7062164814</v>
      </c>
      <c r="E5" s="18" t="n">
        <v>0.8580208500589795</v>
      </c>
      <c r="F5" s="4" t="n">
        <v>32400</v>
      </c>
      <c r="G5" s="4" t="n">
        <v>134880.1124009211</v>
      </c>
      <c r="H5" s="18" t="n">
        <v>3.162966432127194</v>
      </c>
      <c r="I5" s="4" t="n">
        <v>181262.6190720001</v>
      </c>
      <c r="J5" s="4" t="n">
        <v>663815.4383644992</v>
      </c>
      <c r="K5" s="18" t="n">
        <v>2.662175035112024</v>
      </c>
      <c r="L5" s="4" t="n">
        <v>69232.25034000003</v>
      </c>
      <c r="M5" s="4" t="n">
        <v>111076.5461198104</v>
      </c>
      <c r="N5" s="18" t="n">
        <v>0.6044046751956315</v>
      </c>
    </row>
    <row r="6">
      <c r="A6" t="n">
        <v>5</v>
      </c>
      <c r="B6" t="inlineStr">
        <is>
          <t>Разгон</t>
        </is>
      </c>
      <c r="C6" s="4" t="n">
        <v>374986.6546965001</v>
      </c>
      <c r="D6" s="4" t="n">
        <v>701279.975378779</v>
      </c>
      <c r="E6" s="18" t="n">
        <v>0.8701464881366732</v>
      </c>
      <c r="F6" s="4" t="n">
        <v>35970.00000000001</v>
      </c>
      <c r="G6" s="4" t="n">
        <v>150567.9612036352</v>
      </c>
      <c r="H6" s="18" t="n">
        <v>3.185931643136924</v>
      </c>
      <c r="I6" s="4" t="n">
        <v>201235.0743216001</v>
      </c>
      <c r="J6" s="4" t="n">
        <v>740281.0225780566</v>
      </c>
      <c r="K6" s="18" t="n">
        <v>2.678687848396597</v>
      </c>
      <c r="L6" s="4" t="n">
        <v>76860.61866450004</v>
      </c>
      <c r="M6" s="4" t="n">
        <v>123623.8247635618</v>
      </c>
      <c r="N6" s="18" t="n">
        <v>0.6084156868836204</v>
      </c>
    </row>
    <row r="7">
      <c r="A7" t="n">
        <v>6</v>
      </c>
      <c r="B7" t="inlineStr">
        <is>
          <t>Разгон</t>
        </is>
      </c>
      <c r="C7" s="4" t="n">
        <v>371577.6851083501</v>
      </c>
      <c r="D7" s="4" t="n">
        <v>699439.7235266304</v>
      </c>
      <c r="E7" s="18" t="n">
        <v>0.8823512593945932</v>
      </c>
      <c r="F7" s="4" t="n">
        <v>35643.00000000001</v>
      </c>
      <c r="G7" s="4" t="n">
        <v>150022.2261386361</v>
      </c>
      <c r="H7" s="18" t="n">
        <v>3.209023542873386</v>
      </c>
      <c r="I7" s="4" t="n">
        <v>199405.6645550401</v>
      </c>
      <c r="J7" s="4" t="n">
        <v>736858.7906691629</v>
      </c>
      <c r="K7" s="18" t="n">
        <v>2.695275118254098</v>
      </c>
      <c r="L7" s="4" t="n">
        <v>76161.88576755003</v>
      </c>
      <c r="M7" s="4" t="n">
        <v>122806.2217406938</v>
      </c>
      <c r="N7" s="18" t="n">
        <v>0.6124367261008298</v>
      </c>
    </row>
    <row r="8">
      <c r="A8" t="n">
        <v>7</v>
      </c>
      <c r="B8" t="inlineStr">
        <is>
          <t>Разгон</t>
        </is>
      </c>
      <c r="C8" s="4" t="n">
        <v>356417.3155559295</v>
      </c>
      <c r="D8" s="4" t="n">
        <v>675280.9631162259</v>
      </c>
      <c r="E8" s="18" t="n">
        <v>0.8946356802641365</v>
      </c>
      <c r="F8" s="4" t="n">
        <v>34188.76560000001</v>
      </c>
      <c r="G8" s="4" t="n">
        <v>144695.1580847143</v>
      </c>
      <c r="H8" s="18" t="n">
        <v>3.232242830221232</v>
      </c>
      <c r="I8" s="4" t="n">
        <v>191269.9134411945</v>
      </c>
      <c r="J8" s="4" t="n">
        <v>709981.9031962781</v>
      </c>
      <c r="K8" s="18" t="n">
        <v>2.711937180410553</v>
      </c>
      <c r="L8" s="4" t="n">
        <v>73054.48082823399</v>
      </c>
      <c r="M8" s="4" t="n">
        <v>118090.2172134076</v>
      </c>
      <c r="N8" s="18" t="n">
        <v>0.6164678179160816</v>
      </c>
    </row>
    <row r="9">
      <c r="A9" t="n">
        <v>8</v>
      </c>
      <c r="B9" t="inlineStr">
        <is>
          <t>Разгон</t>
        </is>
      </c>
      <c r="C9" s="4" t="n">
        <v>406153.7318630524</v>
      </c>
      <c r="D9" s="4" t="n">
        <v>774535.2765465084</v>
      </c>
      <c r="E9" s="18" t="n">
        <v>0.9070002705469847</v>
      </c>
      <c r="F9" s="4" t="n">
        <v>38959.65243600001</v>
      </c>
      <c r="G9" s="4" t="n">
        <v>165796.3154106295</v>
      </c>
      <c r="H9" s="18" t="n">
        <v>3.255590207920546</v>
      </c>
      <c r="I9" s="4" t="n">
        <v>217960.7604532157</v>
      </c>
      <c r="J9" s="4" t="n">
        <v>812704.701626595</v>
      </c>
      <c r="K9" s="18" t="n">
        <v>2.728674372105792</v>
      </c>
      <c r="L9" s="4" t="n">
        <v>83248.90156199211</v>
      </c>
      <c r="M9" s="4" t="n">
        <v>134905.5931774536</v>
      </c>
      <c r="N9" s="18" t="n">
        <v>0.6205089874608714</v>
      </c>
    </row>
    <row r="10">
      <c r="A10" t="n">
        <v>9</v>
      </c>
      <c r="B10" t="inlineStr">
        <is>
          <t>Оптимизация</t>
        </is>
      </c>
      <c r="C10" s="4" t="n">
        <v>598366.561299565</v>
      </c>
      <c r="D10" s="4" t="n">
        <v>1148532.035411898</v>
      </c>
      <c r="E10" s="18" t="n">
        <v>0.9194455534371004</v>
      </c>
      <c r="F10" s="4" t="n">
        <v>58390.77908845501</v>
      </c>
      <c r="G10" s="4" t="n">
        <v>249858.0198505368</v>
      </c>
      <c r="H10" s="18" t="n">
        <v>3.279066382588113</v>
      </c>
      <c r="I10" s="4" t="n">
        <v>302471.0090085713</v>
      </c>
      <c r="J10" s="4" t="n">
        <v>1132901.241827884</v>
      </c>
      <c r="K10" s="18" t="n">
        <v>2.745487032100257</v>
      </c>
      <c r="L10" s="4" t="n">
        <v>102467.5338489182</v>
      </c>
      <c r="M10" s="4" t="n">
        <v>166464.6834239358</v>
      </c>
      <c r="N10" s="18" t="n">
        <v>0.6245602599295236</v>
      </c>
    </row>
    <row r="11">
      <c r="A11" t="n">
        <v>10</v>
      </c>
      <c r="B11" t="inlineStr">
        <is>
          <t>Оптимизация</t>
        </is>
      </c>
      <c r="C11" s="4" t="n">
        <v>687795.1637337909</v>
      </c>
      <c r="D11" s="4" t="n">
        <v>1328801.036271213</v>
      </c>
      <c r="E11" s="18" t="n">
        <v>0.931972055542865</v>
      </c>
      <c r="F11" s="4" t="n">
        <v>67117.54643585684</v>
      </c>
      <c r="G11" s="4" t="n">
        <v>288784.7921033704</v>
      </c>
      <c r="H11" s="18" t="n">
        <v>3.302672064738799</v>
      </c>
      <c r="I11" s="4" t="n">
        <v>347676.676173125</v>
      </c>
      <c r="J11" s="4" t="n">
        <v>1308090.20859227</v>
      </c>
      <c r="K11" s="18" t="n">
        <v>2.762375500681872</v>
      </c>
      <c r="L11" s="4" t="n">
        <v>117781.7725441565</v>
      </c>
      <c r="M11" s="4" t="n">
        <v>191821.9459868433</v>
      </c>
      <c r="N11" s="18" t="n">
        <v>0.628621660579348</v>
      </c>
    </row>
    <row r="12">
      <c r="A12" t="n">
        <v>11</v>
      </c>
      <c r="B12" t="inlineStr">
        <is>
          <t>Оптимизация</t>
        </is>
      </c>
      <c r="C12" s="4" t="n">
        <v>723845.1171432863</v>
      </c>
      <c r="D12" s="4" t="n">
        <v>1407574.960049332</v>
      </c>
      <c r="E12" s="18" t="n">
        <v>0.9445803069093588</v>
      </c>
      <c r="F12" s="4" t="n">
        <v>70635.43162835694</v>
      </c>
      <c r="G12" s="4" t="n">
        <v>305597.6942770502</v>
      </c>
      <c r="H12" s="18" t="n">
        <v>3.326407968807068</v>
      </c>
      <c r="I12" s="4" t="n">
        <v>365899.7295449579</v>
      </c>
      <c r="J12" s="4" t="n">
        <v>1382859.52764673</v>
      </c>
      <c r="K12" s="18" t="n">
        <v>2.779340119672921</v>
      </c>
      <c r="L12" s="4" t="n">
        <v>123955.1620016434</v>
      </c>
      <c r="M12" s="4" t="n">
        <v>202380.7519309397</v>
      </c>
      <c r="N12" s="18" t="n">
        <v>0.6326932147307958</v>
      </c>
    </row>
    <row r="13">
      <c r="A13" t="n">
        <v>12</v>
      </c>
      <c r="B13" t="inlineStr">
        <is>
          <t>Оптимизация</t>
        </is>
      </c>
      <c r="C13" s="4" t="n">
        <v>690367.2804754092</v>
      </c>
      <c r="D13" s="4" t="n">
        <v>1351235.747683151</v>
      </c>
      <c r="E13" s="18" t="n">
        <v>0.9572708410407957</v>
      </c>
      <c r="F13" s="4" t="n">
        <v>67368.54291554543</v>
      </c>
      <c r="G13" s="4" t="n">
        <v>293071.6754453644</v>
      </c>
      <c r="H13" s="18" t="n">
        <v>3.350274813168588</v>
      </c>
      <c r="I13" s="4" t="n">
        <v>348976.8670535036</v>
      </c>
      <c r="J13" s="4" t="n">
        <v>1324849.228636575</v>
      </c>
      <c r="K13" s="18" t="n">
        <v>2.796381232436977</v>
      </c>
      <c r="L13" s="4" t="n">
        <v>118222.2357590674</v>
      </c>
      <c r="M13" s="4" t="n">
        <v>193503.193759519</v>
      </c>
      <c r="N13" s="18" t="n">
        <v>0.6367749477676224</v>
      </c>
    </row>
    <row r="14">
      <c r="A14" t="n">
        <v>13</v>
      </c>
      <c r="B14" t="inlineStr">
        <is>
          <t>Оптимизация</t>
        </is>
      </c>
      <c r="C14" s="4" t="n">
        <v>691071.7368840576</v>
      </c>
      <c r="D14" s="4" t="n">
        <v>1361441.863523855</v>
      </c>
      <c r="E14" s="18" t="n">
        <v>0.9700441949230901</v>
      </c>
      <c r="F14" s="4" t="n">
        <v>67437.28632668375</v>
      </c>
      <c r="G14" s="4" t="n">
        <v>294989.1223629382</v>
      </c>
      <c r="H14" s="18" t="n">
        <v>3.374273320161998</v>
      </c>
      <c r="I14" s="4" t="n">
        <v>349332.9658974357</v>
      </c>
      <c r="J14" s="4" t="n">
        <v>1332180.980354291</v>
      </c>
      <c r="K14" s="18" t="n">
        <v>2.813499183885841</v>
      </c>
      <c r="L14" s="4" t="n">
        <v>118342.8706935154</v>
      </c>
      <c r="M14" s="4" t="n">
        <v>194184.8976130443</v>
      </c>
      <c r="N14" s="18" t="n">
        <v>0.6408668851370416</v>
      </c>
    </row>
    <row r="15">
      <c r="A15" t="n">
        <v>14</v>
      </c>
      <c r="B15" t="inlineStr">
        <is>
          <t>Оптимизация</t>
        </is>
      </c>
      <c r="C15" s="4" t="n">
        <v>781371.7771702412</v>
      </c>
      <c r="D15" s="4" t="n">
        <v>1549382.807254216</v>
      </c>
      <c r="E15" s="18" t="n">
        <v>0.982900909046584</v>
      </c>
      <c r="F15" s="4" t="n">
        <v>76249.0917400371</v>
      </c>
      <c r="G15" s="4" t="n">
        <v>335374.3265839933</v>
      </c>
      <c r="H15" s="18" t="n">
        <v>3.398404216110734</v>
      </c>
      <c r="I15" s="4" t="n">
        <v>394979.140108034</v>
      </c>
      <c r="J15" s="4" t="n">
        <v>1513044.348722499</v>
      </c>
      <c r="K15" s="18" t="n">
        <v>2.830694320486528</v>
      </c>
      <c r="L15" s="4" t="n">
        <v>133806.3391308014</v>
      </c>
      <c r="M15" s="4" t="n">
        <v>220107.2868784016</v>
      </c>
      <c r="N15" s="18" t="n">
        <v>0.644969052349884</v>
      </c>
    </row>
    <row r="16">
      <c r="A16" t="n">
        <v>15</v>
      </c>
      <c r="B16" t="inlineStr">
        <is>
          <t>Масштабирование</t>
        </is>
      </c>
      <c r="C16" s="4" t="n">
        <v>981560.7291192901</v>
      </c>
      <c r="D16" s="4" t="n">
        <v>1959039.664869684</v>
      </c>
      <c r="E16" s="18" t="n">
        <v>0.9958415274289155</v>
      </c>
      <c r="F16" s="4" t="n">
        <v>100810.4160195588</v>
      </c>
      <c r="G16" s="4" t="n">
        <v>445851.0243183806</v>
      </c>
      <c r="H16" s="18" t="n">
        <v>3.422668231345046</v>
      </c>
      <c r="I16" s="4" t="n">
        <v>471922.7939016882</v>
      </c>
      <c r="J16" s="4" t="n">
        <v>1815943.332888878</v>
      </c>
      <c r="K16" s="18" t="n">
        <v>2.847966990268282</v>
      </c>
      <c r="L16" s="4" t="n">
        <v>141834.7194786496</v>
      </c>
      <c r="M16" s="4" t="n">
        <v>233897.0084013335</v>
      </c>
      <c r="N16" s="18" t="n">
        <v>0.6490814749807585</v>
      </c>
    </row>
    <row r="17">
      <c r="A17" t="n">
        <v>16</v>
      </c>
      <c r="B17" t="inlineStr">
        <is>
          <t>Масштабирование</t>
        </is>
      </c>
      <c r="C17" s="4" t="n">
        <v>1101657.571270356</v>
      </c>
      <c r="D17" s="4" t="n">
        <v>2213083.096960067</v>
      </c>
      <c r="E17" s="18" t="n">
        <v>1.00886659763804</v>
      </c>
      <c r="F17" s="4" t="n">
        <v>113144.8669207755</v>
      </c>
      <c r="G17" s="4" t="n">
        <v>503162.7020977454</v>
      </c>
      <c r="H17" s="18" t="n">
        <v>3.447066100224079</v>
      </c>
      <c r="I17" s="4" t="n">
        <v>529663.9357437772</v>
      </c>
      <c r="J17" s="4" t="n">
        <v>2047319.302634598</v>
      </c>
      <c r="K17" s="18" t="n">
        <v>2.86531754282961</v>
      </c>
      <c r="L17" s="4" t="n">
        <v>159188.614567802</v>
      </c>
      <c r="M17" s="4" t="n">
        <v>263171.2827998934</v>
      </c>
      <c r="N17" s="18" t="n">
        <v>0.6532041786682103</v>
      </c>
    </row>
    <row r="18">
      <c r="A18" t="n">
        <v>17</v>
      </c>
      <c r="B18" t="inlineStr">
        <is>
          <t>Масштабирование</t>
        </is>
      </c>
      <c r="C18" s="4" t="n">
        <v>1189382.155649292</v>
      </c>
      <c r="D18" s="4" t="n">
        <v>2404902.971406995</v>
      </c>
      <c r="E18" s="18" t="n">
        <v>1.021976670815396</v>
      </c>
      <c r="F18" s="4" t="n">
        <v>122154.5507681706</v>
      </c>
      <c r="G18" s="4" t="n">
        <v>546226.1134538674</v>
      </c>
      <c r="H18" s="18" t="n">
        <v>3.471598561158115</v>
      </c>
      <c r="I18" s="4" t="n">
        <v>571840.8787752262</v>
      </c>
      <c r="J18" s="4" t="n">
        <v>2220313.073034143</v>
      </c>
      <c r="K18" s="18" t="n">
        <v>2.882746329345375</v>
      </c>
      <c r="L18" s="4" t="n">
        <v>171864.7449870899</v>
      </c>
      <c r="M18" s="4" t="n">
        <v>284837.8333648494</v>
      </c>
      <c r="N18" s="18" t="n">
        <v>0.6573371891148808</v>
      </c>
    </row>
    <row r="19">
      <c r="A19" t="n">
        <v>18</v>
      </c>
      <c r="B19" t="inlineStr">
        <is>
          <t>Масштабирование</t>
        </is>
      </c>
      <c r="C19" s="4" t="n">
        <v>1146131.895443863</v>
      </c>
      <c r="D19" s="4" t="n">
        <v>2332575.88770139</v>
      </c>
      <c r="E19" s="18" t="n">
        <v>1.035172301699232</v>
      </c>
      <c r="F19" s="4" t="n">
        <v>117712.5671038735</v>
      </c>
      <c r="G19" s="4" t="n">
        <v>529267.0552218038</v>
      </c>
      <c r="H19" s="18" t="n">
        <v>3.496266356630903</v>
      </c>
      <c r="I19" s="4" t="n">
        <v>551046.6650015817</v>
      </c>
      <c r="J19" s="4" t="n">
        <v>2149221.795463411</v>
      </c>
      <c r="K19" s="18" t="n">
        <v>2.900253702573886</v>
      </c>
      <c r="L19" s="4" t="n">
        <v>165615.1178966503</v>
      </c>
      <c r="M19" s="4" t="n">
        <v>275166.2942046885</v>
      </c>
      <c r="N19" s="18" t="n">
        <v>0.6614805320876682</v>
      </c>
    </row>
    <row r="20">
      <c r="A20" t="n">
        <v>19</v>
      </c>
      <c r="B20" t="inlineStr">
        <is>
          <t>Масштабирование</t>
        </is>
      </c>
      <c r="C20" s="4" t="n">
        <v>1069111.832070036</v>
      </c>
      <c r="D20" s="4" t="n">
        <v>2190026.460861422</v>
      </c>
      <c r="E20" s="18" t="n">
        <v>1.048454048648072</v>
      </c>
      <c r="F20" s="4" t="n">
        <v>109802.2825944932</v>
      </c>
      <c r="G20" s="4" t="n">
        <v>496423.8313778091</v>
      </c>
      <c r="H20" s="18" t="n">
        <v>3.521070233222145</v>
      </c>
      <c r="I20" s="4" t="n">
        <v>514016.3291134755</v>
      </c>
      <c r="J20" s="4" t="n">
        <v>2013833.743522335</v>
      </c>
      <c r="K20" s="18" t="n">
        <v>2.917840016864048</v>
      </c>
      <c r="L20" s="4" t="n">
        <v>154485.7819739954</v>
      </c>
      <c r="M20" s="4" t="n">
        <v>257316.8070322187</v>
      </c>
      <c r="N20" s="18" t="n">
        <v>0.6656342334178872</v>
      </c>
    </row>
    <row r="21">
      <c r="A21" t="n">
        <v>20</v>
      </c>
      <c r="B21" t="inlineStr">
        <is>
          <t>Масштабирование</t>
        </is>
      </c>
      <c r="C21" s="4" t="n">
        <v>1184770.293903067</v>
      </c>
      <c r="D21" s="4" t="n">
        <v>2442786.01809926</v>
      </c>
      <c r="E21" s="18" t="n">
        <v>1.06182247366435</v>
      </c>
      <c r="F21" s="4" t="n">
        <v>121680.8931660793</v>
      </c>
      <c r="G21" s="4" t="n">
        <v>553162.6717203186</v>
      </c>
      <c r="H21" s="18" t="n">
        <v>3.546010941630092</v>
      </c>
      <c r="I21" s="4" t="n">
        <v>569623.5501721151</v>
      </c>
      <c r="J21" s="4" t="n">
        <v>2241756.687636283</v>
      </c>
      <c r="K21" s="18" t="n">
        <v>2.935505628162534</v>
      </c>
      <c r="L21" s="4" t="n">
        <v>171198.3347511822</v>
      </c>
      <c r="M21" s="4" t="n">
        <v>285866.6915833685</v>
      </c>
      <c r="N21" s="18" t="n">
        <v>0.6697983190014322</v>
      </c>
    </row>
    <row r="22">
      <c r="A22" t="n">
        <v>21</v>
      </c>
      <c r="B22" t="inlineStr">
        <is>
          <t>Масштабирование</t>
        </is>
      </c>
      <c r="C22" s="4" t="n">
        <v>1501567.568142365</v>
      </c>
      <c r="D22" s="4" t="n">
        <v>3116170.353529876</v>
      </c>
      <c r="E22" s="18" t="n">
        <v>1.075278142418183</v>
      </c>
      <c r="F22" s="4" t="n">
        <v>154217.3059039657</v>
      </c>
      <c r="G22" s="4" t="n">
        <v>704941.0671296021</v>
      </c>
      <c r="H22" s="18" t="n">
        <v>3.571089236694249</v>
      </c>
      <c r="I22" s="4" t="n">
        <v>721935.9342398763</v>
      </c>
      <c r="J22" s="4" t="n">
        <v>2853993.877459664</v>
      </c>
      <c r="K22" s="18" t="n">
        <v>2.953250894020982</v>
      </c>
      <c r="L22" s="4" t="n">
        <v>216975.2807824766</v>
      </c>
      <c r="M22" s="4" t="n">
        <v>363210.7215132317</v>
      </c>
      <c r="N22" s="18" t="n">
        <v>0.6739728147989356</v>
      </c>
    </row>
    <row r="23">
      <c r="A23" t="n">
        <v>22</v>
      </c>
      <c r="B23" t="inlineStr">
        <is>
          <t>Масштабирование</t>
        </is>
      </c>
      <c r="C23" s="4" t="n">
        <v>1678479.528898048</v>
      </c>
      <c r="D23" s="4" t="n">
        <v>3506044.335858969</v>
      </c>
      <c r="E23" s="18" t="n">
        <v>1.088821624271314</v>
      </c>
      <c r="F23" s="4" t="n">
        <v>172386.9084904693</v>
      </c>
      <c r="G23" s="4" t="n">
        <v>792342.960684704</v>
      </c>
      <c r="H23" s="18" t="n">
        <v>3.596305877418239</v>
      </c>
      <c r="I23" s="4" t="n">
        <v>806993.1134012289</v>
      </c>
      <c r="J23" s="4" t="n">
        <v>3204631.124889518</v>
      </c>
      <c r="K23" s="18" t="n">
        <v>2.97107617360324</v>
      </c>
      <c r="L23" s="4" t="n">
        <v>242538.9138637574</v>
      </c>
      <c r="M23" s="4" t="n">
        <v>407018.5572096375</v>
      </c>
      <c r="N23" s="18" t="n">
        <v>0.6781577468359326</v>
      </c>
    </row>
    <row r="24">
      <c r="A24" t="n">
        <v>23</v>
      </c>
      <c r="B24" t="inlineStr">
        <is>
          <t>Масштабирование</t>
        </is>
      </c>
      <c r="C24" s="4" t="n">
        <v>1717836.979920485</v>
      </c>
      <c r="D24" s="4" t="n">
        <v>3611672.357637964</v>
      </c>
      <c r="E24" s="18" t="n">
        <v>1.102453492301197</v>
      </c>
      <c r="F24" s="4" t="n">
        <v>176429.0842757631</v>
      </c>
      <c r="G24" s="4" t="n">
        <v>815395.5286827665</v>
      </c>
      <c r="H24" s="18" t="n">
        <v>3.621661626992764</v>
      </c>
      <c r="I24" s="4" t="n">
        <v>825915.710543051</v>
      </c>
      <c r="J24" s="4" t="n">
        <v>3294562.760562079</v>
      </c>
      <c r="K24" s="18" t="n">
        <v>2.988981827692633</v>
      </c>
      <c r="L24" s="4" t="n">
        <v>248226.0332233214</v>
      </c>
      <c r="M24" s="4" t="n">
        <v>417603.8467216206</v>
      </c>
      <c r="N24" s="18" t="n">
        <v>0.6823531412030226</v>
      </c>
    </row>
    <row r="25">
      <c r="A25" t="n">
        <v>24</v>
      </c>
      <c r="B25" t="inlineStr">
        <is>
          <t>Масштабирование</t>
        </is>
      </c>
      <c r="C25" s="4" t="n">
        <v>1593293.79887625</v>
      </c>
      <c r="D25" s="4" t="n">
        <v>3371687.426695266</v>
      </c>
      <c r="E25" s="18" t="n">
        <v>1.116174323325251</v>
      </c>
      <c r="F25" s="4" t="n">
        <v>163637.9756657702</v>
      </c>
      <c r="G25" s="4" t="n">
        <v>760451.4054517542</v>
      </c>
      <c r="H25" s="18" t="n">
        <v>3.647157252818701</v>
      </c>
      <c r="I25" s="4" t="n">
        <v>766036.8215286797</v>
      </c>
      <c r="J25" s="4" t="n">
        <v>3069485.19821882</v>
      </c>
      <c r="K25" s="18" t="n">
        <v>3.006968218699265</v>
      </c>
      <c r="L25" s="4" t="n">
        <v>230229.6458146306</v>
      </c>
      <c r="M25" s="4" t="n">
        <v>388295.8867538887</v>
      </c>
      <c r="N25" s="18" t="n">
        <v>0.6865590240560298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0" t="inlineStr">
        <is>
          <t>Аутсорс производства | Оптимистичный</t>
        </is>
      </c>
    </row>
    <row r="2"/>
    <row r="3">
      <c r="A3" s="1" t="inlineStr">
        <is>
          <t>Показатель</t>
        </is>
      </c>
      <c r="B3" s="1" t="inlineStr">
        <is>
          <t>M1</t>
        </is>
      </c>
      <c r="C3" s="1" t="inlineStr">
        <is>
          <t>M2</t>
        </is>
      </c>
      <c r="D3" s="1" t="inlineStr">
        <is>
          <t>M3</t>
        </is>
      </c>
      <c r="E3" s="1" t="inlineStr">
        <is>
          <t>M4</t>
        </is>
      </c>
      <c r="F3" s="1" t="inlineStr">
        <is>
          <t>M5</t>
        </is>
      </c>
      <c r="G3" s="1" t="inlineStr">
        <is>
          <t>M6</t>
        </is>
      </c>
      <c r="H3" s="1" t="inlineStr">
        <is>
          <t>M7</t>
        </is>
      </c>
      <c r="I3" s="1" t="inlineStr">
        <is>
          <t>M8</t>
        </is>
      </c>
      <c r="J3" s="1" t="inlineStr">
        <is>
          <t>M9</t>
        </is>
      </c>
      <c r="K3" s="1" t="inlineStr">
        <is>
          <t>M10</t>
        </is>
      </c>
      <c r="L3" s="1" t="inlineStr">
        <is>
          <t>M11</t>
        </is>
      </c>
      <c r="M3" s="1" t="inlineStr">
        <is>
          <t>M12</t>
        </is>
      </c>
      <c r="N3" s="1" t="inlineStr">
        <is>
          <t>M13</t>
        </is>
      </c>
      <c r="O3" s="1" t="inlineStr">
        <is>
          <t>M14</t>
        </is>
      </c>
      <c r="P3" s="1" t="inlineStr">
        <is>
          <t>M15</t>
        </is>
      </c>
      <c r="Q3" s="1" t="inlineStr">
        <is>
          <t>M16</t>
        </is>
      </c>
      <c r="R3" s="1" t="inlineStr">
        <is>
          <t>M17</t>
        </is>
      </c>
      <c r="S3" s="1" t="inlineStr">
        <is>
          <t>M18</t>
        </is>
      </c>
      <c r="T3" s="1" t="inlineStr">
        <is>
          <t>M19</t>
        </is>
      </c>
      <c r="U3" s="1" t="inlineStr">
        <is>
          <t>M20</t>
        </is>
      </c>
      <c r="V3" s="1" t="inlineStr">
        <is>
          <t>M21</t>
        </is>
      </c>
      <c r="W3" s="1" t="inlineStr">
        <is>
          <t>M22</t>
        </is>
      </c>
      <c r="X3" s="1" t="inlineStr">
        <is>
          <t>M23</t>
        </is>
      </c>
      <c r="Y3" s="1" t="inlineStr">
        <is>
          <t>M24</t>
        </is>
      </c>
    </row>
    <row r="4">
      <c r="A4" s="6" t="inlineStr">
        <is>
          <t>Лиды</t>
        </is>
      </c>
      <c r="B4" s="7" t="n">
        <v>131.9310344827586</v>
      </c>
      <c r="C4" s="7" t="n">
        <v>156.6063057298644</v>
      </c>
      <c r="D4" s="7" t="n">
        <v>185.1707800469636</v>
      </c>
      <c r="E4" s="7" t="n">
        <v>260.7036885271799</v>
      </c>
      <c r="F4" s="7" t="n">
        <v>295.5118682546506</v>
      </c>
      <c r="G4" s="7" t="n">
        <v>298.9797331584235</v>
      </c>
      <c r="H4" s="7" t="n">
        <v>292.8091302973074</v>
      </c>
      <c r="I4" s="7" t="n">
        <v>340.6831444435629</v>
      </c>
      <c r="J4" s="7" t="n">
        <v>491.13966428907</v>
      </c>
      <c r="K4" s="7" t="n">
        <v>576.4470217277648</v>
      </c>
      <c r="L4" s="7" t="n">
        <v>619.4541638003885</v>
      </c>
      <c r="M4" s="7" t="n">
        <v>603.264305381181</v>
      </c>
      <c r="N4" s="7" t="n">
        <v>616.6164672274904</v>
      </c>
      <c r="O4" s="7" t="n">
        <v>705.6613846637566</v>
      </c>
      <c r="P4" s="7" t="n">
        <v>869.2047860331331</v>
      </c>
      <c r="Q4" s="7" t="n">
        <v>987.4672414665545</v>
      </c>
      <c r="R4" s="7" t="n">
        <v>1079.118799054512</v>
      </c>
      <c r="S4" s="7" t="n">
        <v>1052.579315805158</v>
      </c>
      <c r="T4" s="7" t="n">
        <v>993.8398078443023</v>
      </c>
      <c r="U4" s="7" t="n">
        <v>1114.810509020064</v>
      </c>
      <c r="V4" s="7" t="n">
        <v>1430.164679095935</v>
      </c>
      <c r="W4" s="7" t="n">
        <v>1618.199689354118</v>
      </c>
      <c r="X4" s="7" t="n">
        <v>1676.384100201118</v>
      </c>
      <c r="Y4" s="7" t="n">
        <v>1573.850936051325</v>
      </c>
    </row>
    <row r="5">
      <c r="A5" s="6" t="inlineStr">
        <is>
          <t>Замеры</t>
        </is>
      </c>
      <c r="B5" s="7" t="n">
        <v>24.95758620689655</v>
      </c>
      <c r="C5" s="7" t="n">
        <v>29.62497823778842</v>
      </c>
      <c r="D5" s="7" t="n">
        <v>35.02792334228424</v>
      </c>
      <c r="E5" s="7" t="n">
        <v>50.16518194896893</v>
      </c>
      <c r="F5" s="7" t="n">
        <v>56.86262200952612</v>
      </c>
      <c r="G5" s="7" t="n">
        <v>57.52947250467024</v>
      </c>
      <c r="H5" s="7" t="n">
        <v>56.34169318823359</v>
      </c>
      <c r="I5" s="7" t="n">
        <v>65.55299132525238</v>
      </c>
      <c r="J5" s="7" t="n">
        <v>94.61307643377997</v>
      </c>
      <c r="K5" s="7" t="n">
        <v>111.045250147491</v>
      </c>
      <c r="L5" s="7" t="n">
        <v>119.3284910901693</v>
      </c>
      <c r="M5" s="7" t="n">
        <v>116.2082445721535</v>
      </c>
      <c r="N5" s="7" t="n">
        <v>118.778742491892</v>
      </c>
      <c r="O5" s="7" t="n">
        <v>135.9296515202801</v>
      </c>
      <c r="P5" s="7" t="n">
        <v>167.716356933944</v>
      </c>
      <c r="Q5" s="7" t="n">
        <v>190.532245343962</v>
      </c>
      <c r="R5" s="7" t="n">
        <v>208.2128270516262</v>
      </c>
      <c r="S5" s="7" t="n">
        <v>203.0885531241662</v>
      </c>
      <c r="T5" s="7" t="n">
        <v>191.7517566128558</v>
      </c>
      <c r="U5" s="7" t="n">
        <v>215.0880702864096</v>
      </c>
      <c r="V5" s="7" t="n">
        <v>275.9266072516847</v>
      </c>
      <c r="W5" s="7" t="n">
        <v>312.1992588697781</v>
      </c>
      <c r="X5" s="7" t="n">
        <v>323.4189526679505</v>
      </c>
      <c r="Y5" s="7" t="n">
        <v>303.6320884704087</v>
      </c>
    </row>
    <row r="6">
      <c r="A6" s="6" t="inlineStr">
        <is>
          <t>Заказы</t>
        </is>
      </c>
      <c r="B6" s="7" t="n">
        <v>9.256658620689654</v>
      </c>
      <c r="C6" s="7" t="n">
        <v>11.19082622006939</v>
      </c>
      <c r="D6" s="7" t="n">
        <v>13.27053323205355</v>
      </c>
      <c r="E6" s="7" t="n">
        <v>18.68718390384944</v>
      </c>
      <c r="F6" s="7" t="n">
        <v>21.73162371057299</v>
      </c>
      <c r="G6" s="7" t="n">
        <v>22.4131217135849</v>
      </c>
      <c r="H6" s="7" t="n">
        <v>22.12268789559172</v>
      </c>
      <c r="I6" s="7" t="n">
        <v>25.14955819182606</v>
      </c>
      <c r="J6" s="7" t="n">
        <v>35.4522401142458</v>
      </c>
      <c r="K6" s="7" t="n">
        <v>42.50514421585566</v>
      </c>
      <c r="L6" s="7" t="n">
        <v>46.3428402926093</v>
      </c>
      <c r="M6" s="7" t="n">
        <v>45.87910132651027</v>
      </c>
      <c r="N6" s="7" t="n">
        <v>46.67641728803597</v>
      </c>
      <c r="O6" s="7" t="n">
        <v>52.54874397238441</v>
      </c>
      <c r="P6" s="7" t="n">
        <v>64.34200163849012</v>
      </c>
      <c r="Q6" s="7" t="n">
        <v>73.80082537214244</v>
      </c>
      <c r="R6" s="7" t="n">
        <v>81.1824407740682</v>
      </c>
      <c r="S6" s="7" t="n">
        <v>80.57390868851901</v>
      </c>
      <c r="T6" s="7" t="n">
        <v>76.67379920777364</v>
      </c>
      <c r="U6" s="7" t="n">
        <v>83.95946600821732</v>
      </c>
      <c r="V6" s="7" t="n">
        <v>105.5607021552491</v>
      </c>
      <c r="W6" s="7" t="n">
        <v>121.0370504549169</v>
      </c>
      <c r="X6" s="7" t="n">
        <v>127.1547536222165</v>
      </c>
      <c r="Y6" s="7" t="n">
        <v>121.4183660524262</v>
      </c>
    </row>
    <row r="7">
      <c r="A7" s="6" t="inlineStr">
        <is>
          <t>Средний чек</t>
        </is>
      </c>
      <c r="B7" s="7" t="n">
        <v>410885</v>
      </c>
      <c r="C7" s="7" t="n">
        <v>412117.655</v>
      </c>
      <c r="D7" s="7" t="n">
        <v>413354.0079649999</v>
      </c>
      <c r="E7" s="7" t="n">
        <v>414594.0699888949</v>
      </c>
      <c r="F7" s="7" t="n">
        <v>415837.8521988615</v>
      </c>
      <c r="G7" s="7" t="n">
        <v>417085.3657554581</v>
      </c>
      <c r="H7" s="7" t="n">
        <v>418336.6218527244</v>
      </c>
      <c r="I7" s="7" t="n">
        <v>419591.6317182825</v>
      </c>
      <c r="J7" s="7" t="n">
        <v>420850.4066134373</v>
      </c>
      <c r="K7" s="7" t="n">
        <v>422112.9578332776</v>
      </c>
      <c r="L7" s="7" t="n">
        <v>423379.2967067773</v>
      </c>
      <c r="M7" s="7" t="n">
        <v>424649.4345968976</v>
      </c>
      <c r="N7" s="7" t="n">
        <v>425923.3829006883</v>
      </c>
      <c r="O7" s="7" t="n">
        <v>427201.1530493903</v>
      </c>
      <c r="P7" s="7" t="n">
        <v>428482.7565085384</v>
      </c>
      <c r="Q7" s="7" t="n">
        <v>429768.204778064</v>
      </c>
      <c r="R7" s="7" t="n">
        <v>431057.5093923982</v>
      </c>
      <c r="S7" s="7" t="n">
        <v>432350.6819205753</v>
      </c>
      <c r="T7" s="7" t="n">
        <v>433647.733966337</v>
      </c>
      <c r="U7" s="7" t="n">
        <v>434948.677168236</v>
      </c>
      <c r="V7" s="7" t="n">
        <v>436253.5231997406</v>
      </c>
      <c r="W7" s="7" t="n">
        <v>437562.2837693398</v>
      </c>
      <c r="X7" s="7" t="n">
        <v>438874.9706206477</v>
      </c>
      <c r="Y7" s="7" t="n">
        <v>440191.5955325097</v>
      </c>
    </row>
    <row r="8">
      <c r="A8" s="11" t="inlineStr">
        <is>
          <t>Выручка</t>
        </is>
      </c>
      <c r="B8" s="12" t="n">
        <v>3803422.177362069</v>
      </c>
      <c r="C8" s="12" t="n">
        <v>4611937.059327509</v>
      </c>
      <c r="D8" s="12" t="n">
        <v>5485428.099302059</v>
      </c>
      <c r="E8" s="12" t="n">
        <v>7747595.631327905</v>
      </c>
      <c r="F8" s="12" t="n">
        <v>9036831.728598524</v>
      </c>
      <c r="G8" s="12" t="n">
        <v>9348185.067632159</v>
      </c>
      <c r="H8" s="12" t="n">
        <v>9254730.520543996</v>
      </c>
      <c r="I8" s="12" t="n">
        <v>10552544.15870219</v>
      </c>
      <c r="J8" s="12" t="n">
        <v>14920089.66743756</v>
      </c>
      <c r="K8" s="12" t="n">
        <v>17941972.14808486</v>
      </c>
      <c r="L8" s="12" t="n">
        <v>19620599.13047943</v>
      </c>
      <c r="M8" s="12" t="n">
        <v>19482534.43811636</v>
      </c>
      <c r="N8" s="12" t="n">
        <v>19880577.55300445</v>
      </c>
      <c r="O8" s="12" t="n">
        <v>22448884.01629982</v>
      </c>
      <c r="P8" s="12" t="n">
        <v>27569438.22133714</v>
      </c>
      <c r="Q8" s="12" t="n">
        <v>31717248.23132506</v>
      </c>
      <c r="R8" s="12" t="n">
        <v>34994300.72646571</v>
      </c>
      <c r="S8" s="12" t="n">
        <v>34836184.36648736</v>
      </c>
      <c r="T8" s="12" t="n">
        <v>33249419.28104096</v>
      </c>
      <c r="U8" s="12" t="n">
        <v>36518058.6760256</v>
      </c>
      <c r="V8" s="12" t="n">
        <v>46051228.22666588</v>
      </c>
      <c r="W8" s="12" t="n">
        <v>52961248.21775825</v>
      </c>
      <c r="X8" s="12" t="n">
        <v>55805038.76022598</v>
      </c>
      <c r="Y8" s="12" t="n">
        <v>53447344.27956779</v>
      </c>
    </row>
    <row r="9">
      <c r="A9" s="6" t="inlineStr">
        <is>
          <t>Себестоимость: производство</t>
        </is>
      </c>
      <c r="B9" s="7" t="n">
        <v>1597437.314492069</v>
      </c>
      <c r="C9" s="7" t="n">
        <v>1937013.564917554</v>
      </c>
      <c r="D9" s="7" t="n">
        <v>2303879.801706864</v>
      </c>
      <c r="E9" s="7" t="n">
        <v>3253990.16515772</v>
      </c>
      <c r="F9" s="7" t="n">
        <v>3795469.32601138</v>
      </c>
      <c r="G9" s="7" t="n">
        <v>3926237.728405507</v>
      </c>
      <c r="H9" s="7" t="n">
        <v>3886986.818628478</v>
      </c>
      <c r="I9" s="7" t="n">
        <v>4432068.546654922</v>
      </c>
      <c r="J9" s="7" t="n">
        <v>6266437.660323774</v>
      </c>
      <c r="K9" s="7" t="n">
        <v>7535628.302195641</v>
      </c>
      <c r="L9" s="7" t="n">
        <v>8240651.634801358</v>
      </c>
      <c r="M9" s="7" t="n">
        <v>8182664.464008871</v>
      </c>
      <c r="N9" s="7" t="n">
        <v>8349842.572261871</v>
      </c>
      <c r="O9" s="7" t="n">
        <v>9428531.286845922</v>
      </c>
      <c r="P9" s="7" t="n">
        <v>11579164.0529616</v>
      </c>
      <c r="Q9" s="7" t="n">
        <v>13321244.25715652</v>
      </c>
      <c r="R9" s="7" t="n">
        <v>14697606.3051156</v>
      </c>
      <c r="S9" s="7" t="n">
        <v>14631197.43392469</v>
      </c>
      <c r="T9" s="7" t="n">
        <v>13964756.0980372</v>
      </c>
      <c r="U9" s="7" t="n">
        <v>15337584.64393075</v>
      </c>
      <c r="V9" s="7" t="n">
        <v>19341515.85519967</v>
      </c>
      <c r="W9" s="7" t="n">
        <v>22243724.25145846</v>
      </c>
      <c r="X9" s="7" t="n">
        <v>23438116.27929491</v>
      </c>
      <c r="Y9" s="7" t="n">
        <v>22447884.59741847</v>
      </c>
    </row>
    <row r="10">
      <c r="A10" s="6" t="inlineStr">
        <is>
          <t>Себестоимость: материалы</t>
        </is>
      </c>
      <c r="B10" s="7" t="n">
        <v>380342.2177362069</v>
      </c>
      <c r="C10" s="7" t="n">
        <v>461193.7059327509</v>
      </c>
      <c r="D10" s="7" t="n">
        <v>548542.8099302059</v>
      </c>
      <c r="E10" s="7" t="n">
        <v>774759.5631327905</v>
      </c>
      <c r="F10" s="7" t="n">
        <v>903683.1728598524</v>
      </c>
      <c r="G10" s="7" t="n">
        <v>934818.506763216</v>
      </c>
      <c r="H10" s="7" t="n">
        <v>925473.0520543996</v>
      </c>
      <c r="I10" s="7" t="n">
        <v>1055254.415870219</v>
      </c>
      <c r="J10" s="7" t="n">
        <v>1492008.966743756</v>
      </c>
      <c r="K10" s="7" t="n">
        <v>1794197.214808486</v>
      </c>
      <c r="L10" s="7" t="n">
        <v>1962059.913047943</v>
      </c>
      <c r="M10" s="7" t="n">
        <v>1948253.443811636</v>
      </c>
      <c r="N10" s="7" t="n">
        <v>1988057.755300445</v>
      </c>
      <c r="O10" s="7" t="n">
        <v>2244888.401629982</v>
      </c>
      <c r="P10" s="7" t="n">
        <v>2756943.822133714</v>
      </c>
      <c r="Q10" s="7" t="n">
        <v>3171724.823132506</v>
      </c>
      <c r="R10" s="7" t="n">
        <v>3499430.072646571</v>
      </c>
      <c r="S10" s="7" t="n">
        <v>3483618.436648736</v>
      </c>
      <c r="T10" s="7" t="n">
        <v>3324941.928104097</v>
      </c>
      <c r="U10" s="7" t="n">
        <v>3651805.86760256</v>
      </c>
      <c r="V10" s="7" t="n">
        <v>4605122.822666588</v>
      </c>
      <c r="W10" s="7" t="n">
        <v>5296124.821775825</v>
      </c>
      <c r="X10" s="7" t="n">
        <v>5580503.876022599</v>
      </c>
      <c r="Y10" s="7" t="n">
        <v>5344734.427956779</v>
      </c>
    </row>
    <row r="11">
      <c r="A11" s="6" t="inlineStr">
        <is>
          <t>Себестоимость: логистика</t>
        </is>
      </c>
      <c r="B11" s="7" t="n">
        <v>133119.7762076724</v>
      </c>
      <c r="C11" s="7" t="n">
        <v>161417.7970764628</v>
      </c>
      <c r="D11" s="7" t="n">
        <v>191989.9834755721</v>
      </c>
      <c r="E11" s="7" t="n">
        <v>271165.8470964767</v>
      </c>
      <c r="F11" s="7" t="n">
        <v>316289.1105009484</v>
      </c>
      <c r="G11" s="7" t="n">
        <v>327186.4773671256</v>
      </c>
      <c r="H11" s="7" t="n">
        <v>323915.5682190399</v>
      </c>
      <c r="I11" s="7" t="n">
        <v>369339.0455545768</v>
      </c>
      <c r="J11" s="7" t="n">
        <v>522203.1383603145</v>
      </c>
      <c r="K11" s="7" t="n">
        <v>627969.0251829702</v>
      </c>
      <c r="L11" s="7" t="n">
        <v>686720.9695667799</v>
      </c>
      <c r="M11" s="7" t="n">
        <v>681888.7053340727</v>
      </c>
      <c r="N11" s="7" t="n">
        <v>695820.2143551559</v>
      </c>
      <c r="O11" s="7" t="n">
        <v>785710.9405704937</v>
      </c>
      <c r="P11" s="7" t="n">
        <v>964930.3377468002</v>
      </c>
      <c r="Q11" s="7" t="n">
        <v>1110103.688096377</v>
      </c>
      <c r="R11" s="7" t="n">
        <v>1224800.5254263</v>
      </c>
      <c r="S11" s="7" t="n">
        <v>1219266.452827058</v>
      </c>
      <c r="T11" s="7" t="n">
        <v>1163729.674836434</v>
      </c>
      <c r="U11" s="7" t="n">
        <v>1278132.053660896</v>
      </c>
      <c r="V11" s="7" t="n">
        <v>1611792.987933306</v>
      </c>
      <c r="W11" s="7" t="n">
        <v>1853643.687621539</v>
      </c>
      <c r="X11" s="7" t="n">
        <v>1953176.35660791</v>
      </c>
      <c r="Y11" s="7" t="n">
        <v>1870657.049784873</v>
      </c>
    </row>
    <row r="12">
      <c r="A12" s="6" t="inlineStr">
        <is>
          <t>Себестоимость: сборка</t>
        </is>
      </c>
      <c r="B12" s="7" t="n">
        <v>171153.9979812931</v>
      </c>
      <c r="C12" s="7" t="n">
        <v>207537.1676697379</v>
      </c>
      <c r="D12" s="7" t="n">
        <v>246844.2644685926</v>
      </c>
      <c r="E12" s="7" t="n">
        <v>348641.8034097557</v>
      </c>
      <c r="F12" s="7" t="n">
        <v>406657.4277869335</v>
      </c>
      <c r="G12" s="7" t="n">
        <v>420668.3280434472</v>
      </c>
      <c r="H12" s="7" t="n">
        <v>416462.8734244798</v>
      </c>
      <c r="I12" s="7" t="n">
        <v>474864.4871415987</v>
      </c>
      <c r="J12" s="7" t="n">
        <v>671404.0350346901</v>
      </c>
      <c r="K12" s="7" t="n">
        <v>807388.7466638187</v>
      </c>
      <c r="L12" s="7" t="n">
        <v>882926.9608715741</v>
      </c>
      <c r="M12" s="7" t="n">
        <v>876714.0497152362</v>
      </c>
      <c r="N12" s="7" t="n">
        <v>894625.9898852004</v>
      </c>
      <c r="O12" s="7" t="n">
        <v>1010199.780733492</v>
      </c>
      <c r="P12" s="7" t="n">
        <v>1240624.719960171</v>
      </c>
      <c r="Q12" s="7" t="n">
        <v>1427276.170409627</v>
      </c>
      <c r="R12" s="7" t="n">
        <v>1574743.532690957</v>
      </c>
      <c r="S12" s="7" t="n">
        <v>1567628.296491931</v>
      </c>
      <c r="T12" s="7" t="n">
        <v>1496223.867646843</v>
      </c>
      <c r="U12" s="7" t="n">
        <v>1643312.640421152</v>
      </c>
      <c r="V12" s="7" t="n">
        <v>2072305.270199964</v>
      </c>
      <c r="W12" s="7" t="n">
        <v>2383256.169799121</v>
      </c>
      <c r="X12" s="7" t="n">
        <v>2511226.744210169</v>
      </c>
      <c r="Y12" s="7" t="n">
        <v>2405130.492580551</v>
      </c>
    </row>
    <row r="13">
      <c r="A13" s="6" t="inlineStr">
        <is>
          <t>Итого себестоимость</t>
        </is>
      </c>
      <c r="B13" s="7" t="n">
        <v>2282053.306417241</v>
      </c>
      <c r="C13" s="7" t="n">
        <v>2767162.235596505</v>
      </c>
      <c r="D13" s="7" t="n">
        <v>3291256.859581235</v>
      </c>
      <c r="E13" s="7" t="n">
        <v>4648557.378796743</v>
      </c>
      <c r="F13" s="7" t="n">
        <v>5422099.037159114</v>
      </c>
      <c r="G13" s="7" t="n">
        <v>5608911.040579295</v>
      </c>
      <c r="H13" s="7" t="n">
        <v>5552838.312326398</v>
      </c>
      <c r="I13" s="7" t="n">
        <v>6331526.495221317</v>
      </c>
      <c r="J13" s="7" t="n">
        <v>8952053.800462535</v>
      </c>
      <c r="K13" s="7" t="n">
        <v>10765183.28885091</v>
      </c>
      <c r="L13" s="7" t="n">
        <v>11772359.47828765</v>
      </c>
      <c r="M13" s="7" t="n">
        <v>11689520.66286982</v>
      </c>
      <c r="N13" s="7" t="n">
        <v>11928346.53180267</v>
      </c>
      <c r="O13" s="7" t="n">
        <v>13469330.40977989</v>
      </c>
      <c r="P13" s="7" t="n">
        <v>16541662.93280229</v>
      </c>
      <c r="Q13" s="7" t="n">
        <v>19030348.93879503</v>
      </c>
      <c r="R13" s="7" t="n">
        <v>20996580.43587942</v>
      </c>
      <c r="S13" s="7" t="n">
        <v>20901710.61989242</v>
      </c>
      <c r="T13" s="7" t="n">
        <v>19949651.56862458</v>
      </c>
      <c r="U13" s="7" t="n">
        <v>21910835.20561536</v>
      </c>
      <c r="V13" s="7" t="n">
        <v>27630736.93599953</v>
      </c>
      <c r="W13" s="7" t="n">
        <v>31776748.93065494</v>
      </c>
      <c r="X13" s="7" t="n">
        <v>33483023.25613559</v>
      </c>
      <c r="Y13" s="7" t="n">
        <v>32068406.56774068</v>
      </c>
    </row>
    <row r="14">
      <c r="A14" s="6" t="inlineStr">
        <is>
          <t>Маркетинг</t>
        </is>
      </c>
      <c r="B14" s="7" t="n">
        <v>554677.3774188965</v>
      </c>
      <c r="C14" s="7" t="n">
        <v>657607.4964746201</v>
      </c>
      <c r="D14" s="7" t="n">
        <v>775935.6397944167</v>
      </c>
      <c r="E14" s="7" t="n">
        <v>1083442.934450624</v>
      </c>
      <c r="F14" s="7" t="n">
        <v>1227114.384233789</v>
      </c>
      <c r="G14" s="7" t="n">
        <v>1240103.572131558</v>
      </c>
      <c r="H14" s="7" t="n">
        <v>1212320.556029953</v>
      </c>
      <c r="I14" s="7" t="n">
        <v>1405345.700266381</v>
      </c>
      <c r="J14" s="7" t="n">
        <v>2032122.122665721</v>
      </c>
      <c r="K14" s="7" t="n">
        <v>2382509.945819261</v>
      </c>
      <c r="L14" s="7" t="n">
        <v>2556527.453773589</v>
      </c>
      <c r="M14" s="7" t="n">
        <v>2486435.509738703</v>
      </c>
      <c r="N14" s="7" t="n">
        <v>2534804.476546014</v>
      </c>
      <c r="O14" s="7" t="n">
        <v>2891124.987917617</v>
      </c>
      <c r="P14" s="7" t="n">
        <v>3568018.637910053</v>
      </c>
      <c r="Q14" s="7" t="n">
        <v>4046216.804968482</v>
      </c>
      <c r="R14" s="7" t="n">
        <v>4413054.007757789</v>
      </c>
      <c r="S14" s="7" t="n">
        <v>4299068.178643068</v>
      </c>
      <c r="T14" s="7" t="n">
        <v>4051583.941662765</v>
      </c>
      <c r="U14" s="7" t="n">
        <v>4526841.521056809</v>
      </c>
      <c r="V14" s="7" t="n">
        <v>5786060.292976812</v>
      </c>
      <c r="W14" s="7" t="n">
        <v>6536769.767417811</v>
      </c>
      <c r="X14" s="7" t="n">
        <v>6761884.112116475</v>
      </c>
      <c r="Y14" s="7" t="n">
        <v>6340413.013891499</v>
      </c>
    </row>
    <row r="15">
      <c r="A15" s="6" t="inlineStr">
        <is>
          <t>ФОТ</t>
        </is>
      </c>
      <c r="B15" s="7" t="n">
        <v>703461.5991925172</v>
      </c>
      <c r="C15" s="7" t="n">
        <v>718014.8670678951</v>
      </c>
      <c r="D15" s="7" t="n">
        <v>733737.705787437</v>
      </c>
      <c r="E15" s="7" t="n">
        <v>974456.7213639023</v>
      </c>
      <c r="F15" s="7" t="n">
        <v>997662.9711147734</v>
      </c>
      <c r="G15" s="7" t="n">
        <v>1133267.331217379</v>
      </c>
      <c r="H15" s="7" t="n">
        <v>1131585.149369792</v>
      </c>
      <c r="I15" s="7" t="n">
        <v>1154945.79485664</v>
      </c>
      <c r="J15" s="7" t="n">
        <v>1323561.614013876</v>
      </c>
      <c r="K15" s="7" t="n">
        <v>1487955.498665527</v>
      </c>
      <c r="L15" s="7" t="n">
        <v>1958170.78434863</v>
      </c>
      <c r="M15" s="7" t="n">
        <v>1955685.619886094</v>
      </c>
      <c r="N15" s="7" t="n">
        <v>1962850.39595408</v>
      </c>
      <c r="O15" s="7" t="n">
        <v>2009079.912293397</v>
      </c>
      <c r="P15" s="7" t="n">
        <v>2301249.887984069</v>
      </c>
      <c r="Q15" s="7" t="n">
        <v>2615910.468163851</v>
      </c>
      <c r="R15" s="7" t="n">
        <v>2764897.413076383</v>
      </c>
      <c r="S15" s="7" t="n">
        <v>2762051.318596772</v>
      </c>
      <c r="T15" s="7" t="n">
        <v>2733489.547058737</v>
      </c>
      <c r="U15" s="7" t="n">
        <v>2792325.056168461</v>
      </c>
      <c r="V15" s="7" t="n">
        <v>3483922.108079986</v>
      </c>
      <c r="W15" s="7" t="n">
        <v>3938302.467919649</v>
      </c>
      <c r="X15" s="7" t="n">
        <v>4099490.697684067</v>
      </c>
      <c r="Y15" s="7" t="n">
        <v>3947052.19703222</v>
      </c>
    </row>
    <row r="16">
      <c r="A16" s="6" t="inlineStr">
        <is>
          <t>Налоги на ФОТ</t>
        </is>
      </c>
      <c r="B16" s="7" t="n">
        <v>175865.3997981293</v>
      </c>
      <c r="C16" s="7" t="n">
        <v>179503.7167669738</v>
      </c>
      <c r="D16" s="7" t="n">
        <v>183434.4264468593</v>
      </c>
      <c r="E16" s="7" t="n">
        <v>243614.1803409756</v>
      </c>
      <c r="F16" s="7" t="n">
        <v>249415.7427786934</v>
      </c>
      <c r="G16" s="7" t="n">
        <v>283316.8328043447</v>
      </c>
      <c r="H16" s="7" t="n">
        <v>282896.287342448</v>
      </c>
      <c r="I16" s="7" t="n">
        <v>288736.4487141599</v>
      </c>
      <c r="J16" s="7" t="n">
        <v>330890.403503469</v>
      </c>
      <c r="K16" s="7" t="n">
        <v>371988.8746663819</v>
      </c>
      <c r="L16" s="7" t="n">
        <v>489542.6960871574</v>
      </c>
      <c r="M16" s="7" t="n">
        <v>488921.4049715236</v>
      </c>
      <c r="N16" s="7" t="n">
        <v>490712.59898852</v>
      </c>
      <c r="O16" s="7" t="n">
        <v>502269.9780733492</v>
      </c>
      <c r="P16" s="7" t="n">
        <v>575312.4719960171</v>
      </c>
      <c r="Q16" s="7" t="n">
        <v>653977.6170409627</v>
      </c>
      <c r="R16" s="7" t="n">
        <v>691224.3532690956</v>
      </c>
      <c r="S16" s="7" t="n">
        <v>690512.8296491931</v>
      </c>
      <c r="T16" s="7" t="n">
        <v>683372.3867646843</v>
      </c>
      <c r="U16" s="7" t="n">
        <v>698081.2640421152</v>
      </c>
      <c r="V16" s="7" t="n">
        <v>870980.5270199964</v>
      </c>
      <c r="W16" s="7" t="n">
        <v>984575.6169799122</v>
      </c>
      <c r="X16" s="7" t="n">
        <v>1024872.674421017</v>
      </c>
      <c r="Y16" s="7" t="n">
        <v>986763.049258055</v>
      </c>
    </row>
    <row r="17">
      <c r="A17" s="6" t="inlineStr">
        <is>
          <t>Аренда</t>
        </is>
      </c>
      <c r="B17" s="7" t="n">
        <v>140000</v>
      </c>
      <c r="C17" s="7" t="n">
        <v>140000</v>
      </c>
      <c r="D17" s="7" t="n">
        <v>140000</v>
      </c>
      <c r="E17" s="7" t="n">
        <v>140000</v>
      </c>
      <c r="F17" s="7" t="n">
        <v>140000</v>
      </c>
      <c r="G17" s="7" t="n">
        <v>140000</v>
      </c>
      <c r="H17" s="7" t="n">
        <v>140000</v>
      </c>
      <c r="I17" s="7" t="n">
        <v>140000</v>
      </c>
      <c r="J17" s="7" t="n">
        <v>140000</v>
      </c>
      <c r="K17" s="7" t="n">
        <v>140000</v>
      </c>
      <c r="L17" s="7" t="n">
        <v>140000</v>
      </c>
      <c r="M17" s="7" t="n">
        <v>140000</v>
      </c>
      <c r="N17" s="7" t="n">
        <v>140000</v>
      </c>
      <c r="O17" s="7" t="n">
        <v>140000</v>
      </c>
      <c r="P17" s="7" t="n">
        <v>140000</v>
      </c>
      <c r="Q17" s="7" t="n">
        <v>140000</v>
      </c>
      <c r="R17" s="7" t="n">
        <v>140000</v>
      </c>
      <c r="S17" s="7" t="n">
        <v>140000</v>
      </c>
      <c r="T17" s="7" t="n">
        <v>140000</v>
      </c>
      <c r="U17" s="7" t="n">
        <v>140000</v>
      </c>
      <c r="V17" s="7" t="n">
        <v>140000</v>
      </c>
      <c r="W17" s="7" t="n">
        <v>140000</v>
      </c>
      <c r="X17" s="7" t="n">
        <v>140000</v>
      </c>
      <c r="Y17" s="7" t="n">
        <v>140000</v>
      </c>
    </row>
    <row r="18">
      <c r="A18" s="6" t="inlineStr">
        <is>
          <t>IT/CRM</t>
        </is>
      </c>
      <c r="B18" s="7" t="n">
        <v>35000</v>
      </c>
      <c r="C18" s="7" t="n">
        <v>35000</v>
      </c>
      <c r="D18" s="7" t="n">
        <v>35000</v>
      </c>
      <c r="E18" s="7" t="n">
        <v>35000</v>
      </c>
      <c r="F18" s="7" t="n">
        <v>35000</v>
      </c>
      <c r="G18" s="7" t="n">
        <v>35000</v>
      </c>
      <c r="H18" s="7" t="n">
        <v>35000</v>
      </c>
      <c r="I18" s="7" t="n">
        <v>35000</v>
      </c>
      <c r="J18" s="7" t="n">
        <v>35000</v>
      </c>
      <c r="K18" s="7" t="n">
        <v>35000</v>
      </c>
      <c r="L18" s="7" t="n">
        <v>35000</v>
      </c>
      <c r="M18" s="7" t="n">
        <v>35000</v>
      </c>
      <c r="N18" s="7" t="n">
        <v>35000</v>
      </c>
      <c r="O18" s="7" t="n">
        <v>35000</v>
      </c>
      <c r="P18" s="7" t="n">
        <v>35000</v>
      </c>
      <c r="Q18" s="7" t="n">
        <v>35000</v>
      </c>
      <c r="R18" s="7" t="n">
        <v>35000</v>
      </c>
      <c r="S18" s="7" t="n">
        <v>35000</v>
      </c>
      <c r="T18" s="7" t="n">
        <v>35000</v>
      </c>
      <c r="U18" s="7" t="n">
        <v>35000</v>
      </c>
      <c r="V18" s="7" t="n">
        <v>35000</v>
      </c>
      <c r="W18" s="7" t="n">
        <v>35000</v>
      </c>
      <c r="X18" s="7" t="n">
        <v>35000</v>
      </c>
      <c r="Y18" s="7" t="n">
        <v>35000</v>
      </c>
    </row>
    <row r="19">
      <c r="A19" s="6" t="inlineStr">
        <is>
          <t>Прочие</t>
        </is>
      </c>
      <c r="B19" s="7" t="n">
        <v>65000</v>
      </c>
      <c r="C19" s="7" t="n">
        <v>65000</v>
      </c>
      <c r="D19" s="7" t="n">
        <v>65000</v>
      </c>
      <c r="E19" s="7" t="n">
        <v>65000</v>
      </c>
      <c r="F19" s="7" t="n">
        <v>65000</v>
      </c>
      <c r="G19" s="7" t="n">
        <v>65000</v>
      </c>
      <c r="H19" s="7" t="n">
        <v>65000</v>
      </c>
      <c r="I19" s="7" t="n">
        <v>65000</v>
      </c>
      <c r="J19" s="7" t="n">
        <v>65000</v>
      </c>
      <c r="K19" s="7" t="n">
        <v>65000</v>
      </c>
      <c r="L19" s="7" t="n">
        <v>65000</v>
      </c>
      <c r="M19" s="7" t="n">
        <v>65000</v>
      </c>
      <c r="N19" s="7" t="n">
        <v>65000</v>
      </c>
      <c r="O19" s="7" t="n">
        <v>65000</v>
      </c>
      <c r="P19" s="7" t="n">
        <v>65000</v>
      </c>
      <c r="Q19" s="7" t="n">
        <v>65000</v>
      </c>
      <c r="R19" s="7" t="n">
        <v>65000</v>
      </c>
      <c r="S19" s="7" t="n">
        <v>65000</v>
      </c>
      <c r="T19" s="7" t="n">
        <v>65000</v>
      </c>
      <c r="U19" s="7" t="n">
        <v>65000</v>
      </c>
      <c r="V19" s="7" t="n">
        <v>65000</v>
      </c>
      <c r="W19" s="7" t="n">
        <v>65000</v>
      </c>
      <c r="X19" s="7" t="n">
        <v>65000</v>
      </c>
      <c r="Y19" s="7" t="n">
        <v>65000</v>
      </c>
    </row>
    <row r="20">
      <c r="A20" s="11" t="inlineStr">
        <is>
          <t>EBITDA</t>
        </is>
      </c>
      <c r="B20" s="12" t="n">
        <v>-152635.5054647157</v>
      </c>
      <c r="C20" s="12" t="n">
        <v>49648.74342151493</v>
      </c>
      <c r="D20" s="12" t="n">
        <v>261063.4676921112</v>
      </c>
      <c r="E20" s="12" t="n">
        <v>557524.4163756601</v>
      </c>
      <c r="F20" s="12" t="n">
        <v>900539.5933121545</v>
      </c>
      <c r="G20" s="12" t="n">
        <v>842586.2908995836</v>
      </c>
      <c r="H20" s="12" t="n">
        <v>835090.2154754056</v>
      </c>
      <c r="I20" s="12" t="n">
        <v>1131989.719643698</v>
      </c>
      <c r="J20" s="12" t="n">
        <v>2041461.726791956</v>
      </c>
      <c r="K20" s="12" t="n">
        <v>2694334.540082775</v>
      </c>
      <c r="L20" s="12" t="n">
        <v>2603998.717982395</v>
      </c>
      <c r="M20" s="12" t="n">
        <v>2621971.240650222</v>
      </c>
      <c r="N20" s="12" t="n">
        <v>2723863.549713168</v>
      </c>
      <c r="O20" s="12" t="n">
        <v>3337078.728235563</v>
      </c>
      <c r="P20" s="12" t="n">
        <v>4343194.290644718</v>
      </c>
      <c r="Q20" s="12" t="n">
        <v>5130794.402356727</v>
      </c>
      <c r="R20" s="12" t="n">
        <v>5888544.516483019</v>
      </c>
      <c r="S20" s="12" t="n">
        <v>5942841.419705909</v>
      </c>
      <c r="T20" s="12" t="n">
        <v>5591321.836930197</v>
      </c>
      <c r="U20" s="12" t="n">
        <v>6349975.629142854</v>
      </c>
      <c r="V20" s="12" t="n">
        <v>8039528.362589557</v>
      </c>
      <c r="W20" s="12" t="n">
        <v>9484851.434785932</v>
      </c>
      <c r="X20" s="12" t="n">
        <v>10195768.01986883</v>
      </c>
      <c r="Y20" s="12" t="n">
        <v>9864709.451645343</v>
      </c>
    </row>
    <row r="21">
      <c r="A21" s="6" t="inlineStr">
        <is>
          <t>Налог УСН</t>
        </is>
      </c>
      <c r="B21" s="7" t="n">
        <v>0</v>
      </c>
      <c r="C21" s="7" t="n">
        <v>46119.3705932751</v>
      </c>
      <c r="D21" s="7" t="n">
        <v>54854.28099302059</v>
      </c>
      <c r="E21" s="7" t="n">
        <v>83628.66245634902</v>
      </c>
      <c r="F21" s="7" t="n">
        <v>135080.9389968232</v>
      </c>
      <c r="G21" s="7" t="n">
        <v>126387.9436349375</v>
      </c>
      <c r="H21" s="7" t="n">
        <v>125263.5323213108</v>
      </c>
      <c r="I21" s="7" t="n">
        <v>169798.4579465546</v>
      </c>
      <c r="J21" s="7" t="n">
        <v>306219.2590187935</v>
      </c>
      <c r="K21" s="7" t="n">
        <v>404150.1810124163</v>
      </c>
      <c r="L21" s="7" t="n">
        <v>390599.8076973592</v>
      </c>
      <c r="M21" s="7" t="n">
        <v>393295.6860975333</v>
      </c>
      <c r="N21" s="7" t="n">
        <v>408579.5324569753</v>
      </c>
      <c r="O21" s="7" t="n">
        <v>500561.8092353345</v>
      </c>
      <c r="P21" s="7" t="n">
        <v>651479.1435967077</v>
      </c>
      <c r="Q21" s="7" t="n">
        <v>769619.160353509</v>
      </c>
      <c r="R21" s="7" t="n">
        <v>883281.6774724529</v>
      </c>
      <c r="S21" s="7" t="n">
        <v>891426.2129558863</v>
      </c>
      <c r="T21" s="7" t="n">
        <v>838698.2755395295</v>
      </c>
      <c r="U21" s="7" t="n">
        <v>952496.3443714281</v>
      </c>
      <c r="V21" s="7" t="n">
        <v>1205929.254388433</v>
      </c>
      <c r="W21" s="7" t="n">
        <v>1422727.71521789</v>
      </c>
      <c r="X21" s="7" t="n">
        <v>1529365.202980325</v>
      </c>
      <c r="Y21" s="7" t="n">
        <v>1479706.417746801</v>
      </c>
    </row>
    <row r="22">
      <c r="A22" s="11" t="inlineStr">
        <is>
          <t>Чистая прибыль</t>
        </is>
      </c>
      <c r="B22" s="12" t="n">
        <v>-152635.5054647157</v>
      </c>
      <c r="C22" s="12" t="n">
        <v>3529.37282823983</v>
      </c>
      <c r="D22" s="12" t="n">
        <v>206209.1866990906</v>
      </c>
      <c r="E22" s="12" t="n">
        <v>473895.7539193111</v>
      </c>
      <c r="F22" s="12" t="n">
        <v>765458.6543153314</v>
      </c>
      <c r="G22" s="12" t="n">
        <v>716198.3472646461</v>
      </c>
      <c r="H22" s="12" t="n">
        <v>709826.6831540947</v>
      </c>
      <c r="I22" s="12" t="n">
        <v>962191.261697143</v>
      </c>
      <c r="J22" s="12" t="n">
        <v>1735242.467773163</v>
      </c>
      <c r="K22" s="12" t="n">
        <v>2290184.359070359</v>
      </c>
      <c r="L22" s="12" t="n">
        <v>2213398.910285036</v>
      </c>
      <c r="M22" s="12" t="n">
        <v>2228675.554552689</v>
      </c>
      <c r="N22" s="12" t="n">
        <v>2315284.017256193</v>
      </c>
      <c r="O22" s="12" t="n">
        <v>2836516.919000229</v>
      </c>
      <c r="P22" s="12" t="n">
        <v>3691715.14704801</v>
      </c>
      <c r="Q22" s="12" t="n">
        <v>4361175.242003218</v>
      </c>
      <c r="R22" s="12" t="n">
        <v>5005262.839010566</v>
      </c>
      <c r="S22" s="12" t="n">
        <v>5051415.206750022</v>
      </c>
      <c r="T22" s="12" t="n">
        <v>4752623.561390667</v>
      </c>
      <c r="U22" s="12" t="n">
        <v>5397479.284771427</v>
      </c>
      <c r="V22" s="12" t="n">
        <v>6833599.108201124</v>
      </c>
      <c r="W22" s="12" t="n">
        <v>8062123.719568042</v>
      </c>
      <c r="X22" s="12" t="n">
        <v>8666402.816888507</v>
      </c>
      <c r="Y22" s="12" t="n">
        <v>8385003.033898542</v>
      </c>
    </row>
    <row r="23"/>
    <row r="24"/>
    <row r="25">
      <c r="A25" s="13" t="inlineStr">
        <is>
          <t>Выручка по типам мебели</t>
        </is>
      </c>
    </row>
    <row r="26">
      <c r="A26" s="1" t="inlineStr">
        <is>
          <t>Тип</t>
        </is>
      </c>
      <c r="B26" s="1" t="inlineStr">
        <is>
          <t>Доля</t>
        </is>
      </c>
      <c r="C26" s="1" t="inlineStr">
        <is>
          <t>М12, ₽</t>
        </is>
      </c>
      <c r="D26" s="1" t="inlineStr">
        <is>
          <t>М24, ₽</t>
        </is>
      </c>
    </row>
    <row r="27">
      <c r="A27" t="inlineStr">
        <is>
          <t>Кухни</t>
        </is>
      </c>
      <c r="B27" s="14" t="n">
        <v>0.45</v>
      </c>
      <c r="C27" s="4" t="n">
        <v>8767140.497152362</v>
      </c>
      <c r="D27" s="4" t="n">
        <v>24051304.92580551</v>
      </c>
    </row>
    <row r="28">
      <c r="A28" t="inlineStr">
        <is>
          <t>Шкафы-купе и гардеробные</t>
        </is>
      </c>
      <c r="B28" s="14" t="n">
        <v>0.3</v>
      </c>
      <c r="C28" s="4" t="n">
        <v>5844760.331434908</v>
      </c>
      <c r="D28" s="4" t="n">
        <v>16034203.28387034</v>
      </c>
    </row>
    <row r="29">
      <c r="A29" t="inlineStr">
        <is>
          <t>Мебель для ванных</t>
        </is>
      </c>
      <c r="B29" s="14" t="n">
        <v>0.15</v>
      </c>
      <c r="C29" s="4" t="n">
        <v>2922380.165717454</v>
      </c>
      <c r="D29" s="4" t="n">
        <v>8017101.641935169</v>
      </c>
    </row>
    <row r="30">
      <c r="A30" t="inlineStr">
        <is>
          <t>Прочая корпусная мебель</t>
        </is>
      </c>
      <c r="B30" s="14" t="n">
        <v>0.1</v>
      </c>
      <c r="C30" s="4" t="n">
        <v>1948253.443811636</v>
      </c>
      <c r="D30" s="4" t="n">
        <v>5344734.427956779</v>
      </c>
    </row>
    <row r="31"/>
    <row r="32"/>
    <row r="33">
      <c r="A33" s="13" t="inlineStr">
        <is>
          <t>Выручка по сегментам</t>
        </is>
      </c>
    </row>
    <row r="34">
      <c r="A34" s="1" t="inlineStr">
        <is>
          <t>Сегмент</t>
        </is>
      </c>
      <c r="B34" s="1" t="inlineStr">
        <is>
          <t>Доля</t>
        </is>
      </c>
      <c r="C34" s="1" t="inlineStr">
        <is>
          <t>М12, ₽</t>
        </is>
      </c>
      <c r="D34" s="1" t="inlineStr">
        <is>
          <t>М24, ₽</t>
        </is>
      </c>
    </row>
    <row r="35">
      <c r="A35" t="inlineStr">
        <is>
          <t>Эконом</t>
        </is>
      </c>
      <c r="B35" s="14" t="n">
        <v>0.18</v>
      </c>
      <c r="C35" s="4" t="n">
        <v>3506856.198860945</v>
      </c>
      <c r="D35" s="4" t="n">
        <v>9620521.970322203</v>
      </c>
    </row>
    <row r="36">
      <c r="A36" t="inlineStr">
        <is>
          <t>Средний</t>
        </is>
      </c>
      <c r="B36" s="14" t="n">
        <v>0.54</v>
      </c>
      <c r="C36" s="4" t="n">
        <v>10520568.59658284</v>
      </c>
      <c r="D36" s="4" t="n">
        <v>28861565.91096661</v>
      </c>
    </row>
    <row r="37">
      <c r="A37" t="inlineStr">
        <is>
          <t>Премиум</t>
        </is>
      </c>
      <c r="B37" s="14" t="n">
        <v>0.28</v>
      </c>
      <c r="C37" s="4" t="n">
        <v>5455109.642672582</v>
      </c>
      <c r="D37" s="4" t="n">
        <v>14965256.39827898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Услуги</t>
        </is>
      </c>
      <c r="B1" s="1" t="inlineStr">
        <is>
          <t>апрель 2026</t>
        </is>
      </c>
      <c r="C1" s="1" t="inlineStr">
        <is>
          <t>май 2026</t>
        </is>
      </c>
      <c r="D1" s="1" t="inlineStr">
        <is>
          <t>июнь 2026</t>
        </is>
      </c>
      <c r="E1" s="1" t="inlineStr">
        <is>
          <t>июль 2026</t>
        </is>
      </c>
      <c r="F1" s="1" t="inlineStr">
        <is>
          <t>август 2026</t>
        </is>
      </c>
      <c r="G1" s="1" t="inlineStr">
        <is>
          <t>сентябрь 2026</t>
        </is>
      </c>
      <c r="H1" s="1" t="inlineStr">
        <is>
          <t>октябрь 2026</t>
        </is>
      </c>
      <c r="I1" s="1" t="inlineStr">
        <is>
          <t>ноябрь 2026</t>
        </is>
      </c>
      <c r="J1" s="1" t="inlineStr">
        <is>
          <t>декабрь 2026</t>
        </is>
      </c>
      <c r="K1" s="1" t="inlineStr">
        <is>
          <t>январь 2027</t>
        </is>
      </c>
      <c r="L1" s="1" t="inlineStr">
        <is>
          <t>февраль 2027</t>
        </is>
      </c>
      <c r="M1" s="1" t="inlineStr">
        <is>
          <t>март 2027</t>
        </is>
      </c>
      <c r="N1" s="1" t="inlineStr">
        <is>
          <t>апрель 2027</t>
        </is>
      </c>
      <c r="O1" s="1" t="inlineStr">
        <is>
          <t>май 2027</t>
        </is>
      </c>
      <c r="P1" s="1" t="inlineStr">
        <is>
          <t>июнь 2027</t>
        </is>
      </c>
      <c r="Q1" s="1" t="inlineStr">
        <is>
          <t>июль 2027</t>
        </is>
      </c>
      <c r="R1" s="1" t="inlineStr">
        <is>
          <t>август 2027</t>
        </is>
      </c>
      <c r="S1" s="1" t="inlineStr">
        <is>
          <t>сентябрь 2027</t>
        </is>
      </c>
      <c r="T1" s="1" t="inlineStr">
        <is>
          <t>октябрь 2027</t>
        </is>
      </c>
      <c r="U1" s="1" t="inlineStr">
        <is>
          <t>ноябрь 2027</t>
        </is>
      </c>
      <c r="V1" s="1" t="inlineStr">
        <is>
          <t>декабрь 2027</t>
        </is>
      </c>
      <c r="W1" s="1" t="inlineStr">
        <is>
          <t>январь 2028</t>
        </is>
      </c>
      <c r="X1" s="1" t="inlineStr">
        <is>
          <t>февраль 2028</t>
        </is>
      </c>
      <c r="Y1" s="1" t="inlineStr">
        <is>
          <t>март 2028</t>
        </is>
      </c>
    </row>
    <row r="2">
      <c r="A2" s="15" t="inlineStr">
        <is>
          <t>Разработка сайта</t>
        </is>
      </c>
      <c r="B2" s="7" t="n">
        <v>140000</v>
      </c>
      <c r="C2" s="7" t="n">
        <v>140000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  <c r="R2" s="7" t="n">
        <v>0</v>
      </c>
      <c r="S2" s="7" t="n">
        <v>0</v>
      </c>
      <c r="T2" s="7" t="n">
        <v>0</v>
      </c>
      <c r="U2" s="7" t="n">
        <v>0</v>
      </c>
      <c r="V2" s="7" t="n">
        <v>0</v>
      </c>
      <c r="W2" s="7" t="n">
        <v>0</v>
      </c>
      <c r="X2" s="7" t="n">
        <v>0</v>
      </c>
      <c r="Y2" s="7" t="n">
        <v>0</v>
      </c>
    </row>
    <row r="3">
      <c r="A3" s="15" t="inlineStr">
        <is>
          <t>Техническая поддержка сайта</t>
        </is>
      </c>
      <c r="B3" s="7" t="n">
        <v>0</v>
      </c>
      <c r="C3" s="7" t="n">
        <v>0</v>
      </c>
      <c r="D3" s="7" t="n">
        <v>24000</v>
      </c>
      <c r="E3" s="7" t="n">
        <v>24000</v>
      </c>
      <c r="F3" s="7" t="n">
        <v>24000</v>
      </c>
      <c r="G3" s="7" t="n">
        <v>24000</v>
      </c>
      <c r="H3" s="7" t="n">
        <v>24000</v>
      </c>
      <c r="I3" s="7" t="n">
        <v>24000</v>
      </c>
      <c r="J3" s="7" t="n">
        <v>24000</v>
      </c>
      <c r="K3" s="7" t="n">
        <v>24000</v>
      </c>
      <c r="L3" s="7" t="n">
        <v>24000</v>
      </c>
      <c r="M3" s="7" t="n">
        <v>24000</v>
      </c>
      <c r="N3" s="7" t="n">
        <v>24000</v>
      </c>
      <c r="O3" s="7" t="n">
        <v>24000</v>
      </c>
      <c r="P3" s="7" t="n">
        <v>24000</v>
      </c>
      <c r="Q3" s="7" t="n">
        <v>24000</v>
      </c>
      <c r="R3" s="7" t="n">
        <v>24000</v>
      </c>
      <c r="S3" s="7" t="n">
        <v>24000</v>
      </c>
      <c r="T3" s="7" t="n">
        <v>24000</v>
      </c>
      <c r="U3" s="7" t="n">
        <v>24000</v>
      </c>
      <c r="V3" s="7" t="n">
        <v>24000</v>
      </c>
      <c r="W3" s="7" t="n">
        <v>24000</v>
      </c>
      <c r="X3" s="7" t="n">
        <v>24000</v>
      </c>
      <c r="Y3" s="7" t="n">
        <v>24000</v>
      </c>
    </row>
    <row r="4">
      <c r="A4" s="15" t="inlineStr">
        <is>
          <t>Ведение контекстной рекламы</t>
        </is>
      </c>
      <c r="B4" s="7" t="n">
        <v>40000</v>
      </c>
      <c r="C4" s="7" t="n">
        <v>60000</v>
      </c>
      <c r="D4" s="7" t="n">
        <v>60000</v>
      </c>
      <c r="E4" s="7" t="n">
        <v>60000</v>
      </c>
      <c r="F4" s="7" t="n">
        <v>60000</v>
      </c>
      <c r="G4" s="7" t="n">
        <v>60000</v>
      </c>
      <c r="H4" s="7" t="n">
        <v>60000</v>
      </c>
      <c r="I4" s="7" t="n">
        <v>60000</v>
      </c>
      <c r="J4" s="7" t="n">
        <v>60000</v>
      </c>
      <c r="K4" s="7" t="n">
        <v>60000</v>
      </c>
      <c r="L4" s="7" t="n">
        <v>60000</v>
      </c>
      <c r="M4" s="7" t="n">
        <v>60000</v>
      </c>
      <c r="N4" s="7" t="n">
        <v>60000</v>
      </c>
      <c r="O4" s="7" t="n">
        <v>60000</v>
      </c>
      <c r="P4" s="7" t="n">
        <v>60000</v>
      </c>
      <c r="Q4" s="7" t="n">
        <v>60000</v>
      </c>
      <c r="R4" s="7" t="n">
        <v>60000</v>
      </c>
      <c r="S4" s="7" t="n">
        <v>60000</v>
      </c>
      <c r="T4" s="7" t="n">
        <v>60000</v>
      </c>
      <c r="U4" s="7" t="n">
        <v>60000</v>
      </c>
      <c r="V4" s="7" t="n">
        <v>60000</v>
      </c>
      <c r="W4" s="7" t="n">
        <v>60000</v>
      </c>
      <c r="X4" s="7" t="n">
        <v>60000</v>
      </c>
      <c r="Y4" s="7" t="n">
        <v>60000</v>
      </c>
    </row>
    <row r="5">
      <c r="A5" s="15" t="inlineStr">
        <is>
          <t>Бюджет контекстной рекламной кампании</t>
        </is>
      </c>
      <c r="B5" s="7" t="n">
        <v>292500</v>
      </c>
      <c r="C5" s="7" t="n">
        <v>346320</v>
      </c>
      <c r="D5" s="7" t="n">
        <v>408441.15</v>
      </c>
      <c r="E5" s="7" t="n">
        <v>552044.25315</v>
      </c>
      <c r="F5" s="7" t="n">
        <v>624116.69731125</v>
      </c>
      <c r="G5" s="7" t="n">
        <v>629790.4854686251</v>
      </c>
      <c r="H5" s="7" t="n">
        <v>615179.346205753</v>
      </c>
      <c r="I5" s="7" t="n">
        <v>713887.6685742217</v>
      </c>
      <c r="J5" s="7" t="n">
        <v>1071033.92847624</v>
      </c>
      <c r="K5" s="7" t="n">
        <v>1253693.896641824</v>
      </c>
      <c r="L5" s="7" t="n">
        <v>1343614.010607859</v>
      </c>
      <c r="M5" s="7" t="n">
        <v>1304985.107802883</v>
      </c>
      <c r="N5" s="7" t="n">
        <v>1330285.839484776</v>
      </c>
      <c r="O5" s="7" t="n">
        <v>1518299.571465291</v>
      </c>
      <c r="P5" s="7" t="n">
        <v>1925284.151306864</v>
      </c>
      <c r="Q5" s="7" t="n">
        <v>2181233.691421777</v>
      </c>
      <c r="R5" s="7" t="n">
        <v>2377140.791484659</v>
      </c>
      <c r="S5" s="7" t="n">
        <v>2312309.678989623</v>
      </c>
      <c r="T5" s="7" t="n">
        <v>2177270.793736629</v>
      </c>
      <c r="U5" s="7" t="n">
        <v>2435574.283357202</v>
      </c>
      <c r="V5" s="7" t="n">
        <v>3115946.664686333</v>
      </c>
      <c r="W5" s="7" t="n">
        <v>3515920.909280615</v>
      </c>
      <c r="X5" s="7" t="n">
        <v>3632310.015243008</v>
      </c>
      <c r="Y5" s="7" t="n">
        <v>3400750.251771266</v>
      </c>
    </row>
    <row r="6">
      <c r="A6" s="15" t="inlineStr">
        <is>
          <t>Ведение Авито</t>
        </is>
      </c>
      <c r="B6" s="7" t="n">
        <v>20000</v>
      </c>
      <c r="C6" s="7" t="n">
        <v>25000</v>
      </c>
      <c r="D6" s="7" t="n">
        <v>25000</v>
      </c>
      <c r="E6" s="7" t="n">
        <v>25000</v>
      </c>
      <c r="F6" s="7" t="n">
        <v>25000</v>
      </c>
      <c r="G6" s="7" t="n">
        <v>25000</v>
      </c>
      <c r="H6" s="7" t="n">
        <v>25000</v>
      </c>
      <c r="I6" s="7" t="n">
        <v>25000</v>
      </c>
      <c r="J6" s="7" t="n">
        <v>25000</v>
      </c>
      <c r="K6" s="7" t="n">
        <v>25000</v>
      </c>
      <c r="L6" s="7" t="n">
        <v>25000</v>
      </c>
      <c r="M6" s="7" t="n">
        <v>25000</v>
      </c>
      <c r="N6" s="7" t="n">
        <v>25000</v>
      </c>
      <c r="O6" s="7" t="n">
        <v>25000</v>
      </c>
      <c r="P6" s="7" t="n">
        <v>25000</v>
      </c>
      <c r="Q6" s="7" t="n">
        <v>25000</v>
      </c>
      <c r="R6" s="7" t="n">
        <v>25000</v>
      </c>
      <c r="S6" s="7" t="n">
        <v>25000</v>
      </c>
      <c r="T6" s="7" t="n">
        <v>25000</v>
      </c>
      <c r="U6" s="7" t="n">
        <v>25000</v>
      </c>
      <c r="V6" s="7" t="n">
        <v>25000</v>
      </c>
      <c r="W6" s="7" t="n">
        <v>25000</v>
      </c>
      <c r="X6" s="7" t="n">
        <v>25000</v>
      </c>
      <c r="Y6" s="7" t="n">
        <v>25000</v>
      </c>
    </row>
    <row r="7">
      <c r="A7" s="15" t="inlineStr">
        <is>
          <t>Бюджет Авито</t>
        </is>
      </c>
      <c r="B7" s="7" t="n">
        <v>168750</v>
      </c>
      <c r="C7" s="7" t="n">
        <v>199800</v>
      </c>
      <c r="D7" s="7" t="n">
        <v>235639.1250000001</v>
      </c>
      <c r="E7" s="7" t="n">
        <v>299100.8997000001</v>
      </c>
      <c r="F7" s="7" t="n">
        <v>338150.1838275002</v>
      </c>
      <c r="G7" s="7" t="n">
        <v>341224.2764077502</v>
      </c>
      <c r="H7" s="7" t="n">
        <v>333307.8731950904</v>
      </c>
      <c r="I7" s="7" t="n">
        <v>386788.63648503</v>
      </c>
      <c r="J7" s="7" t="n">
        <v>546607.5522548861</v>
      </c>
      <c r="K7" s="7" t="n">
        <v>639828.985712174</v>
      </c>
      <c r="L7" s="7" t="n">
        <v>685720.168135668</v>
      </c>
      <c r="M7" s="7" t="n">
        <v>666005.7133017676</v>
      </c>
      <c r="N7" s="7" t="n">
        <v>678918.0689678224</v>
      </c>
      <c r="O7" s="7" t="n">
        <v>774871.8227152746</v>
      </c>
      <c r="P7" s="7" t="n">
        <v>934554.3758333061</v>
      </c>
      <c r="Q7" s="7" t="n">
        <v>1058795.134032322</v>
      </c>
      <c r="R7" s="7" t="n">
        <v>1153890.622922262</v>
      </c>
      <c r="S7" s="7" t="n">
        <v>1122420.878660746</v>
      </c>
      <c r="T7" s="7" t="n">
        <v>1056871.499346958</v>
      </c>
      <c r="U7" s="7" t="n">
        <v>1182254.890860393</v>
      </c>
      <c r="V7" s="7" t="n">
        <v>1512515.224502916</v>
      </c>
      <c r="W7" s="7" t="n">
        <v>1706667.178775472</v>
      </c>
      <c r="X7" s="7" t="n">
        <v>1763163.747452177</v>
      </c>
      <c r="Y7" s="7" t="n">
        <v>1650762.058552101</v>
      </c>
    </row>
    <row r="8">
      <c r="A8" s="15" t="inlineStr">
        <is>
          <t>Агрегаторы</t>
        </is>
      </c>
      <c r="B8" s="7" t="n">
        <v>63000</v>
      </c>
      <c r="C8" s="7" t="n">
        <v>74592</v>
      </c>
      <c r="D8" s="7" t="n">
        <v>87971.94000000002</v>
      </c>
      <c r="E8" s="7" t="n">
        <v>116317.01655</v>
      </c>
      <c r="F8" s="7" t="n">
        <v>131502.8492662501</v>
      </c>
      <c r="G8" s="7" t="n">
        <v>132698.3297141251</v>
      </c>
      <c r="H8" s="7" t="n">
        <v>129619.7284647574</v>
      </c>
      <c r="I8" s="7" t="n">
        <v>150417.8030775117</v>
      </c>
      <c r="J8" s="7" t="n">
        <v>188539.9962850187</v>
      </c>
      <c r="K8" s="7" t="n">
        <v>220694.6356514455</v>
      </c>
      <c r="L8" s="7" t="n">
        <v>236523.7681395493</v>
      </c>
      <c r="M8" s="7" t="n">
        <v>229723.7098055372</v>
      </c>
      <c r="N8" s="7" t="n">
        <v>234177.5368323793</v>
      </c>
      <c r="O8" s="7" t="n">
        <v>267274.6287046889</v>
      </c>
      <c r="P8" s="7" t="n">
        <v>285983.8527140171</v>
      </c>
      <c r="Q8" s="7" t="n">
        <v>324002.88254541</v>
      </c>
      <c r="R8" s="7" t="n">
        <v>353103.1414406923</v>
      </c>
      <c r="S8" s="7" t="n">
        <v>343473.055765037</v>
      </c>
      <c r="T8" s="7" t="n">
        <v>323414.2293083589</v>
      </c>
      <c r="U8" s="7" t="n">
        <v>361782.9174217596</v>
      </c>
      <c r="V8" s="7" t="n">
        <v>462846.1889189251</v>
      </c>
      <c r="W8" s="7" t="n">
        <v>522258.8088056089</v>
      </c>
      <c r="X8" s="7" t="n">
        <v>539547.3762695189</v>
      </c>
      <c r="Y8" s="7" t="n">
        <v>505151.231032337</v>
      </c>
    </row>
    <row r="9">
      <c r="A9" s="15" t="inlineStr">
        <is>
          <t>Ретаргетинг</t>
        </is>
      </c>
      <c r="B9" s="7" t="n">
        <v>0</v>
      </c>
      <c r="C9" s="7" t="n">
        <v>0</v>
      </c>
      <c r="D9" s="7" t="n">
        <v>0</v>
      </c>
      <c r="E9" s="7" t="n">
        <v>54000</v>
      </c>
      <c r="F9" s="7" t="n">
        <v>61050.00000000001</v>
      </c>
      <c r="G9" s="7" t="n">
        <v>61605.00000000002</v>
      </c>
      <c r="H9" s="7" t="n">
        <v>60175.76400000003</v>
      </c>
      <c r="I9" s="7" t="n">
        <v>69831.23886000004</v>
      </c>
      <c r="J9" s="7" t="n">
        <v>106579.9283100751</v>
      </c>
      <c r="K9" s="7" t="n">
        <v>124756.6506291388</v>
      </c>
      <c r="L9" s="7" t="n">
        <v>133704.713846677</v>
      </c>
      <c r="M9" s="7" t="n">
        <v>129860.7033235851</v>
      </c>
      <c r="N9" s="7" t="n">
        <v>132378.4108370015</v>
      </c>
      <c r="O9" s="7" t="n">
        <v>151087.8929019645</v>
      </c>
      <c r="P9" s="7" t="n">
        <v>201640.752285168</v>
      </c>
      <c r="Q9" s="7" t="n">
        <v>228447.1111183727</v>
      </c>
      <c r="R9" s="7" t="n">
        <v>248965.0460984488</v>
      </c>
      <c r="S9" s="7" t="n">
        <v>242175.0902957638</v>
      </c>
      <c r="T9" s="7" t="n">
        <v>228032.0650224912</v>
      </c>
      <c r="U9" s="7" t="n">
        <v>255084.9600092504</v>
      </c>
      <c r="V9" s="7" t="n">
        <v>326342.3890553127</v>
      </c>
      <c r="W9" s="7" t="n">
        <v>368232.8848140492</v>
      </c>
      <c r="X9" s="7" t="n">
        <v>380422.6630699627</v>
      </c>
      <c r="Y9" s="7" t="n">
        <v>356170.7182992526</v>
      </c>
    </row>
    <row r="10">
      <c r="A10" s="15" t="inlineStr">
        <is>
          <t>Calltracking / аналитика</t>
        </is>
      </c>
      <c r="B10" s="7" t="n">
        <v>0</v>
      </c>
      <c r="C10" s="7" t="n">
        <v>12000</v>
      </c>
      <c r="D10" s="7" t="n">
        <v>12000</v>
      </c>
      <c r="E10" s="7" t="n">
        <v>12000</v>
      </c>
      <c r="F10" s="7" t="n">
        <v>12000</v>
      </c>
      <c r="G10" s="7" t="n">
        <v>12000</v>
      </c>
      <c r="H10" s="7" t="n">
        <v>12000</v>
      </c>
      <c r="I10" s="7" t="n">
        <v>12000</v>
      </c>
      <c r="J10" s="7" t="n">
        <v>12000</v>
      </c>
      <c r="K10" s="7" t="n">
        <v>12000</v>
      </c>
      <c r="L10" s="7" t="n">
        <v>12000</v>
      </c>
      <c r="M10" s="7" t="n">
        <v>12000</v>
      </c>
      <c r="N10" s="7" t="n">
        <v>12000</v>
      </c>
      <c r="O10" s="7" t="n">
        <v>12000</v>
      </c>
      <c r="P10" s="7" t="n">
        <v>12000</v>
      </c>
      <c r="Q10" s="7" t="n">
        <v>12000</v>
      </c>
      <c r="R10" s="7" t="n">
        <v>12000</v>
      </c>
      <c r="S10" s="7" t="n">
        <v>12000</v>
      </c>
      <c r="T10" s="7" t="n">
        <v>12000</v>
      </c>
      <c r="U10" s="7" t="n">
        <v>12000</v>
      </c>
      <c r="V10" s="7" t="n">
        <v>12000</v>
      </c>
      <c r="W10" s="7" t="n">
        <v>12000</v>
      </c>
      <c r="X10" s="7" t="n">
        <v>12000</v>
      </c>
      <c r="Y10" s="7" t="n">
        <v>12000</v>
      </c>
    </row>
    <row r="11">
      <c r="A11" s="16" t="inlineStr">
        <is>
          <t>СУММА</t>
        </is>
      </c>
      <c r="B11" s="7">
        <f>SUM(B2:B10)</f>
        <v/>
      </c>
      <c r="C11" s="7">
        <f>SUM(C2:C10)</f>
        <v/>
      </c>
      <c r="D11" s="7">
        <f>SUM(D2:D10)</f>
        <v/>
      </c>
      <c r="E11" s="7">
        <f>SUM(E2:E10)</f>
        <v/>
      </c>
      <c r="F11" s="7">
        <f>SUM(F2:F10)</f>
        <v/>
      </c>
      <c r="G11" s="7">
        <f>SUM(G2:G10)</f>
        <v/>
      </c>
      <c r="H11" s="7">
        <f>SUM(H2:H10)</f>
        <v/>
      </c>
      <c r="I11" s="7">
        <f>SUM(I2:I10)</f>
        <v/>
      </c>
      <c r="J11" s="7">
        <f>SUM(J2:J10)</f>
        <v/>
      </c>
      <c r="K11" s="7">
        <f>SUM(K2:K10)</f>
        <v/>
      </c>
      <c r="L11" s="7">
        <f>SUM(L2:L10)</f>
        <v/>
      </c>
      <c r="M11" s="7">
        <f>SUM(M2:M10)</f>
        <v/>
      </c>
      <c r="N11" s="7">
        <f>SUM(N2:N10)</f>
        <v/>
      </c>
      <c r="O11" s="7">
        <f>SUM(O2:O10)</f>
        <v/>
      </c>
      <c r="P11" s="7">
        <f>SUM(P2:P10)</f>
        <v/>
      </c>
      <c r="Q11" s="7">
        <f>SUM(Q2:Q10)</f>
        <v/>
      </c>
      <c r="R11" s="7">
        <f>SUM(R2:R10)</f>
        <v/>
      </c>
      <c r="S11" s="7">
        <f>SUM(S2:S10)</f>
        <v/>
      </c>
      <c r="T11" s="7">
        <f>SUM(T2:T10)</f>
        <v/>
      </c>
      <c r="U11" s="7">
        <f>SUM(U2:U10)</f>
        <v/>
      </c>
      <c r="V11" s="7">
        <f>SUM(V2:V10)</f>
        <v/>
      </c>
      <c r="W11" s="7">
        <f>SUM(W2:W10)</f>
        <v/>
      </c>
      <c r="X11" s="7">
        <f>SUM(X2:X10)</f>
        <v/>
      </c>
      <c r="Y11" s="7">
        <f>SUM(Y2:Y10)</f>
        <v/>
      </c>
    </row>
    <row r="12">
      <c r="A12" s="15" t="inlineStr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</row>
    <row r="13">
      <c r="A13" s="16" t="inlineStr">
        <is>
          <t>Прогноз по лидам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>
      <c r="A14" s="15" t="inlineStr">
        <is>
          <t>Прогнозное количество лидов с источником PPC (Контекстная реклама)</t>
        </is>
      </c>
      <c r="B14" s="7" t="n">
        <v>50.43103448275862</v>
      </c>
      <c r="C14" s="7" t="n">
        <v>59.9501454092231</v>
      </c>
      <c r="D14" s="7" t="n">
        <v>70.9876533554242</v>
      </c>
      <c r="E14" s="7" t="n">
        <v>96.33140273727744</v>
      </c>
      <c r="F14" s="7" t="n">
        <v>109.3453840753902</v>
      </c>
      <c r="G14" s="7" t="n">
        <v>110.7825632746287</v>
      </c>
      <c r="H14" s="7" t="n">
        <v>108.6469957898166</v>
      </c>
      <c r="I14" s="7" t="n">
        <v>126.5862450946521</v>
      </c>
      <c r="J14" s="7" t="n">
        <v>190.6779735565526</v>
      </c>
      <c r="K14" s="7" t="n">
        <v>224.0936096672299</v>
      </c>
      <c r="L14" s="7" t="n">
        <v>241.1310548558893</v>
      </c>
      <c r="M14" s="7" t="n">
        <v>235.1390934023921</v>
      </c>
      <c r="N14" s="7" t="n">
        <v>240.6605547793108</v>
      </c>
      <c r="O14" s="7" t="n">
        <v>275.7770212732129</v>
      </c>
      <c r="P14" s="7" t="n">
        <v>351.1042643937108</v>
      </c>
      <c r="Q14" s="7" t="n">
        <v>399.3779903273607</v>
      </c>
      <c r="R14" s="7" t="n">
        <v>436.9960347085597</v>
      </c>
      <c r="S14" s="7" t="n">
        <v>426.7851014404517</v>
      </c>
      <c r="T14" s="7" t="n">
        <v>403.474750518403</v>
      </c>
      <c r="U14" s="7" t="n">
        <v>453.1541443162604</v>
      </c>
      <c r="V14" s="7" t="n">
        <v>582.0700496117497</v>
      </c>
      <c r="W14" s="7" t="n">
        <v>659.4243752994739</v>
      </c>
      <c r="X14" s="7" t="n">
        <v>683.9895542159065</v>
      </c>
      <c r="Y14" s="7" t="n">
        <v>642.9570483279542</v>
      </c>
    </row>
    <row r="15">
      <c r="A15" s="15" t="inlineStr">
        <is>
          <t>Прогнозное количество лидов с источником Авито</t>
        </is>
      </c>
      <c r="B15" s="17" t="n">
        <v>67.5</v>
      </c>
      <c r="C15" s="17" t="n">
        <v>80.0801603206413</v>
      </c>
      <c r="D15" s="17" t="n">
        <v>94.63380669153941</v>
      </c>
      <c r="E15" s="17" t="n">
        <v>120.3610830079403</v>
      </c>
      <c r="F15" s="17" t="n">
        <v>136.3475862397898</v>
      </c>
      <c r="G15" s="17" t="n">
        <v>137.8628354219045</v>
      </c>
      <c r="H15" s="17" t="n">
        <v>134.9342862125414</v>
      </c>
      <c r="I15" s="17" t="n">
        <v>156.8989035801686</v>
      </c>
      <c r="J15" s="17" t="n">
        <v>222.1730048886963</v>
      </c>
      <c r="K15" s="17" t="n">
        <v>260.5847705362409</v>
      </c>
      <c r="L15" s="17" t="n">
        <v>279.8346578766626</v>
      </c>
      <c r="M15" s="17" t="n">
        <v>272.3340796219525</v>
      </c>
      <c r="N15" s="17" t="n">
        <v>278.170366797197</v>
      </c>
      <c r="O15" s="17" t="n">
        <v>318.121354680562</v>
      </c>
      <c r="P15" s="17" t="n">
        <v>384.4474535375151</v>
      </c>
      <c r="Q15" s="17" t="n">
        <v>436.4292087193527</v>
      </c>
      <c r="R15" s="17" t="n">
        <v>476.5801776355287</v>
      </c>
      <c r="S15" s="17" t="n">
        <v>464.5115595463798</v>
      </c>
      <c r="T15" s="17" t="n">
        <v>438.2606056802316</v>
      </c>
      <c r="U15" s="17" t="n">
        <v>491.2367237106258</v>
      </c>
      <c r="V15" s="17" t="n">
        <v>629.7220787307293</v>
      </c>
      <c r="W15" s="17" t="n">
        <v>711.9794535621983</v>
      </c>
      <c r="X15" s="17" t="n">
        <v>737.0224735237188</v>
      </c>
      <c r="Y15" s="17" t="n">
        <v>691.4201310987792</v>
      </c>
    </row>
    <row r="16">
      <c r="A16" s="15" t="inlineStr">
        <is>
          <t>Прогнозное количество лидов с источником Агрегаторы</t>
        </is>
      </c>
      <c r="B16" s="17" t="n">
        <v>14</v>
      </c>
      <c r="C16" s="17" t="n">
        <v>16.576</v>
      </c>
      <c r="D16" s="17" t="n">
        <v>19.54932000000001</v>
      </c>
      <c r="E16" s="17" t="n">
        <v>25.84822590000001</v>
      </c>
      <c r="F16" s="17" t="n">
        <v>29.22285539250002</v>
      </c>
      <c r="G16" s="17" t="n">
        <v>29.48851771425002</v>
      </c>
      <c r="H16" s="17" t="n">
        <v>28.80438410327942</v>
      </c>
      <c r="I16" s="17" t="n">
        <v>33.42617846166926</v>
      </c>
      <c r="J16" s="17" t="n">
        <v>41.89777695222638</v>
      </c>
      <c r="K16" s="17" t="n">
        <v>49.0432523669879</v>
      </c>
      <c r="L16" s="17" t="n">
        <v>52.56083736434429</v>
      </c>
      <c r="M16" s="17" t="n">
        <v>51.04971329011939</v>
      </c>
      <c r="N16" s="17" t="n">
        <v>52.03945262941762</v>
      </c>
      <c r="O16" s="17" t="n">
        <v>59.39436193437532</v>
      </c>
      <c r="P16" s="17" t="n">
        <v>63.55196726978159</v>
      </c>
      <c r="Q16" s="17" t="n">
        <v>72.00064056564668</v>
      </c>
      <c r="R16" s="17" t="n">
        <v>78.46736476459829</v>
      </c>
      <c r="S16" s="17" t="n">
        <v>76.32734572556379</v>
      </c>
      <c r="T16" s="17" t="n">
        <v>71.86982873519086</v>
      </c>
      <c r="U16" s="17" t="n">
        <v>80.39620387150214</v>
      </c>
      <c r="V16" s="17" t="n">
        <v>102.85470864865</v>
      </c>
      <c r="W16" s="17" t="n">
        <v>116.0575130679131</v>
      </c>
      <c r="X16" s="17" t="n">
        <v>119.899416948782</v>
      </c>
      <c r="Y16" s="17" t="n">
        <v>112.2558291182971</v>
      </c>
    </row>
    <row r="17">
      <c r="A17" s="15" t="inlineStr">
        <is>
          <t>Прогнозное количество лидов с источником Ретаргетинг</t>
        </is>
      </c>
      <c r="B17" s="17" t="n">
        <v>0</v>
      </c>
      <c r="C17" s="17" t="n">
        <v>0</v>
      </c>
      <c r="D17" s="17" t="n">
        <v>0</v>
      </c>
      <c r="E17" s="17" t="n">
        <v>18.16297688196222</v>
      </c>
      <c r="F17" s="17" t="n">
        <v>20.59604254697043</v>
      </c>
      <c r="G17" s="17" t="n">
        <v>20.84581674764036</v>
      </c>
      <c r="H17" s="17" t="n">
        <v>20.42346419167011</v>
      </c>
      <c r="I17" s="17" t="n">
        <v>23.77181730707295</v>
      </c>
      <c r="J17" s="17" t="n">
        <v>36.39090889159488</v>
      </c>
      <c r="K17" s="17" t="n">
        <v>42.72538915730606</v>
      </c>
      <c r="L17" s="17" t="n">
        <v>45.9276137034923</v>
      </c>
      <c r="M17" s="17" t="n">
        <v>44.74141906671704</v>
      </c>
      <c r="N17" s="17" t="n">
        <v>45.74609302156504</v>
      </c>
      <c r="O17" s="17" t="n">
        <v>52.36864677560639</v>
      </c>
      <c r="P17" s="17" t="n">
        <v>70.10110083212565</v>
      </c>
      <c r="Q17" s="17" t="n">
        <v>79.65940185419434</v>
      </c>
      <c r="R17" s="17" t="n">
        <v>87.07522194582522</v>
      </c>
      <c r="S17" s="17" t="n">
        <v>84.95530909276282</v>
      </c>
      <c r="T17" s="17" t="n">
        <v>80.2346229104769</v>
      </c>
      <c r="U17" s="17" t="n">
        <v>90.0234371216758</v>
      </c>
      <c r="V17" s="17" t="n">
        <v>115.5178421048061</v>
      </c>
      <c r="W17" s="17" t="n">
        <v>130.7383474245331</v>
      </c>
      <c r="X17" s="17" t="n">
        <v>135.472655512711</v>
      </c>
      <c r="Y17" s="17" t="n">
        <v>127.2179275062945</v>
      </c>
    </row>
    <row r="18">
      <c r="A18" s="16" t="inlineStr">
        <is>
          <t>Всего</t>
        </is>
      </c>
      <c r="B18" s="17">
        <f>SUM(B15:B18)</f>
        <v/>
      </c>
      <c r="C18" s="17">
        <f>SUM(C15:C18)</f>
        <v/>
      </c>
      <c r="D18" s="17">
        <f>SUM(D15:D18)</f>
        <v/>
      </c>
      <c r="E18" s="17">
        <f>SUM(E15:E18)</f>
        <v/>
      </c>
      <c r="F18" s="17">
        <f>SUM(F15:F18)</f>
        <v/>
      </c>
      <c r="G18" s="17">
        <f>SUM(G15:G18)</f>
        <v/>
      </c>
      <c r="H18" s="17">
        <f>SUM(H15:H18)</f>
        <v/>
      </c>
      <c r="I18" s="17">
        <f>SUM(I15:I18)</f>
        <v/>
      </c>
      <c r="J18" s="17">
        <f>SUM(J15:J18)</f>
        <v/>
      </c>
      <c r="K18" s="17">
        <f>SUM(K15:K18)</f>
        <v/>
      </c>
      <c r="L18" s="17">
        <f>SUM(L15:L18)</f>
        <v/>
      </c>
      <c r="M18" s="17">
        <f>SUM(M15:M18)</f>
        <v/>
      </c>
      <c r="N18" s="17">
        <f>SUM(N15:N18)</f>
        <v/>
      </c>
      <c r="O18" s="17">
        <f>SUM(O15:O18)</f>
        <v/>
      </c>
      <c r="P18" s="17">
        <f>SUM(P15:P18)</f>
        <v/>
      </c>
      <c r="Q18" s="17">
        <f>SUM(Q15:Q18)</f>
        <v/>
      </c>
      <c r="R18" s="17">
        <f>SUM(R15:R18)</f>
        <v/>
      </c>
      <c r="S18" s="17">
        <f>SUM(S15:S18)</f>
        <v/>
      </c>
      <c r="T18" s="17">
        <f>SUM(T15:T18)</f>
        <v/>
      </c>
      <c r="U18" s="17">
        <f>SUM(U15:U18)</f>
        <v/>
      </c>
      <c r="V18" s="17">
        <f>SUM(V15:V18)</f>
        <v/>
      </c>
      <c r="W18" s="17">
        <f>SUM(W15:W18)</f>
        <v/>
      </c>
      <c r="X18" s="17">
        <f>SUM(X15:X18)</f>
        <v/>
      </c>
      <c r="Y18" s="17">
        <f>SUM(Y15:Y18)</f>
        <v/>
      </c>
    </row>
    <row r="19">
      <c r="A19" s="15" t="inlineStr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>
      <c r="A20" s="16" t="inlineStr">
        <is>
          <t>CPL от всех затрат</t>
        </is>
      </c>
      <c r="B20" s="7">
        <f>B11/B18</f>
        <v/>
      </c>
      <c r="C20" s="7">
        <f>C11/C18</f>
        <v/>
      </c>
      <c r="D20" s="7">
        <f>D11/D18</f>
        <v/>
      </c>
      <c r="E20" s="7">
        <f>E11/E18</f>
        <v/>
      </c>
      <c r="F20" s="7">
        <f>F11/F18</f>
        <v/>
      </c>
      <c r="G20" s="7">
        <f>G11/G18</f>
        <v/>
      </c>
      <c r="H20" s="7">
        <f>H11/H18</f>
        <v/>
      </c>
      <c r="I20" s="7">
        <f>I11/I18</f>
        <v/>
      </c>
      <c r="J20" s="7">
        <f>J11/J18</f>
        <v/>
      </c>
      <c r="K20" s="7">
        <f>K11/K18</f>
        <v/>
      </c>
      <c r="L20" s="7">
        <f>L11/L18</f>
        <v/>
      </c>
      <c r="M20" s="7">
        <f>M11/M18</f>
        <v/>
      </c>
      <c r="N20" s="7">
        <f>N11/N18</f>
        <v/>
      </c>
      <c r="O20" s="7">
        <f>O11/O18</f>
        <v/>
      </c>
      <c r="P20" s="7">
        <f>P11/P18</f>
        <v/>
      </c>
      <c r="Q20" s="7">
        <f>Q11/Q18</f>
        <v/>
      </c>
      <c r="R20" s="7">
        <f>R11/R18</f>
        <v/>
      </c>
      <c r="S20" s="7">
        <f>S11/S18</f>
        <v/>
      </c>
      <c r="T20" s="7">
        <f>T11/T18</f>
        <v/>
      </c>
      <c r="U20" s="7">
        <f>U11/U18</f>
        <v/>
      </c>
      <c r="V20" s="7">
        <f>V11/V18</f>
        <v/>
      </c>
      <c r="W20" s="7">
        <f>W11/W18</f>
        <v/>
      </c>
      <c r="X20" s="7">
        <f>X11/X18</f>
        <v/>
      </c>
      <c r="Y20" s="7">
        <f>Y11/Y18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3" customWidth="1" min="3" max="3"/>
    <col width="28" customWidth="1" min="4" max="4"/>
    <col width="21" customWidth="1" min="5" max="5"/>
    <col width="20" customWidth="1" min="6" max="6"/>
    <col width="28" customWidth="1" min="7" max="7"/>
    <col width="20" customWidth="1" min="8" max="8"/>
    <col width="20" customWidth="1" min="9" max="9"/>
    <col width="23" customWidth="1" min="10" max="10"/>
    <col width="20" customWidth="1" min="11" max="11"/>
    <col width="20" customWidth="1" min="12" max="12"/>
    <col width="28" customWidth="1" min="13" max="13"/>
    <col width="20" customWidth="1" min="14" max="14"/>
  </cols>
  <sheetData>
    <row r="1">
      <c r="A1" s="1" t="inlineStr">
        <is>
          <t>Месяц</t>
        </is>
      </c>
      <c r="B1" s="1" t="inlineStr">
        <is>
          <t>Фаза</t>
        </is>
      </c>
      <c r="C1" s="1" t="inlineStr">
        <is>
          <t>Контекст_поиск бюджет</t>
        </is>
      </c>
      <c r="D1" s="1" t="inlineStr">
        <is>
          <t>Контекст_поиск валовая прибыль</t>
        </is>
      </c>
      <c r="E1" s="1" t="inlineStr">
        <is>
          <t>Контекст_поиск ROMI</t>
        </is>
      </c>
      <c r="F1" s="1" t="inlineStr">
        <is>
          <t>Ретаргетинг бюджет</t>
        </is>
      </c>
      <c r="G1" s="1" t="inlineStr">
        <is>
          <t>Ретаргетинг валовая прибыль</t>
        </is>
      </c>
      <c r="H1" s="1" t="inlineStr">
        <is>
          <t>Ретаргетинг ROMI</t>
        </is>
      </c>
      <c r="I1" s="1" t="inlineStr">
        <is>
          <t>Авито бюджет</t>
        </is>
      </c>
      <c r="J1" s="1" t="inlineStr">
        <is>
          <t>Авито валовая прибыль</t>
        </is>
      </c>
      <c r="K1" s="1" t="inlineStr">
        <is>
          <t>Авито ROMI</t>
        </is>
      </c>
      <c r="L1" s="1" t="inlineStr">
        <is>
          <t>Агрегаторы бюджет</t>
        </is>
      </c>
      <c r="M1" s="1" t="inlineStr">
        <is>
          <t>Агрегаторы валовая прибыль</t>
        </is>
      </c>
      <c r="N1" s="1" t="inlineStr">
        <is>
          <t>Агрегаторы ROMI</t>
        </is>
      </c>
    </row>
    <row r="2">
      <c r="A2" t="n">
        <v>1</v>
      </c>
      <c r="B2" t="inlineStr">
        <is>
          <t>Запуск</t>
        </is>
      </c>
      <c r="C2" s="4" t="n">
        <v>292500</v>
      </c>
      <c r="D2" s="4" t="n">
        <v>581855.6653448275</v>
      </c>
      <c r="E2" s="18" t="n">
        <v>0.989250137931034</v>
      </c>
      <c r="F2" s="4" t="n">
        <v>0</v>
      </c>
      <c r="G2" s="4" t="n">
        <v>0</v>
      </c>
      <c r="H2" s="18" t="n">
        <v>0</v>
      </c>
      <c r="I2" s="4" t="n">
        <v>168750</v>
      </c>
      <c r="J2" s="4" t="n">
        <v>665633.6999999998</v>
      </c>
      <c r="K2" s="18" t="n">
        <v>2.944495999999999</v>
      </c>
      <c r="L2" s="4" t="n">
        <v>63000</v>
      </c>
      <c r="M2" s="4" t="n">
        <v>109525.5056</v>
      </c>
      <c r="N2" s="18" t="n">
        <v>0.7385000888888887</v>
      </c>
    </row>
    <row r="3">
      <c r="A3" t="n">
        <v>2</v>
      </c>
      <c r="B3" t="inlineStr">
        <is>
          <t>Запуск</t>
        </is>
      </c>
      <c r="C3" s="4" t="n">
        <v>346320</v>
      </c>
      <c r="D3" s="4" t="n">
        <v>693758.8946702614</v>
      </c>
      <c r="E3" s="18" t="n">
        <v>1.003230811591191</v>
      </c>
      <c r="F3" s="4" t="n">
        <v>0</v>
      </c>
      <c r="G3" s="4" t="n">
        <v>0</v>
      </c>
      <c r="H3" s="18" t="n">
        <v>0</v>
      </c>
      <c r="I3" s="4" t="n">
        <v>199800</v>
      </c>
      <c r="J3" s="4" t="n">
        <v>792058.7492008016</v>
      </c>
      <c r="K3" s="18" t="n">
        <v>2.964258004008016</v>
      </c>
      <c r="L3" s="4" t="n">
        <v>74592</v>
      </c>
      <c r="M3" s="4" t="n">
        <v>130067.2332262912</v>
      </c>
      <c r="N3" s="18" t="n">
        <v>0.7437155891555555</v>
      </c>
    </row>
    <row r="4">
      <c r="A4" t="n">
        <v>3</v>
      </c>
      <c r="B4" t="inlineStr">
        <is>
          <t>Запуск</t>
        </is>
      </c>
      <c r="C4" s="4" t="n">
        <v>408441.15</v>
      </c>
      <c r="D4" s="4" t="n">
        <v>823952.31133629</v>
      </c>
      <c r="E4" s="18" t="n">
        <v>1.017309742997957</v>
      </c>
      <c r="F4" s="4" t="n">
        <v>0</v>
      </c>
      <c r="G4" s="4" t="n">
        <v>0</v>
      </c>
      <c r="H4" s="18" t="n">
        <v>0</v>
      </c>
      <c r="I4" s="4" t="n">
        <v>235639.1250000001</v>
      </c>
      <c r="J4" s="4" t="n">
        <v>938814.3188383878</v>
      </c>
      <c r="K4" s="18" t="n">
        <v>2.984119016052142</v>
      </c>
      <c r="L4" s="4" t="n">
        <v>87971.94000000002</v>
      </c>
      <c r="M4" s="4" t="n">
        <v>153858.2373158159</v>
      </c>
      <c r="N4" s="18" t="n">
        <v>0.7489467359230216</v>
      </c>
    </row>
    <row r="5">
      <c r="A5" t="n">
        <v>4</v>
      </c>
      <c r="B5" t="inlineStr">
        <is>
          <t>Разгон</t>
        </is>
      </c>
      <c r="C5" s="4" t="n">
        <v>552044.25315</v>
      </c>
      <c r="D5" s="4" t="n">
        <v>1121471.067466729</v>
      </c>
      <c r="E5" s="18" t="n">
        <v>1.031487622717822</v>
      </c>
      <c r="F5" s="4" t="n">
        <v>54000</v>
      </c>
      <c r="G5" s="4" t="n">
        <v>245787.76828093</v>
      </c>
      <c r="H5" s="18" t="n">
        <v>3.551625338535741</v>
      </c>
      <c r="I5" s="4" t="n">
        <v>299100.8997000001</v>
      </c>
      <c r="J5" s="4" t="n">
        <v>1197623.790540796</v>
      </c>
      <c r="K5" s="18" t="n">
        <v>3.004079532164627</v>
      </c>
      <c r="L5" s="4" t="n">
        <v>116317.01655</v>
      </c>
      <c r="M5" s="4" t="n">
        <v>204042.5632267089</v>
      </c>
      <c r="N5" s="18" t="n">
        <v>0.7541935761307909</v>
      </c>
    </row>
    <row r="6">
      <c r="A6" t="n">
        <v>5</v>
      </c>
      <c r="B6" t="inlineStr">
        <is>
          <t>Разгон</t>
        </is>
      </c>
      <c r="C6" s="4" t="n">
        <v>624116.69731125</v>
      </c>
      <c r="D6" s="4" t="n">
        <v>1276796.186502498</v>
      </c>
      <c r="E6" s="18" t="n">
        <v>1.045765146170658</v>
      </c>
      <c r="F6" s="4" t="n">
        <v>61050.00000000001</v>
      </c>
      <c r="G6" s="4" t="n">
        <v>279549.004110692</v>
      </c>
      <c r="H6" s="18" t="n">
        <v>3.5790172663504</v>
      </c>
      <c r="I6" s="4" t="n">
        <v>338150.1838275002</v>
      </c>
      <c r="J6" s="4" t="n">
        <v>1360763.697946878</v>
      </c>
      <c r="K6" s="18" t="n">
        <v>3.024140050862847</v>
      </c>
      <c r="L6" s="4" t="n">
        <v>131502.8492662501</v>
      </c>
      <c r="M6" s="4" t="n">
        <v>231373.4977860287</v>
      </c>
      <c r="N6" s="18" t="n">
        <v>0.7594561568591826</v>
      </c>
    </row>
    <row r="7">
      <c r="A7" t="n">
        <v>6</v>
      </c>
      <c r="B7" t="inlineStr">
        <is>
          <t>Разгон</t>
        </is>
      </c>
      <c r="C7" s="4" t="n">
        <v>629790.4854686251</v>
      </c>
      <c r="D7" s="4" t="n">
        <v>1297458.468710137</v>
      </c>
      <c r="E7" s="18" t="n">
        <v>1.060143013663825</v>
      </c>
      <c r="F7" s="4" t="n">
        <v>61605.00000000002</v>
      </c>
      <c r="G7" s="4" t="n">
        <v>283787.9937508495</v>
      </c>
      <c r="H7" s="18" t="n">
        <v>3.606574040270261</v>
      </c>
      <c r="I7" s="4" t="n">
        <v>341224.2764077502</v>
      </c>
      <c r="J7" s="4" t="n">
        <v>1380013.707264709</v>
      </c>
      <c r="K7" s="18" t="n">
        <v>3.044301073161758</v>
      </c>
      <c r="L7" s="4" t="n">
        <v>132698.3297141251</v>
      </c>
      <c r="M7" s="4" t="n">
        <v>234177.3239001085</v>
      </c>
      <c r="N7" s="18" t="n">
        <v>0.7647345253297603</v>
      </c>
    </row>
    <row r="8">
      <c r="A8" t="n">
        <v>7</v>
      </c>
      <c r="B8" t="inlineStr">
        <is>
          <t>Разгон</t>
        </is>
      </c>
      <c r="C8" s="4" t="n">
        <v>615179.346205753</v>
      </c>
      <c r="D8" s="4" t="n">
        <v>1276264.562783905</v>
      </c>
      <c r="E8" s="18" t="n">
        <v>1.074621930426522</v>
      </c>
      <c r="F8" s="4" t="n">
        <v>60175.76400000003</v>
      </c>
      <c r="G8" s="4" t="n">
        <v>278872.3416576903</v>
      </c>
      <c r="H8" s="18" t="n">
        <v>3.634296652348114</v>
      </c>
      <c r="I8" s="4" t="n">
        <v>333307.8731950904</v>
      </c>
      <c r="J8" s="4" t="n">
        <v>1354750.883190317</v>
      </c>
      <c r="K8" s="18" t="n">
        <v>3.064563102586416</v>
      </c>
      <c r="L8" s="4" t="n">
        <v>129619.7284647574</v>
      </c>
      <c r="M8" s="4" t="n">
        <v>229430.6432155829</v>
      </c>
      <c r="N8" s="18" t="n">
        <v>0.7700287289057496</v>
      </c>
    </row>
    <row r="9">
      <c r="A9" t="n">
        <v>8</v>
      </c>
      <c r="B9" t="inlineStr">
        <is>
          <t>Разгон</t>
        </is>
      </c>
      <c r="C9" s="4" t="n">
        <v>713887.6685742217</v>
      </c>
      <c r="D9" s="4" t="n">
        <v>1491455.978036542</v>
      </c>
      <c r="E9" s="18" t="n">
        <v>1.089202606644379</v>
      </c>
      <c r="F9" s="4" t="n">
        <v>69831.23886000004</v>
      </c>
      <c r="G9" s="4" t="n">
        <v>325566.2312012582</v>
      </c>
      <c r="H9" s="18" t="n">
        <v>3.66218610060698</v>
      </c>
      <c r="I9" s="4" t="n">
        <v>386788.63648503</v>
      </c>
      <c r="J9" s="4" t="n">
        <v>1580003.207232298</v>
      </c>
      <c r="K9" s="18" t="n">
        <v>3.084926645184545</v>
      </c>
      <c r="L9" s="4" t="n">
        <v>150417.8030775117</v>
      </c>
      <c r="M9" s="4" t="n">
        <v>267042.5642844415</v>
      </c>
      <c r="N9" s="18" t="n">
        <v>0.7753388150924666</v>
      </c>
    </row>
    <row r="10">
      <c r="A10" t="n">
        <v>9</v>
      </c>
      <c r="B10" t="inlineStr">
        <is>
          <t>Оптимизация</t>
        </is>
      </c>
      <c r="C10" s="4" t="n">
        <v>1071033.92847624</v>
      </c>
      <c r="D10" s="4" t="n">
        <v>2253333.027914319</v>
      </c>
      <c r="E10" s="18" t="n">
        <v>1.103885757494289</v>
      </c>
      <c r="F10" s="4" t="n">
        <v>106579.9283100751</v>
      </c>
      <c r="G10" s="4" t="n">
        <v>499885.8041645266</v>
      </c>
      <c r="H10" s="18" t="n">
        <v>3.690243389076028</v>
      </c>
      <c r="I10" s="4" t="n">
        <v>546607.5522548861</v>
      </c>
      <c r="J10" s="4" t="n">
        <v>2244038.386702488</v>
      </c>
      <c r="K10" s="18" t="n">
        <v>3.105392209539177</v>
      </c>
      <c r="L10" s="4" t="n">
        <v>188539.9962850187</v>
      </c>
      <c r="M10" s="4" t="n">
        <v>335726.5407229897</v>
      </c>
      <c r="N10" s="18" t="n">
        <v>0.7806648315377436</v>
      </c>
    </row>
    <row r="11">
      <c r="A11" t="n">
        <v>10</v>
      </c>
      <c r="B11" t="inlineStr">
        <is>
          <t>Оптимизация</t>
        </is>
      </c>
      <c r="C11" s="4" t="n">
        <v>1253693.896641824</v>
      </c>
      <c r="D11" s="4" t="n">
        <v>2656166.284741424</v>
      </c>
      <c r="E11" s="18" t="n">
        <v>1.11867210317949</v>
      </c>
      <c r="F11" s="4" t="n">
        <v>124756.6506291388</v>
      </c>
      <c r="G11" s="4" t="n">
        <v>588660.4543873174</v>
      </c>
      <c r="H11" s="18" t="n">
        <v>3.718469527826736</v>
      </c>
      <c r="I11" s="4" t="n">
        <v>639828.985712174</v>
      </c>
      <c r="J11" s="4" t="n">
        <v>2639908.998176605</v>
      </c>
      <c r="K11" s="18" t="n">
        <v>3.125960306781356</v>
      </c>
      <c r="L11" s="4" t="n">
        <v>220694.6356514455</v>
      </c>
      <c r="M11" s="4" t="n">
        <v>394162.1257422055</v>
      </c>
      <c r="N11" s="18" t="n">
        <v>0.7860068260323562</v>
      </c>
    </row>
    <row r="12">
      <c r="A12" t="n">
        <v>11</v>
      </c>
      <c r="B12" t="inlineStr">
        <is>
          <t>Оптимизация</t>
        </is>
      </c>
      <c r="C12" s="4" t="n">
        <v>1343614.010607859</v>
      </c>
      <c r="D12" s="4" t="n">
        <v>2866684.291446917</v>
      </c>
      <c r="E12" s="18" t="n">
        <v>1.133562368964887</v>
      </c>
      <c r="F12" s="4" t="n">
        <v>133704.713846677</v>
      </c>
      <c r="G12" s="4" t="n">
        <v>634678.2977596549</v>
      </c>
      <c r="H12" s="18" t="n">
        <v>3.746865533009243</v>
      </c>
      <c r="I12" s="4" t="n">
        <v>685720.168135668</v>
      </c>
      <c r="J12" s="4" t="n">
        <v>2843428.815504073</v>
      </c>
      <c r="K12" s="18" t="n">
        <v>3.146631450602905</v>
      </c>
      <c r="L12" s="4" t="n">
        <v>236523.7681395493</v>
      </c>
      <c r="M12" s="4" t="n">
        <v>423700.3636093778</v>
      </c>
      <c r="N12" s="18" t="n">
        <v>0.7913648465104532</v>
      </c>
    </row>
    <row r="13">
      <c r="A13" t="n">
        <v>12</v>
      </c>
      <c r="B13" t="inlineStr">
        <is>
          <t>Оптимизация</t>
        </is>
      </c>
      <c r="C13" s="4" t="n">
        <v>1304985.107802883</v>
      </c>
      <c r="D13" s="4" t="n">
        <v>2803835.260463877</v>
      </c>
      <c r="E13" s="18" t="n">
        <v>1.148557285212632</v>
      </c>
      <c r="F13" s="4" t="n">
        <v>129860.7033235851</v>
      </c>
      <c r="G13" s="4" t="n">
        <v>620141.0136300521</v>
      </c>
      <c r="H13" s="18" t="n">
        <v>3.775432426888937</v>
      </c>
      <c r="I13" s="4" t="n">
        <v>666005.7133017676</v>
      </c>
      <c r="J13" s="4" t="n">
        <v>2775516.310390287</v>
      </c>
      <c r="K13" s="18" t="n">
        <v>3.167406157269253</v>
      </c>
      <c r="L13" s="4" t="n">
        <v>229723.7098055372</v>
      </c>
      <c r="M13" s="4" t="n">
        <v>412753.5350900749</v>
      </c>
      <c r="N13" s="18" t="n">
        <v>0.7967389410499844</v>
      </c>
    </row>
    <row r="14">
      <c r="A14" t="n">
        <v>13</v>
      </c>
      <c r="B14" t="inlineStr">
        <is>
          <t>Оптимизация</t>
        </is>
      </c>
      <c r="C14" s="4" t="n">
        <v>1330285.839484776</v>
      </c>
      <c r="D14" s="4" t="n">
        <v>2878283.050035881</v>
      </c>
      <c r="E14" s="18" t="n">
        <v>1.163657587417942</v>
      </c>
      <c r="F14" s="4" t="n">
        <v>132378.4108370015</v>
      </c>
      <c r="G14" s="4" t="n">
        <v>635968.5538598157</v>
      </c>
      <c r="H14" s="18" t="n">
        <v>3.804171237883254</v>
      </c>
      <c r="I14" s="4" t="n">
        <v>678918.0689678224</v>
      </c>
      <c r="J14" s="4" t="n">
        <v>2843502.327575698</v>
      </c>
      <c r="K14" s="18" t="n">
        <v>3.188284945632324</v>
      </c>
      <c r="L14" s="4" t="n">
        <v>234177.5368323793</v>
      </c>
      <c r="M14" s="4" t="n">
        <v>422018.1672445406</v>
      </c>
      <c r="N14" s="18" t="n">
        <v>0.8021291578731343</v>
      </c>
    </row>
    <row r="15">
      <c r="A15" t="n">
        <v>14</v>
      </c>
      <c r="B15" t="inlineStr">
        <is>
          <t>Оптимизация</t>
        </is>
      </c>
      <c r="C15" s="4" t="n">
        <v>1518299.571465291</v>
      </c>
      <c r="D15" s="4" t="n">
        <v>3308168.302146193</v>
      </c>
      <c r="E15" s="18" t="n">
        <v>1.178864016245176</v>
      </c>
      <c r="F15" s="4" t="n">
        <v>151087.8929019645</v>
      </c>
      <c r="G15" s="4" t="n">
        <v>730220.3267807612</v>
      </c>
      <c r="H15" s="18" t="n">
        <v>3.833083000598699</v>
      </c>
      <c r="I15" s="4" t="n">
        <v>774871.8227152746</v>
      </c>
      <c r="J15" s="4" t="n">
        <v>3261643.428700082</v>
      </c>
      <c r="K15" s="18" t="n">
        <v>3.209268337143507</v>
      </c>
      <c r="L15" s="4" t="n">
        <v>267274.6287046889</v>
      </c>
      <c r="M15" s="4" t="n">
        <v>483108.3917530809</v>
      </c>
      <c r="N15" s="18" t="n">
        <v>0.8075355453467535</v>
      </c>
    </row>
    <row r="16">
      <c r="A16" t="n">
        <v>15</v>
      </c>
      <c r="B16" t="inlineStr">
        <is>
          <t>Масштабирование</t>
        </is>
      </c>
      <c r="C16" s="4" t="n">
        <v>1925284.151306864</v>
      </c>
      <c r="D16" s="4" t="n">
        <v>4224414.814663301</v>
      </c>
      <c r="E16" s="18" t="n">
        <v>1.194177317564168</v>
      </c>
      <c r="F16" s="4" t="n">
        <v>201640.752285168</v>
      </c>
      <c r="G16" s="4" t="n">
        <v>980411.3656706829</v>
      </c>
      <c r="H16" s="18" t="n">
        <v>3.862168755868099</v>
      </c>
      <c r="I16" s="4" t="n">
        <v>934554.3758333061</v>
      </c>
      <c r="J16" s="4" t="n">
        <v>3953498.510986624</v>
      </c>
      <c r="K16" s="18" t="n">
        <v>3.230356855866671</v>
      </c>
      <c r="L16" s="4" t="n">
        <v>285983.8527140171</v>
      </c>
      <c r="M16" s="4" t="n">
        <v>518476.757113324</v>
      </c>
      <c r="N16" s="18" t="n">
        <v>0.8129581519827938</v>
      </c>
    </row>
    <row r="17">
      <c r="A17" t="n">
        <v>16</v>
      </c>
      <c r="B17" t="inlineStr">
        <is>
          <t>Масштабирование</t>
        </is>
      </c>
      <c r="C17" s="4" t="n">
        <v>2181233.691421777</v>
      </c>
      <c r="D17" s="4" t="n">
        <v>4819650.131018572</v>
      </c>
      <c r="E17" s="18" t="n">
        <v>1.209598242486808</v>
      </c>
      <c r="F17" s="4" t="n">
        <v>228447.1111183727</v>
      </c>
      <c r="G17" s="4" t="n">
        <v>1117432.950116573</v>
      </c>
      <c r="H17" s="18" t="n">
        <v>3.891429550788066</v>
      </c>
      <c r="I17" s="4" t="n">
        <v>1058795.134032322</v>
      </c>
      <c r="J17" s="4" t="n">
        <v>4501521.541056653</v>
      </c>
      <c r="K17" s="18" t="n">
        <v>3.251551028491253</v>
      </c>
      <c r="L17" s="4" t="n">
        <v>324002.88254541</v>
      </c>
      <c r="M17" s="4" t="n">
        <v>589165.8781781546</v>
      </c>
      <c r="N17" s="18" t="n">
        <v>0.8183970264387421</v>
      </c>
    </row>
    <row r="18">
      <c r="A18" t="n">
        <v>17</v>
      </c>
      <c r="B18" t="inlineStr">
        <is>
          <t>Масштабирование</t>
        </is>
      </c>
      <c r="C18" s="4" t="n">
        <v>2377140.791484659</v>
      </c>
      <c r="D18" s="4" t="n">
        <v>5289441.459189986</v>
      </c>
      <c r="E18" s="18" t="n">
        <v>1.225127547403883</v>
      </c>
      <c r="F18" s="4" t="n">
        <v>248965.0460984488</v>
      </c>
      <c r="G18" s="4" t="n">
        <v>1225123.739769371</v>
      </c>
      <c r="H18" s="18" t="n">
        <v>3.9208664387567</v>
      </c>
      <c r="I18" s="4" t="n">
        <v>1153890.622922262</v>
      </c>
      <c r="J18" s="4" t="n">
        <v>4930403.145536583</v>
      </c>
      <c r="K18" s="18" t="n">
        <v>3.272851384345417</v>
      </c>
      <c r="L18" s="4" t="n">
        <v>353103.1414406923</v>
      </c>
      <c r="M18" s="4" t="n">
        <v>644007.9475291991</v>
      </c>
      <c r="N18" s="18" t="n">
        <v>0.8238522175180578</v>
      </c>
    </row>
    <row r="19">
      <c r="A19" t="n">
        <v>18</v>
      </c>
      <c r="B19" t="inlineStr">
        <is>
          <t>Масштабирование</t>
        </is>
      </c>
      <c r="C19" s="4" t="n">
        <v>2312309.678989623</v>
      </c>
      <c r="D19" s="4" t="n">
        <v>5181344.896328298</v>
      </c>
      <c r="E19" s="18" t="n">
        <v>1.240765994022184</v>
      </c>
      <c r="F19" s="4" t="n">
        <v>242175.0902957638</v>
      </c>
      <c r="G19" s="4" t="n">
        <v>1198883.057133115</v>
      </c>
      <c r="H19" s="18" t="n">
        <v>3.950480479511505</v>
      </c>
      <c r="I19" s="4" t="n">
        <v>1122420.878660746</v>
      </c>
      <c r="J19" s="4" t="n">
        <v>4819965.348716812</v>
      </c>
      <c r="K19" s="18" t="n">
        <v>3.294258455409272</v>
      </c>
      <c r="L19" s="4" t="n">
        <v>343473.055765037</v>
      </c>
      <c r="M19" s="4" t="n">
        <v>628323.4266980108</v>
      </c>
      <c r="N19" s="18" t="n">
        <v>0.8293237741706124</v>
      </c>
    </row>
    <row r="20">
      <c r="A20" t="n">
        <v>19</v>
      </c>
      <c r="B20" t="inlineStr">
        <is>
          <t>Масштабирование</t>
        </is>
      </c>
      <c r="C20" s="4" t="n">
        <v>2177270.793736629</v>
      </c>
      <c r="D20" s="4" t="n">
        <v>4913042.788600275</v>
      </c>
      <c r="E20" s="18" t="n">
        <v>1.256514349401858</v>
      </c>
      <c r="F20" s="4" t="n">
        <v>228032.0650224912</v>
      </c>
      <c r="G20" s="4" t="n">
        <v>1135661.877087593</v>
      </c>
      <c r="H20" s="18" t="n">
        <v>3.980272739167541</v>
      </c>
      <c r="I20" s="4" t="n">
        <v>1056871.499346958</v>
      </c>
      <c r="J20" s="4" t="n">
        <v>4561217.244958722</v>
      </c>
      <c r="K20" s="18" t="n">
        <v>3.315772776328155</v>
      </c>
      <c r="L20" s="4" t="n">
        <v>323414.2293083589</v>
      </c>
      <c r="M20" s="4" t="n">
        <v>593404.2265945832</v>
      </c>
      <c r="N20" s="18" t="n">
        <v>0.8348117454931235</v>
      </c>
    </row>
    <row r="21">
      <c r="A21" t="n">
        <v>20</v>
      </c>
      <c r="B21" t="inlineStr">
        <is>
          <t>Масштабирование</t>
        </is>
      </c>
      <c r="C21" s="4" t="n">
        <v>2435574.283357202</v>
      </c>
      <c r="D21" s="4" t="n">
        <v>5534534.181112411</v>
      </c>
      <c r="E21" s="18" t="n">
        <v>1.27237338599404</v>
      </c>
      <c r="F21" s="4" t="n">
        <v>255084.9600092504</v>
      </c>
      <c r="G21" s="4" t="n">
        <v>1278037.964416479</v>
      </c>
      <c r="H21" s="18" t="n">
        <v>4.010244290255812</v>
      </c>
      <c r="I21" s="4" t="n">
        <v>1182254.890860393</v>
      </c>
      <c r="J21" s="4" t="n">
        <v>5127906.315705477</v>
      </c>
      <c r="K21" s="18" t="n">
        <v>3.337394884425992</v>
      </c>
      <c r="L21" s="4" t="n">
        <v>361782.9174217596</v>
      </c>
      <c r="M21" s="4" t="n">
        <v>665794.956842826</v>
      </c>
      <c r="N21" s="18" t="n">
        <v>0.8403161807296029</v>
      </c>
    </row>
    <row r="22">
      <c r="A22" t="n">
        <v>21</v>
      </c>
      <c r="B22" t="inlineStr">
        <is>
          <t>Масштабирование</t>
        </is>
      </c>
      <c r="C22" s="4" t="n">
        <v>3115946.664686333</v>
      </c>
      <c r="D22" s="4" t="n">
        <v>7130357.485772234</v>
      </c>
      <c r="E22" s="18" t="n">
        <v>1.288343881678736</v>
      </c>
      <c r="F22" s="4" t="n">
        <v>326342.3890553127</v>
      </c>
      <c r="G22" s="4" t="n">
        <v>1644894.941531714</v>
      </c>
      <c r="H22" s="18" t="n">
        <v>4.040396211761863</v>
      </c>
      <c r="I22" s="4" t="n">
        <v>1512515.224502916</v>
      </c>
      <c r="J22" s="4" t="n">
        <v>6593243.41159068</v>
      </c>
      <c r="K22" s="18" t="n">
        <v>3.359125319718705</v>
      </c>
      <c r="L22" s="4" t="n">
        <v>462846.1889189251</v>
      </c>
      <c r="M22" s="4" t="n">
        <v>854338.6806484979</v>
      </c>
      <c r="N22" s="18" t="n">
        <v>0.8458371292717912</v>
      </c>
    </row>
    <row r="23">
      <c r="A23" t="n">
        <v>22</v>
      </c>
      <c r="B23" t="inlineStr">
        <is>
          <t>Масштабирование</t>
        </is>
      </c>
      <c r="C23" s="4" t="n">
        <v>3515920.909280615</v>
      </c>
      <c r="D23" s="4" t="n">
        <v>8102181.736468159</v>
      </c>
      <c r="E23" s="18" t="n">
        <v>1.304426619802983</v>
      </c>
      <c r="F23" s="4" t="n">
        <v>368232.8848140492</v>
      </c>
      <c r="G23" s="4" t="n">
        <v>1867209.384730055</v>
      </c>
      <c r="H23" s="18" t="n">
        <v>4.070729589164642</v>
      </c>
      <c r="I23" s="4" t="n">
        <v>1706667.178775472</v>
      </c>
      <c r="J23" s="4" t="n">
        <v>7476848.536740529</v>
      </c>
      <c r="K23" s="18" t="n">
        <v>3.380964624927717</v>
      </c>
      <c r="L23" s="4" t="n">
        <v>522258.8088056089</v>
      </c>
      <c r="M23" s="4" t="n">
        <v>966896.7144837986</v>
      </c>
      <c r="N23" s="18" t="n">
        <v>0.8513746406596069</v>
      </c>
    </row>
    <row r="24">
      <c r="A24" t="n">
        <v>23</v>
      </c>
      <c r="B24" t="inlineStr">
        <is>
          <t>Масштабирование</t>
        </is>
      </c>
      <c r="C24" s="4" t="n">
        <v>3632310.015243008</v>
      </c>
      <c r="D24" s="4" t="n">
        <v>8429219.945958311</v>
      </c>
      <c r="E24" s="18" t="n">
        <v>1.320622389219269</v>
      </c>
      <c r="F24" s="4" t="n">
        <v>380422.6630699627</v>
      </c>
      <c r="G24" s="4" t="n">
        <v>1940629.403590495</v>
      </c>
      <c r="H24" s="18" t="n">
        <v>4.101245514475562</v>
      </c>
      <c r="I24" s="4" t="n">
        <v>1763163.747452177</v>
      </c>
      <c r="J24" s="4" t="n">
        <v>7763057.1939475</v>
      </c>
      <c r="K24" s="18" t="n">
        <v>3.402913345493487</v>
      </c>
      <c r="L24" s="4" t="n">
        <v>539547.3762695189</v>
      </c>
      <c r="M24" s="4" t="n">
        <v>1001901.042849393</v>
      </c>
      <c r="N24" s="18" t="n">
        <v>0.8569287645815847</v>
      </c>
    </row>
    <row r="25">
      <c r="A25" t="n">
        <v>24</v>
      </c>
      <c r="B25" t="inlineStr">
        <is>
          <t>Масштабирование</t>
        </is>
      </c>
      <c r="C25" s="4" t="n">
        <v>3400750.251771266</v>
      </c>
      <c r="D25" s="4" t="n">
        <v>7947322.034062929</v>
      </c>
      <c r="E25" s="18" t="n">
        <v>1.336931984324224</v>
      </c>
      <c r="F25" s="4" t="n">
        <v>356170.7182992526</v>
      </c>
      <c r="G25" s="4" t="n">
        <v>1827848.567651892</v>
      </c>
      <c r="H25" s="18" t="n">
        <v>4.131945086277822</v>
      </c>
      <c r="I25" s="4" t="n">
        <v>1650762.058552101</v>
      </c>
      <c r="J25" s="4" t="n">
        <v>7304575.936600045</v>
      </c>
      <c r="K25" s="18" t="n">
        <v>3.424972029589145</v>
      </c>
      <c r="L25" s="4" t="n">
        <v>505151.231032337</v>
      </c>
      <c r="M25" s="4" t="n">
        <v>940843.9409218477</v>
      </c>
      <c r="N25" s="18" t="n">
        <v>0.8624995508753299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7" customWidth="1" min="4" max="4"/>
    <col width="21" customWidth="1" min="5" max="5"/>
    <col width="19" customWidth="1" min="6" max="6"/>
    <col width="28" customWidth="1" min="7" max="7"/>
  </cols>
  <sheetData>
    <row r="1">
      <c r="A1" s="1" t="inlineStr">
        <is>
          <t>Канал</t>
        </is>
      </c>
      <c r="B1" s="1" t="inlineStr">
        <is>
          <t>CPL, ₽</t>
        </is>
      </c>
      <c r="C1" s="1" t="inlineStr">
        <is>
          <t>Лид → замер</t>
        </is>
      </c>
      <c r="D1" s="1" t="inlineStr">
        <is>
          <t>Замер → договор</t>
        </is>
      </c>
      <c r="E1" s="1" t="inlineStr">
        <is>
          <t>Лид → договор</t>
        </is>
      </c>
      <c r="F1" s="1" t="inlineStr">
        <is>
          <t>CAC, ₽</t>
        </is>
      </c>
      <c r="G1" s="1" t="inlineStr">
        <is>
          <t>Комментарий</t>
        </is>
      </c>
    </row>
    <row r="2">
      <c r="A2" t="inlineStr">
        <is>
          <t>Контекст_поиск</t>
        </is>
      </c>
      <c r="B2" s="19" t="n">
        <v>5800</v>
      </c>
      <c r="C2" s="14" t="n">
        <v>0.18</v>
      </c>
      <c r="D2" s="14" t="n">
        <v>0.39</v>
      </c>
      <c r="E2" s="14" t="n">
        <v>0.0702</v>
      </c>
      <c r="F2" s="19" t="n">
        <v>82621.08262108262</v>
      </c>
      <c r="G2" s="3" t="inlineStr">
        <is>
          <t>Быстрый запуск по горячему спросу, требует дисциплины в аналитике.</t>
        </is>
      </c>
    </row>
    <row r="3">
      <c r="A3" t="inlineStr">
        <is>
          <t>Ретаргетинг</t>
        </is>
      </c>
      <c r="B3" s="19" t="n">
        <v>3000</v>
      </c>
      <c r="C3" s="14" t="n">
        <v>0.24</v>
      </c>
      <c r="D3" s="14" t="n">
        <v>0.34</v>
      </c>
      <c r="E3" s="14" t="n">
        <v>0.08160000000000001</v>
      </c>
      <c r="F3" s="19" t="n">
        <v>36764.70588235294</v>
      </c>
      <c r="G3" s="3" t="inlineStr">
        <is>
          <t>Добирает теплую аудиторию сайта и Авито, улучшает blended CAC.</t>
        </is>
      </c>
    </row>
    <row r="4">
      <c r="A4" t="inlineStr">
        <is>
          <t>Авито</t>
        </is>
      </c>
      <c r="B4" s="19" t="n">
        <v>2500</v>
      </c>
      <c r="C4" s="14" t="n">
        <v>0.2</v>
      </c>
      <c r="D4" s="14" t="n">
        <v>0.3</v>
      </c>
      <c r="E4" s="14" t="n">
        <v>0.06</v>
      </c>
      <c r="F4" s="19" t="n">
        <v>41666.66666666667</v>
      </c>
      <c r="G4" s="3" t="inlineStr">
        <is>
          <t>Сильный оффер, живые фото и быстрый ответ критичны.</t>
        </is>
      </c>
    </row>
    <row r="5">
      <c r="A5" t="inlineStr">
        <is>
          <t>Агрегаторы</t>
        </is>
      </c>
      <c r="B5" s="19" t="n">
        <v>4500</v>
      </c>
      <c r="C5" s="14" t="n">
        <v>0.17</v>
      </c>
      <c r="D5" s="14" t="n">
        <v>0.28</v>
      </c>
      <c r="E5" s="14" t="n">
        <v>0.04760000000000001</v>
      </c>
      <c r="F5" s="19" t="n">
        <v>94537.81512605039</v>
      </c>
      <c r="G5" s="3" t="inlineStr">
        <is>
          <t>Работает как добавка, но часто слабее по качеству лида.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28" customWidth="1" min="3" max="3"/>
    <col width="16" customWidth="1" min="4" max="4"/>
    <col width="21" customWidth="1" min="5" max="5"/>
    <col width="20" customWidth="1" min="6" max="6"/>
    <col width="23" customWidth="1" min="7" max="7"/>
  </cols>
  <sheetData>
    <row r="1">
      <c r="A1" s="1" t="inlineStr">
        <is>
          <t>Роль</t>
        </is>
      </c>
      <c r="B1" s="1" t="inlineStr">
        <is>
          <t>Оклад, ₽/мес</t>
        </is>
      </c>
      <c r="C1" s="1" t="inlineStr">
        <is>
          <t>Функция</t>
        </is>
      </c>
      <c r="D1" s="1" t="inlineStr">
        <is>
          <t>Штат на старте</t>
        </is>
      </c>
      <c r="E1" s="1" t="inlineStr">
        <is>
          <t>Штат на месяце цели</t>
        </is>
      </c>
      <c r="F1" s="1" t="inlineStr">
        <is>
          <t>ФОТ на старте, ₽</t>
        </is>
      </c>
      <c r="G1" s="1" t="inlineStr">
        <is>
          <t>ФОТ на месяце цели, ₽</t>
        </is>
      </c>
    </row>
    <row r="2">
      <c r="A2" t="inlineStr">
        <is>
          <t>Менеджер продаж</t>
        </is>
      </c>
      <c r="B2" s="4" t="n">
        <v>90000</v>
      </c>
      <c r="C2" s="3" t="inlineStr">
        <is>
          <t>Обработка лидов, расчет КП, доведение до договора.</t>
        </is>
      </c>
      <c r="D2" t="n">
        <v>1</v>
      </c>
      <c r="E2" t="n">
        <v>4</v>
      </c>
      <c r="F2" s="4" t="n">
        <v>90000</v>
      </c>
      <c r="G2" s="4" t="n">
        <v>360000</v>
      </c>
    </row>
    <row r="3">
      <c r="A3" t="inlineStr">
        <is>
          <t>Дизайнер</t>
        </is>
      </c>
      <c r="B3" s="4" t="n">
        <v>110000</v>
      </c>
      <c r="C3" s="3" t="inlineStr">
        <is>
          <t>Проектирование, визуализация, подготовка ТЗ на фабрику.</t>
        </is>
      </c>
      <c r="D3" t="n">
        <v>1</v>
      </c>
      <c r="E3" t="n">
        <v>3</v>
      </c>
      <c r="F3" s="4" t="n">
        <v>110000</v>
      </c>
      <c r="G3" s="4" t="n">
        <v>330000</v>
      </c>
    </row>
    <row r="4">
      <c r="A4" t="inlineStr">
        <is>
          <t>Замерщик</t>
        </is>
      </c>
      <c r="B4" s="4" t="n">
        <v>100000</v>
      </c>
      <c r="C4" s="3" t="inlineStr">
        <is>
          <t>Выезд, обмер, фотофиксация, первичная техпроверка.</t>
        </is>
      </c>
      <c r="D4" t="n">
        <v>1</v>
      </c>
      <c r="E4" t="n">
        <v>2</v>
      </c>
      <c r="F4" s="4" t="n">
        <v>100000</v>
      </c>
      <c r="G4" s="4" t="n">
        <v>200000</v>
      </c>
    </row>
    <row r="5">
      <c r="A5" t="inlineStr">
        <is>
          <t>Бригадир сборки</t>
        </is>
      </c>
      <c r="B5" s="4" t="n">
        <v>130000</v>
      </c>
      <c r="C5" s="3" t="inlineStr">
        <is>
          <t>Организация монтажей, рекламации, контроль качества на объекте.</t>
        </is>
      </c>
      <c r="D5" t="n">
        <v>1</v>
      </c>
      <c r="E5" t="n">
        <v>3</v>
      </c>
      <c r="F5" s="4" t="n">
        <v>130000</v>
      </c>
      <c r="G5" s="4" t="n">
        <v>390000</v>
      </c>
    </row>
    <row r="6">
      <c r="A6" t="inlineStr">
        <is>
          <t>Операционный менеджер</t>
        </is>
      </c>
      <c r="B6" s="4" t="n">
        <v>120000</v>
      </c>
      <c r="C6" s="3" t="inlineStr">
        <is>
          <t>Координация заказов, фабрик, логистики и сроков.</t>
        </is>
      </c>
      <c r="D6" t="n">
        <v>1</v>
      </c>
      <c r="E6" t="n">
        <v>2</v>
      </c>
      <c r="F6" s="4" t="n">
        <v>120000</v>
      </c>
      <c r="G6" s="4" t="n">
        <v>240000</v>
      </c>
    </row>
    <row r="7">
      <c r="A7" t="inlineStr">
        <is>
          <t>Администратор</t>
        </is>
      </c>
      <c r="B7" s="4" t="n">
        <v>85000</v>
      </c>
      <c r="C7" s="3" t="inlineStr">
        <is>
          <t>Документы, оплаты, CRM, колл-трекинг, подрядчики.</t>
        </is>
      </c>
      <c r="D7" t="n">
        <v>1</v>
      </c>
      <c r="E7" t="n">
        <v>1</v>
      </c>
      <c r="F7" s="4" t="n">
        <v>85000</v>
      </c>
      <c r="G7" s="4" t="n">
        <v>85000</v>
      </c>
    </row>
    <row r="8">
      <c r="A8" t="inlineStr">
        <is>
          <t>Бонусы продаж</t>
        </is>
      </c>
      <c r="B8" s="4" t="inlineStr"/>
      <c r="C8" s="3" t="inlineStr">
        <is>
          <t>Переменная часть мотивации менеджеров и дизайнеров.</t>
        </is>
      </c>
      <c r="D8" t="inlineStr"/>
      <c r="E8" t="inlineStr"/>
      <c r="F8" s="4" t="n">
        <v>42668.88317596551</v>
      </c>
      <c r="G8" s="4" t="n">
        <v>356771.1881703627</v>
      </c>
    </row>
    <row r="9">
      <c r="A9" t="inlineStr">
        <is>
          <t>Итого фиксированный ФОТ</t>
        </is>
      </c>
      <c r="B9" s="4" t="inlineStr"/>
      <c r="C9" s="3" t="inlineStr"/>
      <c r="D9" t="inlineStr"/>
      <c r="E9" t="inlineStr"/>
      <c r="F9" s="4" t="n">
        <v>635000</v>
      </c>
      <c r="G9" s="4" t="n">
        <v>1605000</v>
      </c>
    </row>
    <row r="10">
      <c r="A10" t="inlineStr">
        <is>
          <t>Итого ФОТ с бонусами</t>
        </is>
      </c>
      <c r="B10" s="4" t="inlineStr"/>
      <c r="C10" s="3" t="inlineStr"/>
      <c r="D10" t="inlineStr"/>
      <c r="E10" t="inlineStr"/>
      <c r="F10" s="4" t="n">
        <v>677668.8831759655</v>
      </c>
      <c r="G10" s="4" t="n">
        <v>1961771.188170363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20" customWidth="1" min="4" max="4"/>
    <col width="20" customWidth="1" min="5" max="5"/>
    <col width="17" customWidth="1" min="6" max="6"/>
    <col width="12" customWidth="1" min="7" max="7"/>
    <col width="12" customWidth="1" min="8" max="8"/>
    <col width="17" customWidth="1" min="9" max="9"/>
    <col width="23" customWidth="1" min="10" max="10"/>
    <col width="15" customWidth="1" min="11" max="11"/>
  </cols>
  <sheetData>
    <row r="1">
      <c r="A1" s="1" t="inlineStr">
        <is>
          <t>Месяц</t>
        </is>
      </c>
      <c r="B1" s="1" t="inlineStr">
        <is>
          <t>Фаза</t>
        </is>
      </c>
      <c r="C1" s="1" t="inlineStr">
        <is>
          <t>Фиксированный ФОТ, ₽</t>
        </is>
      </c>
      <c r="D1" s="1" t="inlineStr">
        <is>
          <t>Бонусы, ₽</t>
        </is>
      </c>
      <c r="E1" s="1" t="inlineStr">
        <is>
          <t>ФОТ всего, ₽</t>
        </is>
      </c>
      <c r="F1" s="1" t="inlineStr">
        <is>
          <t>Менеджер продаж</t>
        </is>
      </c>
      <c r="G1" s="1" t="inlineStr">
        <is>
          <t>Дизайнер</t>
        </is>
      </c>
      <c r="H1" s="1" t="inlineStr">
        <is>
          <t>Замерщик</t>
        </is>
      </c>
      <c r="I1" s="1" t="inlineStr">
        <is>
          <t>Бригадир сборки</t>
        </is>
      </c>
      <c r="J1" s="1" t="inlineStr">
        <is>
          <t>Операционный менеджер</t>
        </is>
      </c>
      <c r="K1" s="1" t="inlineStr">
        <is>
          <t>Администратор</t>
        </is>
      </c>
    </row>
    <row r="2">
      <c r="A2" t="n">
        <v>1</v>
      </c>
      <c r="B2" t="inlineStr">
        <is>
          <t>Запуск</t>
        </is>
      </c>
      <c r="C2" s="4" t="n">
        <v>635000</v>
      </c>
      <c r="D2" s="4" t="n">
        <v>42668.88317596551</v>
      </c>
      <c r="E2" s="4" t="n">
        <v>677668.8831759655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n">
        <v>2</v>
      </c>
      <c r="B3" t="inlineStr">
        <is>
          <t>Запуск</t>
        </is>
      </c>
      <c r="C3" s="4" t="n">
        <v>635000</v>
      </c>
      <c r="D3" s="4" t="n">
        <v>48742.52606578218</v>
      </c>
      <c r="E3" s="4" t="n">
        <v>683742.5260657822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n">
        <v>3</v>
      </c>
      <c r="B4" t="inlineStr">
        <is>
          <t>Запуск</t>
        </is>
      </c>
      <c r="C4" s="4" t="n">
        <v>635000</v>
      </c>
      <c r="D4" s="4" t="n">
        <v>55679.32871715678</v>
      </c>
      <c r="E4" s="4" t="n">
        <v>690679.3287171568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</row>
    <row r="5">
      <c r="A5" t="n">
        <v>4</v>
      </c>
      <c r="B5" t="inlineStr">
        <is>
          <t>Разгон</t>
        </is>
      </c>
      <c r="C5" s="4" t="n">
        <v>635000</v>
      </c>
      <c r="D5" s="4" t="n">
        <v>76995.55992502999</v>
      </c>
      <c r="E5" s="4" t="n">
        <v>711995.55992503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t="n">
        <v>5</v>
      </c>
      <c r="B6" t="inlineStr">
        <is>
          <t>Разгон</t>
        </is>
      </c>
      <c r="C6" s="4" t="n">
        <v>635000</v>
      </c>
      <c r="D6" s="4" t="n">
        <v>88015.20211205946</v>
      </c>
      <c r="E6" s="4" t="n">
        <v>723015.2021120595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n">
        <v>6</v>
      </c>
      <c r="B7" t="inlineStr">
        <is>
          <t>Разгон</t>
        </is>
      </c>
      <c r="C7" s="4" t="n">
        <v>635000</v>
      </c>
      <c r="D7" s="4" t="n">
        <v>89263.64690980804</v>
      </c>
      <c r="E7" s="4" t="n">
        <v>724263.646909808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</row>
    <row r="8">
      <c r="A8" t="n">
        <v>7</v>
      </c>
      <c r="B8" t="inlineStr">
        <is>
          <t>Разгон</t>
        </is>
      </c>
      <c r="C8" s="4" t="n">
        <v>635000</v>
      </c>
      <c r="D8" s="4" t="n">
        <v>86690.32371626969</v>
      </c>
      <c r="E8" s="4" t="n">
        <v>721690.3237162697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t="n">
        <v>8</v>
      </c>
      <c r="B9" t="inlineStr">
        <is>
          <t>Разгон</t>
        </is>
      </c>
      <c r="C9" s="4" t="n">
        <v>635000</v>
      </c>
      <c r="D9" s="4" t="n">
        <v>97124.37183783192</v>
      </c>
      <c r="E9" s="4" t="n">
        <v>732124.3718378319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n">
        <v>9</v>
      </c>
      <c r="B10" t="inlineStr">
        <is>
          <t>Оптимизация</t>
        </is>
      </c>
      <c r="C10" s="4" t="n">
        <v>835000</v>
      </c>
      <c r="D10" s="4" t="n">
        <v>135030.4247105812</v>
      </c>
      <c r="E10" s="4" t="n">
        <v>970030.4247105812</v>
      </c>
      <c r="F10" t="n">
        <v>2</v>
      </c>
      <c r="G10" t="n">
        <v>2</v>
      </c>
      <c r="H10" t="n">
        <v>1</v>
      </c>
      <c r="I10" t="n">
        <v>1</v>
      </c>
      <c r="J10" t="n">
        <v>1</v>
      </c>
      <c r="K10" t="n">
        <v>1</v>
      </c>
    </row>
    <row r="11">
      <c r="A11" t="n">
        <v>10</v>
      </c>
      <c r="B11" t="inlineStr">
        <is>
          <t>Оптимизация</t>
        </is>
      </c>
      <c r="C11" s="4" t="n">
        <v>965000</v>
      </c>
      <c r="D11" s="4" t="n">
        <v>159238.9293410464</v>
      </c>
      <c r="E11" s="4" t="n">
        <v>1124238.929341046</v>
      </c>
      <c r="F11" t="n">
        <v>2</v>
      </c>
      <c r="G11" t="n">
        <v>2</v>
      </c>
      <c r="H11" t="n">
        <v>1</v>
      </c>
      <c r="I11" t="n">
        <v>2</v>
      </c>
      <c r="J11" t="n">
        <v>1</v>
      </c>
      <c r="K11" t="n">
        <v>1</v>
      </c>
    </row>
    <row r="12">
      <c r="A12" t="n">
        <v>11</v>
      </c>
      <c r="B12" t="inlineStr">
        <is>
          <t>Оптимизация</t>
        </is>
      </c>
      <c r="C12" s="4" t="n">
        <v>965000</v>
      </c>
      <c r="D12" s="4" t="n">
        <v>170777.7657586983</v>
      </c>
      <c r="E12" s="4" t="n">
        <v>1135777.765758698</v>
      </c>
      <c r="F12" t="n">
        <v>2</v>
      </c>
      <c r="G12" t="n">
        <v>2</v>
      </c>
      <c r="H12" t="n">
        <v>1</v>
      </c>
      <c r="I12" t="n">
        <v>2</v>
      </c>
      <c r="J12" t="n">
        <v>1</v>
      </c>
      <c r="K12" t="n">
        <v>1</v>
      </c>
    </row>
    <row r="13">
      <c r="A13" t="n">
        <v>12</v>
      </c>
      <c r="B13" t="inlineStr">
        <is>
          <t>Оптимизация</t>
        </is>
      </c>
      <c r="C13" s="4" t="n">
        <v>965000</v>
      </c>
      <c r="D13" s="4" t="n">
        <v>166288.3524728408</v>
      </c>
      <c r="E13" s="4" t="n">
        <v>1131288.352472841</v>
      </c>
      <c r="F13" t="n">
        <v>2</v>
      </c>
      <c r="G13" t="n">
        <v>2</v>
      </c>
      <c r="H13" t="n">
        <v>1</v>
      </c>
      <c r="I13" t="n">
        <v>2</v>
      </c>
      <c r="J13" t="n">
        <v>1</v>
      </c>
      <c r="K13" t="n">
        <v>1</v>
      </c>
    </row>
    <row r="14">
      <c r="A14" t="n">
        <v>13</v>
      </c>
      <c r="B14" t="inlineStr">
        <is>
          <t>Оптимизация</t>
        </is>
      </c>
      <c r="C14" s="4" t="n">
        <v>965000</v>
      </c>
      <c r="D14" s="4" t="n">
        <v>166564.429142999</v>
      </c>
      <c r="E14" s="4" t="n">
        <v>1131564.429142999</v>
      </c>
      <c r="F14" t="n">
        <v>2</v>
      </c>
      <c r="G14" t="n">
        <v>2</v>
      </c>
      <c r="H14" t="n">
        <v>1</v>
      </c>
      <c r="I14" t="n">
        <v>2</v>
      </c>
      <c r="J14" t="n">
        <v>1</v>
      </c>
      <c r="K14" t="n">
        <v>1</v>
      </c>
    </row>
    <row r="15">
      <c r="A15" t="n">
        <v>14</v>
      </c>
      <c r="B15" t="inlineStr">
        <is>
          <t>Оптимизация</t>
        </is>
      </c>
      <c r="C15" s="4" t="n">
        <v>965000</v>
      </c>
      <c r="D15" s="4" t="n">
        <v>186183.2122549799</v>
      </c>
      <c r="E15" s="4" t="n">
        <v>1151183.21225498</v>
      </c>
      <c r="F15" t="n">
        <v>2</v>
      </c>
      <c r="G15" t="n">
        <v>2</v>
      </c>
      <c r="H15" t="n">
        <v>1</v>
      </c>
      <c r="I15" t="n">
        <v>2</v>
      </c>
      <c r="J15" t="n">
        <v>1</v>
      </c>
      <c r="K15" t="n">
        <v>1</v>
      </c>
    </row>
    <row r="16">
      <c r="A16" t="n">
        <v>15</v>
      </c>
      <c r="B16" t="inlineStr">
        <is>
          <t>Масштабирование</t>
        </is>
      </c>
      <c r="C16" s="4" t="n">
        <v>1055000</v>
      </c>
      <c r="D16" s="4" t="n">
        <v>226593.7102115089</v>
      </c>
      <c r="E16" s="4" t="n">
        <v>1281593.710211509</v>
      </c>
      <c r="F16" t="n">
        <v>3</v>
      </c>
      <c r="G16" t="n">
        <v>2</v>
      </c>
      <c r="H16" t="n">
        <v>1</v>
      </c>
      <c r="I16" t="n">
        <v>2</v>
      </c>
      <c r="J16" t="n">
        <v>1</v>
      </c>
      <c r="K16" t="n">
        <v>1</v>
      </c>
    </row>
    <row r="17">
      <c r="A17" t="n">
        <v>16</v>
      </c>
      <c r="B17" t="inlineStr">
        <is>
          <t>Масштабирование</t>
        </is>
      </c>
      <c r="C17" s="4" t="n">
        <v>1165000</v>
      </c>
      <c r="D17" s="4" t="n">
        <v>258005.5645303389</v>
      </c>
      <c r="E17" s="4" t="n">
        <v>1423005.564530339</v>
      </c>
      <c r="F17" t="n">
        <v>3</v>
      </c>
      <c r="G17" t="n">
        <v>3</v>
      </c>
      <c r="H17" t="n">
        <v>1</v>
      </c>
      <c r="I17" t="n">
        <v>2</v>
      </c>
      <c r="J17" t="n">
        <v>1</v>
      </c>
      <c r="K17" t="n">
        <v>1</v>
      </c>
    </row>
    <row r="18">
      <c r="A18" t="n">
        <v>17</v>
      </c>
      <c r="B18" t="inlineStr">
        <is>
          <t>Масштабирование</t>
        </is>
      </c>
      <c r="C18" s="4" t="n">
        <v>1165000</v>
      </c>
      <c r="D18" s="4" t="n">
        <v>281743.6805885267</v>
      </c>
      <c r="E18" s="4" t="n">
        <v>1446743.680588527</v>
      </c>
      <c r="F18" t="n">
        <v>3</v>
      </c>
      <c r="G18" t="n">
        <v>3</v>
      </c>
      <c r="H18" t="n">
        <v>1</v>
      </c>
      <c r="I18" t="n">
        <v>2</v>
      </c>
      <c r="J18" t="n">
        <v>1</v>
      </c>
      <c r="K18" t="n">
        <v>1</v>
      </c>
    </row>
    <row r="19">
      <c r="A19" t="n">
        <v>18</v>
      </c>
      <c r="B19" t="inlineStr">
        <is>
          <t>Масштабирование</t>
        </is>
      </c>
      <c r="C19" s="4" t="n">
        <v>1165000</v>
      </c>
      <c r="D19" s="4" t="n">
        <v>277423.1220372079</v>
      </c>
      <c r="E19" s="4" t="n">
        <v>1442423.122037208</v>
      </c>
      <c r="F19" t="n">
        <v>3</v>
      </c>
      <c r="G19" t="n">
        <v>3</v>
      </c>
      <c r="H19" t="n">
        <v>1</v>
      </c>
      <c r="I19" t="n">
        <v>2</v>
      </c>
      <c r="J19" t="n">
        <v>1</v>
      </c>
      <c r="K19" t="n">
        <v>1</v>
      </c>
    </row>
    <row r="20">
      <c r="A20" t="n">
        <v>19</v>
      </c>
      <c r="B20" t="inlineStr">
        <is>
          <t>Масштабирование</t>
        </is>
      </c>
      <c r="C20" s="4" t="n">
        <v>1165000</v>
      </c>
      <c r="D20" s="4" t="n">
        <v>262028.3731036424</v>
      </c>
      <c r="E20" s="4" t="n">
        <v>1427028.373103642</v>
      </c>
      <c r="F20" t="n">
        <v>3</v>
      </c>
      <c r="G20" t="n">
        <v>3</v>
      </c>
      <c r="H20" t="n">
        <v>1</v>
      </c>
      <c r="I20" t="n">
        <v>2</v>
      </c>
      <c r="J20" t="n">
        <v>1</v>
      </c>
      <c r="K20" t="n">
        <v>1</v>
      </c>
    </row>
    <row r="21">
      <c r="A21" t="n">
        <v>20</v>
      </c>
      <c r="B21" t="inlineStr">
        <is>
          <t>Масштабирование</t>
        </is>
      </c>
      <c r="C21" s="4" t="n">
        <v>1165000</v>
      </c>
      <c r="D21" s="4" t="n">
        <v>285336.4252718617</v>
      </c>
      <c r="E21" s="4" t="n">
        <v>1450336.425271862</v>
      </c>
      <c r="F21" t="n">
        <v>3</v>
      </c>
      <c r="G21" t="n">
        <v>3</v>
      </c>
      <c r="H21" t="n">
        <v>1</v>
      </c>
      <c r="I21" t="n">
        <v>2</v>
      </c>
      <c r="J21" t="n">
        <v>1</v>
      </c>
      <c r="K21" t="n">
        <v>1</v>
      </c>
    </row>
    <row r="22">
      <c r="A22" t="n">
        <v>21</v>
      </c>
      <c r="B22" t="inlineStr">
        <is>
          <t>Масштабирование</t>
        </is>
      </c>
      <c r="C22" s="4" t="n">
        <v>1605000</v>
      </c>
      <c r="D22" s="4" t="n">
        <v>356771.1881703627</v>
      </c>
      <c r="E22" s="4" t="n">
        <v>1961771.188170363</v>
      </c>
      <c r="F22" t="n">
        <v>4</v>
      </c>
      <c r="G22" t="n">
        <v>3</v>
      </c>
      <c r="H22" t="n">
        <v>2</v>
      </c>
      <c r="I22" t="n">
        <v>3</v>
      </c>
      <c r="J22" t="n">
        <v>2</v>
      </c>
      <c r="K22" t="n">
        <v>1</v>
      </c>
    </row>
    <row r="23">
      <c r="A23" t="n">
        <v>22</v>
      </c>
      <c r="B23" t="inlineStr">
        <is>
          <t>Масштабирование</t>
        </is>
      </c>
      <c r="C23" s="4" t="n">
        <v>1715000</v>
      </c>
      <c r="D23" s="4" t="n">
        <v>406024.5002986379</v>
      </c>
      <c r="E23" s="4" t="n">
        <v>2121024.500298638</v>
      </c>
      <c r="F23" t="n">
        <v>4</v>
      </c>
      <c r="G23" t="n">
        <v>4</v>
      </c>
      <c r="H23" t="n">
        <v>2</v>
      </c>
      <c r="I23" t="n">
        <v>3</v>
      </c>
      <c r="J23" t="n">
        <v>2</v>
      </c>
      <c r="K23" t="n">
        <v>1</v>
      </c>
    </row>
    <row r="24">
      <c r="A24" t="n">
        <v>23</v>
      </c>
      <c r="B24" t="inlineStr">
        <is>
          <t>Масштабирование</t>
        </is>
      </c>
      <c r="C24" s="4" t="n">
        <v>1715000</v>
      </c>
      <c r="D24" s="4" t="n">
        <v>423251.090829113</v>
      </c>
      <c r="E24" s="4" t="n">
        <v>2138251.090829113</v>
      </c>
      <c r="F24" t="n">
        <v>4</v>
      </c>
      <c r="G24" t="n">
        <v>4</v>
      </c>
      <c r="H24" t="n">
        <v>2</v>
      </c>
      <c r="I24" t="n">
        <v>3</v>
      </c>
      <c r="J24" t="n">
        <v>2</v>
      </c>
      <c r="K24" t="n">
        <v>1</v>
      </c>
    </row>
    <row r="25">
      <c r="A25" t="n">
        <v>24</v>
      </c>
      <c r="B25" t="inlineStr">
        <is>
          <t>Масштабирование</t>
        </is>
      </c>
      <c r="C25" s="4" t="n">
        <v>1715000</v>
      </c>
      <c r="D25" s="4" t="n">
        <v>400949.6868682541</v>
      </c>
      <c r="E25" s="4" t="n">
        <v>2115949.686868254</v>
      </c>
      <c r="F25" t="n">
        <v>4</v>
      </c>
      <c r="G25" t="n">
        <v>4</v>
      </c>
      <c r="H25" t="n">
        <v>2</v>
      </c>
      <c r="I25" t="n">
        <v>3</v>
      </c>
      <c r="J25" t="n">
        <v>2</v>
      </c>
      <c r="K2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8" customWidth="1" min="3" max="3"/>
    <col width="20" customWidth="1" min="4" max="4"/>
    <col width="17" customWidth="1" min="5" max="5"/>
    <col width="12" customWidth="1" min="6" max="6"/>
    <col width="12" customWidth="1" min="7" max="7"/>
    <col width="17" customWidth="1" min="8" max="8"/>
    <col width="23" customWidth="1" min="9" max="9"/>
    <col width="15" customWidth="1" min="10" max="10"/>
  </cols>
  <sheetData>
    <row r="1">
      <c r="A1" s="1" t="inlineStr">
        <is>
          <t>Месяц</t>
        </is>
      </c>
      <c r="B1" s="1" t="inlineStr">
        <is>
          <t>Фаза</t>
        </is>
      </c>
      <c r="C1" s="1" t="inlineStr">
        <is>
          <t>Новая роль / действие</t>
        </is>
      </c>
      <c r="D1" s="1" t="inlineStr">
        <is>
          <t>ФОТ всего, ₽</t>
        </is>
      </c>
      <c r="E1" s="1" t="inlineStr">
        <is>
          <t>Менеджер продаж</t>
        </is>
      </c>
      <c r="F1" s="1" t="inlineStr">
        <is>
          <t>Дизайнер</t>
        </is>
      </c>
      <c r="G1" s="1" t="inlineStr">
        <is>
          <t>Замерщик</t>
        </is>
      </c>
      <c r="H1" s="1" t="inlineStr">
        <is>
          <t>Бригадир сборки</t>
        </is>
      </c>
      <c r="I1" s="1" t="inlineStr">
        <is>
          <t>Операционный менеджер</t>
        </is>
      </c>
      <c r="J1" s="1" t="inlineStr">
        <is>
          <t>Администратор</t>
        </is>
      </c>
    </row>
    <row r="2">
      <c r="A2" t="n">
        <v>1</v>
      </c>
      <c r="B2" t="inlineStr">
        <is>
          <t>Запуск</t>
        </is>
      </c>
      <c r="C2" t="inlineStr">
        <is>
          <t>Старт команды</t>
        </is>
      </c>
      <c r="D2" s="4" t="n">
        <v>677668.8831759655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n">
        <v>2</v>
      </c>
      <c r="B3" t="inlineStr">
        <is>
          <t>Запуск</t>
        </is>
      </c>
      <c r="C3" t="inlineStr">
        <is>
          <t>Без изменений</t>
        </is>
      </c>
      <c r="D3" s="4" t="n">
        <v>683742.5260657822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n">
        <v>3</v>
      </c>
      <c r="B4" t="inlineStr">
        <is>
          <t>Запуск</t>
        </is>
      </c>
      <c r="C4" t="inlineStr">
        <is>
          <t>Без изменений</t>
        </is>
      </c>
      <c r="D4" s="4" t="n">
        <v>690679.3287171568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n">
        <v>4</v>
      </c>
      <c r="B5" t="inlineStr">
        <is>
          <t>Разгон</t>
        </is>
      </c>
      <c r="C5" t="inlineStr">
        <is>
          <t>Без изменений</t>
        </is>
      </c>
      <c r="D5" s="4" t="n">
        <v>711995.55992503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n">
        <v>5</v>
      </c>
      <c r="B6" t="inlineStr">
        <is>
          <t>Разгон</t>
        </is>
      </c>
      <c r="C6" t="inlineStr">
        <is>
          <t>Без изменений</t>
        </is>
      </c>
      <c r="D6" s="4" t="n">
        <v>723015.2021120595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</row>
    <row r="7">
      <c r="A7" t="n">
        <v>6</v>
      </c>
      <c r="B7" t="inlineStr">
        <is>
          <t>Разгон</t>
        </is>
      </c>
      <c r="C7" t="inlineStr">
        <is>
          <t>Без изменений</t>
        </is>
      </c>
      <c r="D7" s="4" t="n">
        <v>724263.646909808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</row>
    <row r="8">
      <c r="A8" t="n">
        <v>7</v>
      </c>
      <c r="B8" t="inlineStr">
        <is>
          <t>Разгон</t>
        </is>
      </c>
      <c r="C8" t="inlineStr">
        <is>
          <t>Без изменений</t>
        </is>
      </c>
      <c r="D8" s="4" t="n">
        <v>721690.3237162697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</row>
    <row r="9">
      <c r="A9" t="n">
        <v>8</v>
      </c>
      <c r="B9" t="inlineStr">
        <is>
          <t>Разгон</t>
        </is>
      </c>
      <c r="C9" t="inlineStr">
        <is>
          <t>Без изменений</t>
        </is>
      </c>
      <c r="D9" s="4" t="n">
        <v>732124.3718378319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A10" t="n">
        <v>9</v>
      </c>
      <c r="B10" t="inlineStr">
        <is>
          <t>Оптимизация</t>
        </is>
      </c>
      <c r="C10" t="inlineStr">
        <is>
          <t>+1 Менеджер продаж, +1 Дизайнер</t>
        </is>
      </c>
      <c r="D10" s="4" t="n">
        <v>970030.4247105812</v>
      </c>
      <c r="E10" t="n">
        <v>2</v>
      </c>
      <c r="F10" t="n">
        <v>2</v>
      </c>
      <c r="G10" t="n">
        <v>1</v>
      </c>
      <c r="H10" t="n">
        <v>1</v>
      </c>
      <c r="I10" t="n">
        <v>1</v>
      </c>
      <c r="J10" t="n">
        <v>1</v>
      </c>
    </row>
    <row r="11">
      <c r="A11" t="n">
        <v>10</v>
      </c>
      <c r="B11" t="inlineStr">
        <is>
          <t>Оптимизация</t>
        </is>
      </c>
      <c r="C11" t="inlineStr">
        <is>
          <t>+1 Бригадир сборки</t>
        </is>
      </c>
      <c r="D11" s="4" t="n">
        <v>1124238.929341046</v>
      </c>
      <c r="E11" t="n">
        <v>2</v>
      </c>
      <c r="F11" t="n">
        <v>2</v>
      </c>
      <c r="G11" t="n">
        <v>1</v>
      </c>
      <c r="H11" t="n">
        <v>2</v>
      </c>
      <c r="I11" t="n">
        <v>1</v>
      </c>
      <c r="J11" t="n">
        <v>1</v>
      </c>
    </row>
    <row r="12">
      <c r="A12" t="n">
        <v>11</v>
      </c>
      <c r="B12" t="inlineStr">
        <is>
          <t>Оптимизация</t>
        </is>
      </c>
      <c r="C12" t="inlineStr">
        <is>
          <t>Без изменений</t>
        </is>
      </c>
      <c r="D12" s="4" t="n">
        <v>1135777.765758698</v>
      </c>
      <c r="E12" t="n">
        <v>2</v>
      </c>
      <c r="F12" t="n">
        <v>2</v>
      </c>
      <c r="G12" t="n">
        <v>1</v>
      </c>
      <c r="H12" t="n">
        <v>2</v>
      </c>
      <c r="I12" t="n">
        <v>1</v>
      </c>
      <c r="J12" t="n">
        <v>1</v>
      </c>
    </row>
    <row r="13">
      <c r="A13" t="n">
        <v>12</v>
      </c>
      <c r="B13" t="inlineStr">
        <is>
          <t>Оптимизация</t>
        </is>
      </c>
      <c r="C13" t="inlineStr">
        <is>
          <t>Без изменений</t>
        </is>
      </c>
      <c r="D13" s="4" t="n">
        <v>1131288.352472841</v>
      </c>
      <c r="E13" t="n">
        <v>2</v>
      </c>
      <c r="F13" t="n">
        <v>2</v>
      </c>
      <c r="G13" t="n">
        <v>1</v>
      </c>
      <c r="H13" t="n">
        <v>2</v>
      </c>
      <c r="I13" t="n">
        <v>1</v>
      </c>
      <c r="J13" t="n">
        <v>1</v>
      </c>
    </row>
    <row r="14">
      <c r="A14" t="n">
        <v>13</v>
      </c>
      <c r="B14" t="inlineStr">
        <is>
          <t>Оптимизация</t>
        </is>
      </c>
      <c r="C14" t="inlineStr">
        <is>
          <t>Без изменений</t>
        </is>
      </c>
      <c r="D14" s="4" t="n">
        <v>1131564.429142999</v>
      </c>
      <c r="E14" t="n">
        <v>2</v>
      </c>
      <c r="F14" t="n">
        <v>2</v>
      </c>
      <c r="G14" t="n">
        <v>1</v>
      </c>
      <c r="H14" t="n">
        <v>2</v>
      </c>
      <c r="I14" t="n">
        <v>1</v>
      </c>
      <c r="J14" t="n">
        <v>1</v>
      </c>
    </row>
    <row r="15">
      <c r="A15" t="n">
        <v>14</v>
      </c>
      <c r="B15" t="inlineStr">
        <is>
          <t>Оптимизация</t>
        </is>
      </c>
      <c r="C15" t="inlineStr">
        <is>
          <t>Без изменений</t>
        </is>
      </c>
      <c r="D15" s="4" t="n">
        <v>1151183.21225498</v>
      </c>
      <c r="E15" t="n">
        <v>2</v>
      </c>
      <c r="F15" t="n">
        <v>2</v>
      </c>
      <c r="G15" t="n">
        <v>1</v>
      </c>
      <c r="H15" t="n">
        <v>2</v>
      </c>
      <c r="I15" t="n">
        <v>1</v>
      </c>
      <c r="J15" t="n">
        <v>1</v>
      </c>
    </row>
    <row r="16">
      <c r="A16" t="n">
        <v>15</v>
      </c>
      <c r="B16" t="inlineStr">
        <is>
          <t>Масштабирование</t>
        </is>
      </c>
      <c r="C16" t="inlineStr">
        <is>
          <t>+1 Менеджер продаж</t>
        </is>
      </c>
      <c r="D16" s="4" t="n">
        <v>1281593.710211509</v>
      </c>
      <c r="E16" t="n">
        <v>3</v>
      </c>
      <c r="F16" t="n">
        <v>2</v>
      </c>
      <c r="G16" t="n">
        <v>1</v>
      </c>
      <c r="H16" t="n">
        <v>2</v>
      </c>
      <c r="I16" t="n">
        <v>1</v>
      </c>
      <c r="J16" t="n">
        <v>1</v>
      </c>
    </row>
    <row r="17">
      <c r="A17" t="n">
        <v>16</v>
      </c>
      <c r="B17" t="inlineStr">
        <is>
          <t>Масштабирование</t>
        </is>
      </c>
      <c r="C17" t="inlineStr">
        <is>
          <t>+1 Дизайнер</t>
        </is>
      </c>
      <c r="D17" s="4" t="n">
        <v>1423005.564530339</v>
      </c>
      <c r="E17" t="n">
        <v>3</v>
      </c>
      <c r="F17" t="n">
        <v>3</v>
      </c>
      <c r="G17" t="n">
        <v>1</v>
      </c>
      <c r="H17" t="n">
        <v>2</v>
      </c>
      <c r="I17" t="n">
        <v>1</v>
      </c>
      <c r="J17" t="n">
        <v>1</v>
      </c>
    </row>
    <row r="18">
      <c r="A18" t="n">
        <v>17</v>
      </c>
      <c r="B18" t="inlineStr">
        <is>
          <t>Масштабирование</t>
        </is>
      </c>
      <c r="C18" t="inlineStr">
        <is>
          <t>Без изменений</t>
        </is>
      </c>
      <c r="D18" s="4" t="n">
        <v>1446743.680588527</v>
      </c>
      <c r="E18" t="n">
        <v>3</v>
      </c>
      <c r="F18" t="n">
        <v>3</v>
      </c>
      <c r="G18" t="n">
        <v>1</v>
      </c>
      <c r="H18" t="n">
        <v>2</v>
      </c>
      <c r="I18" t="n">
        <v>1</v>
      </c>
      <c r="J18" t="n">
        <v>1</v>
      </c>
    </row>
    <row r="19">
      <c r="A19" t="n">
        <v>18</v>
      </c>
      <c r="B19" t="inlineStr">
        <is>
          <t>Масштабирование</t>
        </is>
      </c>
      <c r="C19" t="inlineStr">
        <is>
          <t>Без изменений</t>
        </is>
      </c>
      <c r="D19" s="4" t="n">
        <v>1442423.122037208</v>
      </c>
      <c r="E19" t="n">
        <v>3</v>
      </c>
      <c r="F19" t="n">
        <v>3</v>
      </c>
      <c r="G19" t="n">
        <v>1</v>
      </c>
      <c r="H19" t="n">
        <v>2</v>
      </c>
      <c r="I19" t="n">
        <v>1</v>
      </c>
      <c r="J19" t="n">
        <v>1</v>
      </c>
    </row>
    <row r="20">
      <c r="A20" t="n">
        <v>19</v>
      </c>
      <c r="B20" t="inlineStr">
        <is>
          <t>Масштабирование</t>
        </is>
      </c>
      <c r="C20" t="inlineStr">
        <is>
          <t>Без изменений</t>
        </is>
      </c>
      <c r="D20" s="4" t="n">
        <v>1427028.373103642</v>
      </c>
      <c r="E20" t="n">
        <v>3</v>
      </c>
      <c r="F20" t="n">
        <v>3</v>
      </c>
      <c r="G20" t="n">
        <v>1</v>
      </c>
      <c r="H20" t="n">
        <v>2</v>
      </c>
      <c r="I20" t="n">
        <v>1</v>
      </c>
      <c r="J20" t="n">
        <v>1</v>
      </c>
    </row>
    <row r="21">
      <c r="A21" t="n">
        <v>20</v>
      </c>
      <c r="B21" t="inlineStr">
        <is>
          <t>Масштабирование</t>
        </is>
      </c>
      <c r="C21" t="inlineStr">
        <is>
          <t>Без изменений</t>
        </is>
      </c>
      <c r="D21" s="4" t="n">
        <v>1450336.425271862</v>
      </c>
      <c r="E21" t="n">
        <v>3</v>
      </c>
      <c r="F21" t="n">
        <v>3</v>
      </c>
      <c r="G21" t="n">
        <v>1</v>
      </c>
      <c r="H21" t="n">
        <v>2</v>
      </c>
      <c r="I21" t="n">
        <v>1</v>
      </c>
      <c r="J21" t="n">
        <v>1</v>
      </c>
    </row>
    <row r="22">
      <c r="A22" t="n">
        <v>21</v>
      </c>
      <c r="B22" t="inlineStr">
        <is>
          <t>Масштабирование</t>
        </is>
      </c>
      <c r="C22" t="inlineStr">
        <is>
          <t>+1 Менеджер продаж, +1 Замерщик, +1 Бригадир сборки, +1 Операционный менеджер</t>
        </is>
      </c>
      <c r="D22" s="4" t="n">
        <v>1961771.188170363</v>
      </c>
      <c r="E22" t="n">
        <v>4</v>
      </c>
      <c r="F22" t="n">
        <v>3</v>
      </c>
      <c r="G22" t="n">
        <v>2</v>
      </c>
      <c r="H22" t="n">
        <v>3</v>
      </c>
      <c r="I22" t="n">
        <v>2</v>
      </c>
      <c r="J22" t="n">
        <v>1</v>
      </c>
    </row>
    <row r="23">
      <c r="A23" t="n">
        <v>22</v>
      </c>
      <c r="B23" t="inlineStr">
        <is>
          <t>Масштабирование</t>
        </is>
      </c>
      <c r="C23" t="inlineStr">
        <is>
          <t>+1 Дизайнер</t>
        </is>
      </c>
      <c r="D23" s="4" t="n">
        <v>2121024.500298638</v>
      </c>
      <c r="E23" t="n">
        <v>4</v>
      </c>
      <c r="F23" t="n">
        <v>4</v>
      </c>
      <c r="G23" t="n">
        <v>2</v>
      </c>
      <c r="H23" t="n">
        <v>3</v>
      </c>
      <c r="I23" t="n">
        <v>2</v>
      </c>
      <c r="J23" t="n">
        <v>1</v>
      </c>
    </row>
    <row r="24">
      <c r="A24" t="n">
        <v>23</v>
      </c>
      <c r="B24" t="inlineStr">
        <is>
          <t>Масштабирование</t>
        </is>
      </c>
      <c r="C24" t="inlineStr">
        <is>
          <t>Без изменений</t>
        </is>
      </c>
      <c r="D24" s="4" t="n">
        <v>2138251.090829113</v>
      </c>
      <c r="E24" t="n">
        <v>4</v>
      </c>
      <c r="F24" t="n">
        <v>4</v>
      </c>
      <c r="G24" t="n">
        <v>2</v>
      </c>
      <c r="H24" t="n">
        <v>3</v>
      </c>
      <c r="I24" t="n">
        <v>2</v>
      </c>
      <c r="J24" t="n">
        <v>1</v>
      </c>
    </row>
    <row r="25">
      <c r="A25" t="n">
        <v>24</v>
      </c>
      <c r="B25" t="inlineStr">
        <is>
          <t>Масштабирование</t>
        </is>
      </c>
      <c r="C25" t="inlineStr">
        <is>
          <t>Без изменений</t>
        </is>
      </c>
      <c r="D25" s="4" t="n">
        <v>2115949.686868254</v>
      </c>
      <c r="E25" t="n">
        <v>4</v>
      </c>
      <c r="F25" t="n">
        <v>4</v>
      </c>
      <c r="G25" t="n">
        <v>2</v>
      </c>
      <c r="H25" t="n">
        <v>3</v>
      </c>
      <c r="I25" t="n">
        <v>2</v>
      </c>
      <c r="J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2026-03-30T15:31:18Z</dcterms:created>
  <dcterms:modified xsi:type="dcterms:W3CDTF">2026-03-30T15:31:18Z</dcterms:modified>
</cp:coreProperties>
</file>