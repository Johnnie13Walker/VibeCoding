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e046e231384a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ca1fb49c36fe46f5"/>
    <x:sheet xmlns:r="http://schemas.openxmlformats.org/officeDocument/2006/relationships" name="Проблемные сделки" sheetId="2" r:id="Rea6ad067842648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4d6fe99d284682" /><Relationship Type="http://schemas.openxmlformats.org/officeDocument/2006/relationships/theme" Target="/xl/theme/theme1.xml" Id="Rb4df079c7e5742d6" /><Relationship Type="http://schemas.openxmlformats.org/officeDocument/2006/relationships/sharedStrings" Target="/xl/sharedStrings.xml" Id="Rf9ebcc24bdeb4143" /><Relationship Type="http://schemas.openxmlformats.org/officeDocument/2006/relationships/worksheet" Target="/xl/worksheets/sheet1.xml" Id="Rca1fb49c36fe46f5" /><Relationship Type="http://schemas.openxmlformats.org/officeDocument/2006/relationships/worksheet" Target="/xl/worksheets/sheet2.xml" Id="Rea6ad067842648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Отчёт</x:v>
      </x:c>
      <x:c r="B1" t="str">
        <x:v>Bitrix24: сделки без ИНН или годовой выручки компании</x:v>
      </x:c>
    </x:row>
    <x:row r="2">
      <x:c r="A2" t="str">
        <x:v>Дата выгрузки, МСК</x:v>
      </x:c>
      <x:c r="B2" t="str">
        <x:v>2026-04-28 12:33:59 МСК</x:v>
      </x:c>
    </x:row>
    <x:row r="3">
      <x:c r="A3" t="str">
        <x:v>Проверенные поля</x:v>
      </x:c>
      <x:c r="B3" t="str">
        <x:v>ИНН компании: UF_CRM_1735331882180; годовая выручка компании: REVENUE</x:v>
      </x:c>
    </x:row>
    <x:row r="4">
      <x:c r="A4" t="str">
        <x:v>Проблемных сделок найдено</x:v>
      </x:c>
      <x:c r="B4" t="n">
        <x:v>3484</x:v>
      </x:c>
    </x:row>
    <x:row r="5">
      <x:c r="A5" t="str">
        <x:v>Открытых сделок «Продажи»</x:v>
      </x:c>
      <x:c r="B5" t="n">
        <x:v>60</x:v>
      </x:c>
    </x:row>
    <x:row r="6">
      <x:c r="A6" t="str">
        <x:v>Открытых сделок «Реанимация»</x:v>
      </x:c>
      <x:c r="B6" t="n">
        <x:v>5881</x:v>
      </x:c>
    </x:row>
    <x:row r="7">
      <x:c r="A7" t="str">
        <x:v>Актуальных сделок «Телемаркетинг»</x:v>
      </x:c>
      <x:c r="B7" t="n">
        <x:v>653</x:v>
      </x:c>
    </x:row>
    <x:row r="8">
      <x:c r="A8" t="str">
        <x:v>Проверка ссылок</x:v>
      </x:c>
      <x:c r="B8" t="str">
        <x:v>Ссылки сформированы по Bitrix24 portal base URL и ID сделок из live-выгрузки CRM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ID сделки</x:v>
      </x:c>
      <x:c r="B1" t="str">
        <x:v>Название сделки</x:v>
      </x:c>
      <x:c r="C1" t="str">
        <x:v>Ссылка на сделку в Bitrix24</x:v>
      </x:c>
      <x:c r="D1" t="str">
        <x:v>Воронка</x:v>
      </x:c>
      <x:c r="E1" t="str">
        <x:v>Текущая стадия</x:v>
      </x:c>
      <x:c r="F1" t="str">
        <x:v>Ответственный сотрудник</x:v>
      </x:c>
      <x:c r="G1" t="str">
        <x:v>ИНН заполнен: да/нет</x:v>
      </x:c>
      <x:c r="H1" t="str">
        <x:v>Годовая выручка заполнена: да/нет</x:v>
      </x:c>
    </x:row>
    <x:row r="2">
      <x:c r="A2" t="str">
        <x:v>10844</x:v>
      </x:c>
      <x:c r="B2" t="str">
        <x:v>pro.market</x:v>
      </x:c>
      <x:c r="C2" t="e">
        <x:f>HYPERLINK("https://belberrycrm.bitrix24.ru/crm/deal/details/10844/","https://belberrycrm.bitrix24.ru/crm/deal/details/10844/")</x:f>
      </x:c>
      <x:c r="D2" t="str">
        <x:v>Продажи</x:v>
      </x:c>
      <x:c r="E2" t="str">
        <x:v>Догрев и переговоры</x:v>
      </x:c>
      <x:c r="F2" t="str">
        <x:v>Елизавета Деговцова</x:v>
      </x:c>
      <x:c r="G2" t="str">
        <x:v>нет</x:v>
      </x:c>
      <x:c r="H2" t="str">
        <x:v>нет</x:v>
      </x:c>
    </x:row>
    <x:row r="3">
      <x:c r="A3" t="str">
        <x:v>10938</x:v>
      </x:c>
      <x:c r="B3" t="str">
        <x:v>sporttravma.org</x:v>
      </x:c>
      <x:c r="C3" t="e">
        <x:f>HYPERLINK("https://belberrycrm.bitrix24.ru/crm/deal/details/10938/","https://belberrycrm.bitrix24.ru/crm/deal/details/10938/")</x:f>
      </x:c>
      <x:c r="D3" t="str">
        <x:v>Продажи</x:v>
      </x:c>
      <x:c r="E3" t="str">
        <x:v>Подготовка КП</x:v>
      </x:c>
      <x:c r="F3" t="str">
        <x:v>Елизавета Деговцова</x:v>
      </x:c>
      <x:c r="G3" t="str">
        <x:v>да</x:v>
      </x:c>
      <x:c r="H3" t="str">
        <x:v>нет</x:v>
      </x:c>
    </x:row>
    <x:row r="4">
      <x:c r="A4" t="str">
        <x:v>11412</x:v>
      </x:c>
      <x:c r="B4" t="str">
        <x:v>metriks.ru</x:v>
      </x:c>
      <x:c r="C4" t="e">
        <x:f>HYPERLINK("https://belberrycrm.bitrix24.ru/crm/deal/details/11412/","https://belberrycrm.bitrix24.ru/crm/deal/details/11412/")</x:f>
      </x:c>
      <x:c r="D4" t="str">
        <x:v>Продажи</x:v>
      </x:c>
      <x:c r="E4" t="str">
        <x:v>Подготовка БРИФа</x:v>
      </x:c>
      <x:c r="F4" t="str">
        <x:v>Елизавета Деговцова</x:v>
      </x:c>
      <x:c r="G4" t="str">
        <x:v>да</x:v>
      </x:c>
      <x:c r="H4" t="str">
        <x:v>нет</x:v>
      </x:c>
    </x:row>
    <x:row r="5">
      <x:c r="A5" t="str">
        <x:v>18484</x:v>
      </x:c>
      <x:c r="B5" t="str">
        <x:v>evromedika.ru</x:v>
      </x:c>
      <x:c r="C5" t="e">
        <x:f>HYPERLINK("https://belberrycrm.bitrix24.ru/crm/deal/details/18484/","https://belberrycrm.bitrix24.ru/crm/deal/details/18484/")</x:f>
      </x:c>
      <x:c r="D5" t="str">
        <x:v>Продажи</x:v>
      </x:c>
      <x:c r="E5" t="str">
        <x:v>Догрев и переговоры</x:v>
      </x:c>
      <x:c r="F5" t="str">
        <x:v>Илья Смирнов</x:v>
      </x:c>
      <x:c r="G5" t="str">
        <x:v>да</x:v>
      </x:c>
      <x:c r="H5" t="str">
        <x:v>нет</x:v>
      </x:c>
    </x:row>
    <x:row r="6">
      <x:c r="A6" t="str">
        <x:v>20564</x:v>
      </x:c>
      <x:c r="B6" t="str">
        <x:v>flebolog-arm.ru</x:v>
      </x:c>
      <x:c r="C6" t="e">
        <x:f>HYPERLINK("https://belberrycrm.bitrix24.ru/crm/deal/details/20564/","https://belberrycrm.bitrix24.ru/crm/deal/details/20564/")</x:f>
      </x:c>
      <x:c r="D6" t="str">
        <x:v>Продажи</x:v>
      </x:c>
      <x:c r="E6" t="str">
        <x:v>Догрев и переговоры</x:v>
      </x:c>
      <x:c r="F6" t="str">
        <x:v>Илья Смирнов</x:v>
      </x:c>
      <x:c r="G6" t="str">
        <x:v>нет</x:v>
      </x:c>
      <x:c r="H6" t="str">
        <x:v>нет</x:v>
      </x:c>
    </x:row>
    <x:row r="7">
      <x:c r="A7" t="str">
        <x:v>23582</x:v>
      </x:c>
      <x:c r="B7" t="str">
        <x:v>idmed-clinic.ru</x:v>
      </x:c>
      <x:c r="C7" t="e">
        <x:f>HYPERLINK("https://belberrycrm.bitrix24.ru/crm/deal/details/23582/","https://belberrycrm.bitrix24.ru/crm/deal/details/23582/")</x:f>
      </x:c>
      <x:c r="D7" t="str">
        <x:v>Продажи</x:v>
      </x:c>
      <x:c r="E7" t="str">
        <x:v>Подготовка КП</x:v>
      </x:c>
      <x:c r="F7" t="str">
        <x:v>Илья Смирнов</x:v>
      </x:c>
      <x:c r="G7" t="str">
        <x:v>нет</x:v>
      </x:c>
      <x:c r="H7" t="str">
        <x:v>нет</x:v>
      </x:c>
    </x:row>
    <x:row r="8">
      <x:c r="A8" t="str">
        <x:v>23642</x:v>
      </x:c>
      <x:c r="B8" t="str">
        <x:v>natroshvili.ru</x:v>
      </x:c>
      <x:c r="C8" t="e">
        <x:f>HYPERLINK("https://belberrycrm.bitrix24.ru/crm/deal/details/23642/","https://belberrycrm.bitrix24.ru/crm/deal/details/23642/")</x:f>
      </x:c>
      <x:c r="D8" t="str">
        <x:v>Продажи</x:v>
      </x:c>
      <x:c r="E8" t="str">
        <x:v>Догрев и переговоры</x:v>
      </x:c>
      <x:c r="F8" t="str">
        <x:v>Илья Смирнов</x:v>
      </x:c>
      <x:c r="G8" t="str">
        <x:v>да</x:v>
      </x:c>
      <x:c r="H8" t="str">
        <x:v>нет</x:v>
      </x:c>
    </x:row>
    <x:row r="9">
      <x:c r="A9" t="str">
        <x:v>23820</x:v>
      </x:c>
      <x:c r="B9" t="str">
        <x:v>Казимагомедов Казбек Низамиевич</x:v>
      </x:c>
      <x:c r="C9" t="e">
        <x:f>HYPERLINK("https://belberrycrm.bitrix24.ru/crm/deal/details/23820/","https://belberrycrm.bitrix24.ru/crm/deal/details/23820/")</x:f>
      </x:c>
      <x:c r="D9" t="str">
        <x:v>Продажи</x:v>
      </x:c>
      <x:c r="E9" t="str">
        <x:v>Квалификация</x:v>
      </x:c>
      <x:c r="F9" t="str">
        <x:v>Илья Смирнов</x:v>
      </x:c>
      <x:c r="G9" t="str">
        <x:v>нет</x:v>
      </x:c>
      <x:c r="H9" t="str">
        <x:v>нет</x:v>
      </x:c>
    </x:row>
    <x:row r="10">
      <x:c r="A10" t="str">
        <x:v>23894</x:v>
      </x:c>
      <x:c r="B10" t="str">
        <x:v>romanov5.ru</x:v>
      </x:c>
      <x:c r="C10" t="e">
        <x:f>HYPERLINK("https://belberrycrm.bitrix24.ru/crm/deal/details/23894/","https://belberrycrm.bitrix24.ru/crm/deal/details/23894/")</x:f>
      </x:c>
      <x:c r="D10" t="str">
        <x:v>Продажи</x:v>
      </x:c>
      <x:c r="E10" t="str">
        <x:v>Подготовка КП</x:v>
      </x:c>
      <x:c r="F10" t="str">
        <x:v>Елизавета Деговцова</x:v>
      </x:c>
      <x:c r="G10" t="str">
        <x:v>нет</x:v>
      </x:c>
      <x:c r="H10" t="str">
        <x:v>нет</x:v>
      </x:c>
    </x:row>
    <x:row r="11">
      <x:c r="A11" t="str">
        <x:v>23898</x:v>
      </x:c>
      <x:c r="B11" t="str">
        <x:v>САУНОВА МАРИНА СТАНИСЛАВОВНА</x:v>
      </x:c>
      <x:c r="C11" t="e">
        <x:f>HYPERLINK("https://belberrycrm.bitrix24.ru/crm/deal/details/23898/","https://belberrycrm.bitrix24.ru/crm/deal/details/23898/")</x:f>
      </x:c>
      <x:c r="D11" t="str">
        <x:v>Продажи</x:v>
      </x:c>
      <x:c r="E11" t="str">
        <x:v>Подготовка КП</x:v>
      </x:c>
      <x:c r="F11" t="str">
        <x:v>Илья Смирнов</x:v>
      </x:c>
      <x:c r="G11" t="str">
        <x:v>нет</x:v>
      </x:c>
      <x:c r="H11" t="str">
        <x:v>нет</x:v>
      </x:c>
    </x:row>
    <x:row r="12">
      <x:c r="A12" t="str">
        <x:v>23916</x:v>
      </x:c>
      <x:c r="B12" t="str">
        <x:v>spasgan.ru</x:v>
      </x:c>
      <x:c r="C12" t="e">
        <x:f>HYPERLINK("https://belberrycrm.bitrix24.ru/crm/deal/details/23916/","https://belberrycrm.bitrix24.ru/crm/deal/details/23916/")</x:f>
      </x:c>
      <x:c r="D12" t="str">
        <x:v>Продажи</x:v>
      </x:c>
      <x:c r="E12" t="str">
        <x:v>Квалификация</x:v>
      </x:c>
      <x:c r="F12" t="str">
        <x:v>Илья Смирнов</x:v>
      </x:c>
      <x:c r="G12" t="str">
        <x:v>нет</x:v>
      </x:c>
      <x:c r="H12" t="str">
        <x:v>нет</x:v>
      </x:c>
    </x:row>
    <x:row r="13">
      <x:c r="A13" t="str">
        <x:v>23946</x:v>
      </x:c>
      <x:c r="B13" t="str">
        <x:v>panaceadoc.ru</x:v>
      </x:c>
      <x:c r="C13" t="e">
        <x:f>HYPERLINK("https://belberrycrm.bitrix24.ru/crm/deal/details/23946/","https://belberrycrm.bitrix24.ru/crm/deal/details/23946/")</x:f>
      </x:c>
      <x:c r="D13" t="str">
        <x:v>Продажи</x:v>
      </x:c>
      <x:c r="E13" t="str">
        <x:v>Квалификация</x:v>
      </x:c>
      <x:c r="F13" t="str">
        <x:v>Илья Смирнов</x:v>
      </x:c>
      <x:c r="G13" t="str">
        <x:v>нет</x:v>
      </x:c>
      <x:c r="H13" t="str">
        <x:v>нет</x:v>
      </x:c>
    </x:row>
    <x:row r="14">
      <x:c r="A14" t="str">
        <x:v>23976</x:v>
      </x:c>
      <x:c r="B14" t="str">
        <x:v>mnevnikident.ru</x:v>
      </x:c>
      <x:c r="C14" t="e">
        <x:f>HYPERLINK("https://belberrycrm.bitrix24.ru/crm/deal/details/23976/","https://belberrycrm.bitrix24.ru/crm/deal/details/23976/")</x:f>
      </x:c>
      <x:c r="D14" t="str">
        <x:v>Продажи</x:v>
      </x:c>
      <x:c r="E14" t="str">
        <x:v>Квалификация</x:v>
      </x:c>
      <x:c r="F14" t="str">
        <x:v>Елизавета Деговцова</x:v>
      </x:c>
      <x:c r="G14" t="str">
        <x:v>нет</x:v>
      </x:c>
      <x:c r="H14" t="str">
        <x:v>нет</x:v>
      </x:c>
    </x:row>
    <x:row r="15">
      <x:c r="A15" t="str">
        <x:v>23978</x:v>
      </x:c>
      <x:c r="B15" t="str">
        <x:v>ltvgroup.ru</x:v>
      </x:c>
      <x:c r="C15" t="e">
        <x:f>HYPERLINK("https://belberrycrm.bitrix24.ru/crm/deal/details/23978/","https://belberrycrm.bitrix24.ru/crm/deal/details/23978/")</x:f>
      </x:c>
      <x:c r="D15" t="str">
        <x:v>Продажи</x:v>
      </x:c>
      <x:c r="E15" t="str">
        <x:v>Квалификация</x:v>
      </x:c>
      <x:c r="F15" t="str">
        <x:v>Елизавета Деговцова</x:v>
      </x:c>
      <x:c r="G15" t="str">
        <x:v>нет</x:v>
      </x:c>
      <x:c r="H15" t="str">
        <x:v>нет</x:v>
      </x:c>
    </x:row>
    <x:row r="16">
      <x:c r="A16" t="str">
        <x:v>23980</x:v>
      </x:c>
      <x:c r="B16" t="str">
        <x:v>7 923 702-87-03 - Входящий звонок</x:v>
      </x:c>
      <x:c r="C16" t="e">
        <x:f>HYPERLINK("https://belberrycrm.bitrix24.ru/crm/deal/details/23980/","https://belberrycrm.bitrix24.ru/crm/deal/details/23980/")</x:f>
      </x:c>
      <x:c r="D16" t="str">
        <x:v>Продажи</x:v>
      </x:c>
      <x:c r="E16" t="str">
        <x:v>Квалификация</x:v>
      </x:c>
      <x:c r="F16" t="str">
        <x:v>Илья Смирнов</x:v>
      </x:c>
      <x:c r="G16" t="str">
        <x:v>нет</x:v>
      </x:c>
      <x:c r="H16" t="str">
        <x:v>нет</x:v>
      </x:c>
    </x:row>
    <x:row r="17">
      <x:c r="A17" t="str">
        <x:v>23988</x:v>
      </x:c>
      <x:c r="B17" t="str">
        <x:v>klinikapelya.ru</x:v>
      </x:c>
      <x:c r="C17" t="e">
        <x:f>HYPERLINK("https://belberrycrm.bitrix24.ru/crm/deal/details/23988/","https://belberrycrm.bitrix24.ru/crm/deal/details/23988/")</x:f>
      </x:c>
      <x:c r="D17" t="str">
        <x:v>Продажи</x:v>
      </x:c>
      <x:c r="E17" t="str">
        <x:v>Подготовка БРИФа</x:v>
      </x:c>
      <x:c r="F17" t="str">
        <x:v>Илья Смирнов</x:v>
      </x:c>
      <x:c r="G17" t="str">
        <x:v>нет</x:v>
      </x:c>
      <x:c r="H17" t="str">
        <x:v>нет</x:v>
      </x:c>
    </x:row>
    <x:row r="18">
      <x:c r="A18" t="str">
        <x:v>23990</x:v>
      </x:c>
      <x:c r="B18" t="str">
        <x:v>Заявка с сайта Belberry от укецкуец 73452345345</x:v>
      </x:c>
      <x:c r="C18" t="e">
        <x:f>HYPERLINK("https://belberrycrm.bitrix24.ru/crm/deal/details/23990/","https://belberrycrm.bitrix24.ru/crm/deal/details/23990/")</x:f>
      </x:c>
      <x:c r="D18" t="str">
        <x:v>Продажи</x:v>
      </x:c>
      <x:c r="E18" t="str">
        <x:v>Квалификация</x:v>
      </x:c>
      <x:c r="F18" t="str">
        <x:v>Елизавета Деговцова</x:v>
      </x:c>
      <x:c r="G18" t="str">
        <x:v>нет</x:v>
      </x:c>
      <x:c r="H18" t="str">
        <x:v>нет</x:v>
      </x:c>
    </x:row>
    <x:row r="19">
      <x:c r="A19" t="str">
        <x:v>23996</x:v>
      </x:c>
      <x:c r="B19" t="str">
        <x:v>blagorc.ru</x:v>
      </x:c>
      <x:c r="C19" t="e">
        <x:f>HYPERLINK("https://belberrycrm.bitrix24.ru/crm/deal/details/23996/","https://belberrycrm.bitrix24.ru/crm/deal/details/23996/")</x:f>
      </x:c>
      <x:c r="D19" t="str">
        <x:v>Продажи</x:v>
      </x:c>
      <x:c r="E19" t="str">
        <x:v>Подготовка БРИФа</x:v>
      </x:c>
      <x:c r="F19" t="str">
        <x:v>Илья Смирнов</x:v>
      </x:c>
      <x:c r="G19" t="str">
        <x:v>нет</x:v>
      </x:c>
      <x:c r="H19" t="str">
        <x:v>нет</x:v>
      </x:c>
    </x:row>
    <x:row r="20">
      <x:c r="A20" t="str">
        <x:v>24002</x:v>
      </x:c>
      <x:c r="B20" t="str">
        <x:v>Email | hello@belberry.net от ООО ВАЛЕД info@valed.ru</x:v>
      </x:c>
      <x:c r="C20" t="e">
        <x:f>HYPERLINK("https://belberrycrm.bitrix24.ru/crm/deal/details/24002/","https://belberrycrm.bitrix24.ru/crm/deal/details/24002/")</x:f>
      </x:c>
      <x:c r="D20" t="str">
        <x:v>Продажи</x:v>
      </x:c>
      <x:c r="E20" t="str">
        <x:v>Квалификация</x:v>
      </x:c>
      <x:c r="F20" t="str">
        <x:v>Елизавета Деговцова</x:v>
      </x:c>
      <x:c r="G20" t="str">
        <x:v>нет</x:v>
      </x:c>
      <x:c r="H20" t="str">
        <x:v>нет</x:v>
      </x:c>
    </x:row>
    <x:row r="21">
      <x:c r="A21" t="str">
        <x:v>22</x:v>
      </x:c>
      <x:c r="B21" t="str">
        <x:v>malbret.ru</x:v>
      </x:c>
      <x:c r="C21" t="e">
        <x:f>HYPERLINK("https://belberrycrm.bitrix24.ru/crm/deal/details/22/","https://belberrycrm.bitrix24.ru/crm/deal/details/22/")</x:f>
      </x:c>
      <x:c r="D21" t="str">
        <x:v>Реанимация</x:v>
      </x:c>
      <x:c r="E21" t="str">
        <x:v>АРХИВ Общая</x:v>
      </x:c>
      <x:c r="F21" t="str">
        <x:v>Екатерина Апушкина</x:v>
      </x:c>
      <x:c r="G21" t="str">
        <x:v>нет</x:v>
      </x:c>
      <x:c r="H21" t="str">
        <x:v>нет</x:v>
      </x:c>
    </x:row>
    <x:row r="22">
      <x:c r="A22" t="str">
        <x:v>28</x:v>
      </x:c>
      <x:c r="B22" t="str">
        <x:v>phdn-clinic.ru</x:v>
      </x:c>
      <x:c r="C22" t="e">
        <x:f>HYPERLINK("https://belberrycrm.bitrix24.ru/crm/deal/details/28/","https://belberrycrm.bitrix24.ru/crm/deal/details/28/")</x:f>
      </x:c>
      <x:c r="D22" t="str">
        <x:v>Реанимация</x:v>
      </x:c>
      <x:c r="E22" t="str">
        <x:v>База для реанимации</x:v>
      </x:c>
      <x:c r="F22" t="str">
        <x:v>Евгения Гордиенко</x:v>
      </x:c>
      <x:c r="G22" t="str">
        <x:v>нет</x:v>
      </x:c>
      <x:c r="H22" t="str">
        <x:v>нет</x:v>
      </x:c>
    </x:row>
    <x:row r="23">
      <x:c r="A23" t="str">
        <x:v>48</x:v>
      </x:c>
      <x:c r="B23" t="str">
        <x:v>драгоценность.рф</x:v>
      </x:c>
      <x:c r="C23" t="e">
        <x:f>HYPERLINK("https://belberrycrm.bitrix24.ru/crm/deal/details/48/","https://belberrycrm.bitrix24.ru/crm/deal/details/48/")</x:f>
      </x:c>
      <x:c r="D23" t="str">
        <x:v>Реанимация</x:v>
      </x:c>
      <x:c r="E23" t="str">
        <x:v>База для реанимации</x:v>
      </x:c>
      <x:c r="F23" t="str">
        <x:v>Евгения Гордиенко</x:v>
      </x:c>
      <x:c r="G23" t="str">
        <x:v>нет</x:v>
      </x:c>
      <x:c r="H23" t="str">
        <x:v>нет</x:v>
      </x:c>
    </x:row>
    <x:row r="24">
      <x:c r="A24" t="str">
        <x:v>56</x:v>
      </x:c>
      <x:c r="B24" t="str">
        <x:v>Tishinka-stomat.ru</x:v>
      </x:c>
      <x:c r="C24" t="e">
        <x:f>HYPERLINK("https://belberrycrm.bitrix24.ru/crm/deal/details/56/","https://belberrycrm.bitrix24.ru/crm/deal/details/56/")</x:f>
      </x:c>
      <x:c r="D24" t="str">
        <x:v>Реанимация</x:v>
      </x:c>
      <x:c r="E24" t="str">
        <x:v>База для реанимации</x:v>
      </x:c>
      <x:c r="F24" t="str">
        <x:v>Евгения Гордиенко</x:v>
      </x:c>
      <x:c r="G24" t="str">
        <x:v>нет</x:v>
      </x:c>
      <x:c r="H24" t="str">
        <x:v>нет</x:v>
      </x:c>
    </x:row>
    <x:row r="25">
      <x:c r="A25" t="str">
        <x:v>80</x:v>
      </x:c>
      <x:c r="B25" t="str">
        <x:v>lichniidoctor.ru</x:v>
      </x:c>
      <x:c r="C25" t="e">
        <x:f>HYPERLINK("https://belberrycrm.bitrix24.ru/crm/deal/details/80/","https://belberrycrm.bitrix24.ru/crm/deal/details/80/")</x:f>
      </x:c>
      <x:c r="D25" t="str">
        <x:v>Реанимация</x:v>
      </x:c>
      <x:c r="E25" t="str">
        <x:v>База для реанимации</x:v>
      </x:c>
      <x:c r="F25" t="str">
        <x:v>Евгения Гордиенко</x:v>
      </x:c>
      <x:c r="G25" t="str">
        <x:v>нет</x:v>
      </x:c>
      <x:c r="H25" t="str">
        <x:v>нет</x:v>
      </x:c>
    </x:row>
    <x:row r="26">
      <x:c r="A26" t="str">
        <x:v>88</x:v>
      </x:c>
      <x:c r="B26" t="str">
        <x:v>vegacentr.ru</x:v>
      </x:c>
      <x:c r="C26" t="e">
        <x:f>HYPERLINK("https://belberrycrm.bitrix24.ru/crm/deal/details/88/","https://belberrycrm.bitrix24.ru/crm/deal/details/88/")</x:f>
      </x:c>
      <x:c r="D26" t="str">
        <x:v>Реанимация</x:v>
      </x:c>
      <x:c r="E26" t="str">
        <x:v>База для реанимации</x:v>
      </x:c>
      <x:c r="F26" t="str">
        <x:v>Петр Дудин</x:v>
      </x:c>
      <x:c r="G26" t="str">
        <x:v>нет</x:v>
      </x:c>
      <x:c r="H26" t="str">
        <x:v>нет</x:v>
      </x:c>
    </x:row>
    <x:row r="27">
      <x:c r="A27" t="str">
        <x:v>94</x:v>
      </x:c>
      <x:c r="B27" t="str">
        <x:v>dr-ortoped.ru</x:v>
      </x:c>
      <x:c r="C27" t="e">
        <x:f>HYPERLINK("https://belberrycrm.bitrix24.ru/crm/deal/details/94/","https://belberrycrm.bitrix24.ru/crm/deal/details/94/")</x:f>
      </x:c>
      <x:c r="D27" t="str">
        <x:v>Реанимация</x:v>
      </x:c>
      <x:c r="E27" t="str">
        <x:v>База для реанимации</x:v>
      </x:c>
      <x:c r="F27" t="str">
        <x:v>Петр Дудин</x:v>
      </x:c>
      <x:c r="G27" t="str">
        <x:v>нет</x:v>
      </x:c>
      <x:c r="H27" t="str">
        <x:v>нет</x:v>
      </x:c>
    </x:row>
    <x:row r="28">
      <x:c r="A28" t="str">
        <x:v>100</x:v>
      </x:c>
      <x:c r="B28" t="str">
        <x:v>medstar.center</x:v>
      </x:c>
      <x:c r="C28" t="e">
        <x:f>HYPERLINK("https://belberrycrm.bitrix24.ru/crm/deal/details/100/","https://belberrycrm.bitrix24.ru/crm/deal/details/100/")</x:f>
      </x:c>
      <x:c r="D28" t="str">
        <x:v>Реанимация</x:v>
      </x:c>
      <x:c r="E28" t="str">
        <x:v>База для реанимации</x:v>
      </x:c>
      <x:c r="F28" t="str">
        <x:v>Евгения Гордиенко</x:v>
      </x:c>
      <x:c r="G28" t="str">
        <x:v>нет</x:v>
      </x:c>
      <x:c r="H28" t="str">
        <x:v>нет</x:v>
      </x:c>
    </x:row>
    <x:row r="29">
      <x:c r="A29" t="str">
        <x:v>102</x:v>
      </x:c>
      <x:c r="B29" t="str">
        <x:v>profy-dent.ru</x:v>
      </x:c>
      <x:c r="C29" t="e">
        <x:f>HYPERLINK("https://belberrycrm.bitrix24.ru/crm/deal/details/102/","https://belberrycrm.bitrix24.ru/crm/deal/details/102/")</x:f>
      </x:c>
      <x:c r="D29" t="str">
        <x:v>Реанимация</x:v>
      </x:c>
      <x:c r="E29" t="str">
        <x:v>База для реанимации</x:v>
      </x:c>
      <x:c r="F29" t="str">
        <x:v>Евгения Гордиенко</x:v>
      </x:c>
      <x:c r="G29" t="str">
        <x:v>нет</x:v>
      </x:c>
      <x:c r="H29" t="str">
        <x:v>нет</x:v>
      </x:c>
    </x:row>
    <x:row r="30">
      <x:c r="A30" t="str">
        <x:v>122</x:v>
      </x:c>
      <x:c r="B30" t="str">
        <x:v>amed.clinic</x:v>
      </x:c>
      <x:c r="C30" t="e">
        <x:f>HYPERLINK("https://belberrycrm.bitrix24.ru/crm/deal/details/122/","https://belberrycrm.bitrix24.ru/crm/deal/details/122/")</x:f>
      </x:c>
      <x:c r="D30" t="str">
        <x:v>Реанимация</x:v>
      </x:c>
      <x:c r="E30" t="str">
        <x:v>База для реанимации</x:v>
      </x:c>
      <x:c r="F30" t="str">
        <x:v>Петр Дудин</x:v>
      </x:c>
      <x:c r="G30" t="str">
        <x:v>нет</x:v>
      </x:c>
      <x:c r="H30" t="str">
        <x:v>нет</x:v>
      </x:c>
    </x:row>
    <x:row r="31">
      <x:c r="A31" t="str">
        <x:v>144</x:v>
      </x:c>
      <x:c r="B31" t="str">
        <x:v>ckbran.ru</x:v>
      </x:c>
      <x:c r="C31" t="e">
        <x:f>HYPERLINK("https://belberrycrm.bitrix24.ru/crm/deal/details/144/","https://belberrycrm.bitrix24.ru/crm/deal/details/144/")</x:f>
      </x:c>
      <x:c r="D31" t="str">
        <x:v>Реанимация</x:v>
      </x:c>
      <x:c r="E31" t="str">
        <x:v>ПРОДАЖИ: Отвалы</x:v>
      </x:c>
      <x:c r="F31" t="str">
        <x:v>Петр Дудин</x:v>
      </x:c>
      <x:c r="G31" t="str">
        <x:v>нет</x:v>
      </x:c>
      <x:c r="H31" t="str">
        <x:v>нет</x:v>
      </x:c>
    </x:row>
    <x:row r="32">
      <x:c r="A32" t="str">
        <x:v>146</x:v>
      </x:c>
      <x:c r="B32" t="str">
        <x:v>zdravia.ru</x:v>
      </x:c>
      <x:c r="C32" t="e">
        <x:f>HYPERLINK("https://belberrycrm.bitrix24.ru/crm/deal/details/146/","https://belberrycrm.bitrix24.ru/crm/deal/details/146/")</x:f>
      </x:c>
      <x:c r="D32" t="str">
        <x:v>Реанимация</x:v>
      </x:c>
      <x:c r="E32" t="str">
        <x:v>База для реанимации</x:v>
      </x:c>
      <x:c r="F32" t="str">
        <x:v>Петр Дудин</x:v>
      </x:c>
      <x:c r="G32" t="str">
        <x:v>нет</x:v>
      </x:c>
      <x:c r="H32" t="str">
        <x:v>нет</x:v>
      </x:c>
    </x:row>
    <x:row r="33">
      <x:c r="A33" t="str">
        <x:v>168</x:v>
      </x:c>
      <x:c r="B33" t="str">
        <x:v>medsemya.ru</x:v>
      </x:c>
      <x:c r="C33" t="e">
        <x:f>HYPERLINK("https://belberrycrm.bitrix24.ru/crm/deal/details/168/","https://belberrycrm.bitrix24.ru/crm/deal/details/168/")</x:f>
      </x:c>
      <x:c r="D33" t="str">
        <x:v>Реанимация</x:v>
      </x:c>
      <x:c r="E33" t="str">
        <x:v>База для реанимации</x:v>
      </x:c>
      <x:c r="F33" t="str">
        <x:v>Админ всея Belberry</x:v>
      </x:c>
      <x:c r="G33" t="str">
        <x:v>нет</x:v>
      </x:c>
      <x:c r="H33" t="str">
        <x:v>нет</x:v>
      </x:c>
    </x:row>
    <x:row r="34">
      <x:c r="A34" t="str">
        <x:v>172</x:v>
      </x:c>
      <x:c r="B34" t="str">
        <x:v>artesania-dent.com</x:v>
      </x:c>
      <x:c r="C34" t="e">
        <x:f>HYPERLINK("https://belberrycrm.bitrix24.ru/crm/deal/details/172/","https://belberrycrm.bitrix24.ru/crm/deal/details/172/")</x:f>
      </x:c>
      <x:c r="D34" t="str">
        <x:v>Реанимация</x:v>
      </x:c>
      <x:c r="E34" t="str">
        <x:v>База для реанимации</x:v>
      </x:c>
      <x:c r="F34" t="str">
        <x:v>Евгения Гордиенко</x:v>
      </x:c>
      <x:c r="G34" t="str">
        <x:v>нет</x:v>
      </x:c>
      <x:c r="H34" t="str">
        <x:v>нет</x:v>
      </x:c>
    </x:row>
    <x:row r="35">
      <x:c r="A35" t="str">
        <x:v>178</x:v>
      </x:c>
      <x:c r="B35" t="str">
        <x:v>doktorplus.su</x:v>
      </x:c>
      <x:c r="C35" t="e">
        <x:f>HYPERLINK("https://belberrycrm.bitrix24.ru/crm/deal/details/178/","https://belberrycrm.bitrix24.ru/crm/deal/details/178/")</x:f>
      </x:c>
      <x:c r="D35" t="str">
        <x:v>Реанимация</x:v>
      </x:c>
      <x:c r="E35" t="str">
        <x:v>База для реанимации</x:v>
      </x:c>
      <x:c r="F35" t="str">
        <x:v>Петр Дудин</x:v>
      </x:c>
      <x:c r="G35" t="str">
        <x:v>нет</x:v>
      </x:c>
      <x:c r="H35" t="str">
        <x:v>нет</x:v>
      </x:c>
    </x:row>
    <x:row r="36">
      <x:c r="A36" t="str">
        <x:v>188</x:v>
      </x:c>
      <x:c r="B36" t="str">
        <x:v>denta-evro.ru</x:v>
      </x:c>
      <x:c r="C36" t="e">
        <x:f>HYPERLINK("https://belberrycrm.bitrix24.ru/crm/deal/details/188/","https://belberrycrm.bitrix24.ru/crm/deal/details/188/")</x:f>
      </x:c>
      <x:c r="D36" t="str">
        <x:v>Реанимация</x:v>
      </x:c>
      <x:c r="E36" t="str">
        <x:v>База для реанимации</x:v>
      </x:c>
      <x:c r="F36" t="str">
        <x:v>Евгения Гордиенко</x:v>
      </x:c>
      <x:c r="G36" t="str">
        <x:v>нет</x:v>
      </x:c>
      <x:c r="H36" t="str">
        <x:v>нет</x:v>
      </x:c>
    </x:row>
    <x:row r="37">
      <x:c r="A37" t="str">
        <x:v>190</x:v>
      </x:c>
      <x:c r="B37" t="str">
        <x:v>u-doctora.ru</x:v>
      </x:c>
      <x:c r="C37" t="e">
        <x:f>HYPERLINK("https://belberrycrm.bitrix24.ru/crm/deal/details/190/","https://belberrycrm.bitrix24.ru/crm/deal/details/190/")</x:f>
      </x:c>
      <x:c r="D37" t="str">
        <x:v>Реанимация</x:v>
      </x:c>
      <x:c r="E37" t="str">
        <x:v>База для реанимации</x:v>
      </x:c>
      <x:c r="F37" t="str">
        <x:v>Евгения Гордиенко</x:v>
      </x:c>
      <x:c r="G37" t="str">
        <x:v>нет</x:v>
      </x:c>
      <x:c r="H37" t="str">
        <x:v>нет</x:v>
      </x:c>
    </x:row>
    <x:row r="38">
      <x:c r="A38" t="str">
        <x:v>210</x:v>
      </x:c>
      <x:c r="B38" t="str">
        <x:v>med-krasnikova.ru</x:v>
      </x:c>
      <x:c r="C38" t="e">
        <x:f>HYPERLINK("https://belberrycrm.bitrix24.ru/crm/deal/details/210/","https://belberrycrm.bitrix24.ru/crm/deal/details/210/")</x:f>
      </x:c>
      <x:c r="D38" t="str">
        <x:v>Реанимация</x:v>
      </x:c>
      <x:c r="E38" t="str">
        <x:v>База для реанимации</x:v>
      </x:c>
      <x:c r="F38" t="str">
        <x:v>Евгения Гордиенко</x:v>
      </x:c>
      <x:c r="G38" t="str">
        <x:v>нет</x:v>
      </x:c>
      <x:c r="H38" t="str">
        <x:v>нет</x:v>
      </x:c>
    </x:row>
    <x:row r="39">
      <x:c r="A39" t="str">
        <x:v>228</x:v>
      </x:c>
      <x:c r="B39" t="str">
        <x:v>egida-stom.ru</x:v>
      </x:c>
      <x:c r="C39" t="e">
        <x:f>HYPERLINK("https://belberrycrm.bitrix24.ru/crm/deal/details/228/","https://belberrycrm.bitrix24.ru/crm/deal/details/228/")</x:f>
      </x:c>
      <x:c r="D39" t="str">
        <x:v>Реанимация</x:v>
      </x:c>
      <x:c r="E39" t="str">
        <x:v>База для реанимации</x:v>
      </x:c>
      <x:c r="F39" t="str">
        <x:v>Евгения Гордиенко</x:v>
      </x:c>
      <x:c r="G39" t="str">
        <x:v>нет</x:v>
      </x:c>
      <x:c r="H39" t="str">
        <x:v>нет</x:v>
      </x:c>
    </x:row>
    <x:row r="40">
      <x:c r="A40" t="str">
        <x:v>230</x:v>
      </x:c>
      <x:c r="B40" t="str">
        <x:v>neuro-kids.ru</x:v>
      </x:c>
      <x:c r="C40" t="e">
        <x:f>HYPERLINK("https://belberrycrm.bitrix24.ru/crm/deal/details/230/","https://belberrycrm.bitrix24.ru/crm/deal/details/230/")</x:f>
      </x:c>
      <x:c r="D40" t="str">
        <x:v>Реанимация</x:v>
      </x:c>
      <x:c r="E40" t="str">
        <x:v>База для реанимации</x:v>
      </x:c>
      <x:c r="F40" t="str">
        <x:v>Петр Дудин</x:v>
      </x:c>
      <x:c r="G40" t="str">
        <x:v>нет</x:v>
      </x:c>
      <x:c r="H40" t="str">
        <x:v>нет</x:v>
      </x:c>
    </x:row>
    <x:row r="41">
      <x:c r="A41" t="str">
        <x:v>242</x:v>
      </x:c>
      <x:c r="B41" t="str">
        <x:v>neuro-kids.ru</x:v>
      </x:c>
      <x:c r="C41" t="e">
        <x:f>HYPERLINK("https://belberrycrm.bitrix24.ru/crm/deal/details/242/","https://belberrycrm.bitrix24.ru/crm/deal/details/242/")</x:f>
      </x:c>
      <x:c r="D41" t="str">
        <x:v>Реанимация</x:v>
      </x:c>
      <x:c r="E41" t="str">
        <x:v>База для реанимации</x:v>
      </x:c>
      <x:c r="F41" t="str">
        <x:v>Петр Дудин</x:v>
      </x:c>
      <x:c r="G41" t="str">
        <x:v>нет</x:v>
      </x:c>
      <x:c r="H41" t="str">
        <x:v>нет</x:v>
      </x:c>
    </x:row>
    <x:row r="42">
      <x:c r="A42" t="str">
        <x:v>256</x:v>
      </x:c>
      <x:c r="B42" t="str">
        <x:v>psypodderjka.ru</x:v>
      </x:c>
      <x:c r="C42" t="e">
        <x:f>HYPERLINK("https://belberrycrm.bitrix24.ru/crm/deal/details/256/","https://belberrycrm.bitrix24.ru/crm/deal/details/256/")</x:f>
      </x:c>
      <x:c r="D42" t="str">
        <x:v>Реанимация</x:v>
      </x:c>
      <x:c r="E42" t="str">
        <x:v>Взят в работу</x:v>
      </x:c>
      <x:c r="F42" t="str">
        <x:v>Анна Гудинова</x:v>
      </x:c>
      <x:c r="G42" t="str">
        <x:v>нет</x:v>
      </x:c>
      <x:c r="H42" t="str">
        <x:v>нет</x:v>
      </x:c>
    </x:row>
    <x:row r="43">
      <x:c r="A43" t="str">
        <x:v>258</x:v>
      </x:c>
      <x:c r="B43" t="str">
        <x:v>medcm.ru</x:v>
      </x:c>
      <x:c r="C43" t="e">
        <x:f>HYPERLINK("https://belberrycrm.bitrix24.ru/crm/deal/details/258/","https://belberrycrm.bitrix24.ru/crm/deal/details/258/")</x:f>
      </x:c>
      <x:c r="D43" t="str">
        <x:v>Реанимация</x:v>
      </x:c>
      <x:c r="E43" t="str">
        <x:v>База для реанимации</x:v>
      </x:c>
      <x:c r="F43" t="str">
        <x:v>Евгения Гордиенко</x:v>
      </x:c>
      <x:c r="G43" t="str">
        <x:v>нет</x:v>
      </x:c>
      <x:c r="H43" t="str">
        <x:v>нет</x:v>
      </x:c>
    </x:row>
    <x:row r="44">
      <x:c r="A44" t="str">
        <x:v>268</x:v>
      </x:c>
      <x:c r="B44" t="str">
        <x:v>azbukazdorovya.com</x:v>
      </x:c>
      <x:c r="C44" t="e">
        <x:f>HYPERLINK("https://belberrycrm.bitrix24.ru/crm/deal/details/268/","https://belberrycrm.bitrix24.ru/crm/deal/details/268/")</x:f>
      </x:c>
      <x:c r="D44" t="str">
        <x:v>Реанимация</x:v>
      </x:c>
      <x:c r="E44" t="str">
        <x:v>База для реанимации</x:v>
      </x:c>
      <x:c r="F44" t="str">
        <x:v>Евгения Гордиенко</x:v>
      </x:c>
      <x:c r="G44" t="str">
        <x:v>нет</x:v>
      </x:c>
      <x:c r="H44" t="str">
        <x:v>нет</x:v>
      </x:c>
    </x:row>
    <x:row r="45">
      <x:c r="A45" t="str">
        <x:v>282</x:v>
      </x:c>
      <x:c r="B45" t="str">
        <x:v>abc-medicina.com</x:v>
      </x:c>
      <x:c r="C45" t="e">
        <x:f>HYPERLINK("https://belberrycrm.bitrix24.ru/crm/deal/details/282/","https://belberrycrm.bitrix24.ru/crm/deal/details/282/")</x:f>
      </x:c>
      <x:c r="D45" t="str">
        <x:v>Реанимация</x:v>
      </x:c>
      <x:c r="E45" t="str">
        <x:v>База для реанимации</x:v>
      </x:c>
      <x:c r="F45" t="str">
        <x:v>Админ всея Belberry</x:v>
      </x:c>
      <x:c r="G45" t="str">
        <x:v>нет</x:v>
      </x:c>
      <x:c r="H45" t="str">
        <x:v>нет</x:v>
      </x:c>
    </x:row>
    <x:row r="46">
      <x:c r="A46" t="str">
        <x:v>284</x:v>
      </x:c>
      <x:c r="B46" t="str">
        <x:v>unimeds.ru</x:v>
      </x:c>
      <x:c r="C46" t="e">
        <x:f>HYPERLINK("https://belberrycrm.bitrix24.ru/crm/deal/details/284/","https://belberrycrm.bitrix24.ru/crm/deal/details/284/")</x:f>
      </x:c>
      <x:c r="D46" t="str">
        <x:v>Реанимация</x:v>
      </x:c>
      <x:c r="E46" t="str">
        <x:v>База для реанимации</x:v>
      </x:c>
      <x:c r="F46" t="str">
        <x:v>Петр Дудин</x:v>
      </x:c>
      <x:c r="G46" t="str">
        <x:v>нет</x:v>
      </x:c>
      <x:c r="H46" t="str">
        <x:v>нет</x:v>
      </x:c>
    </x:row>
    <x:row r="47">
      <x:c r="A47" t="str">
        <x:v>294</x:v>
      </x:c>
      <x:c r="B47" t="str">
        <x:v>parket-floor.ru</x:v>
      </x:c>
      <x:c r="C47" t="e">
        <x:f>HYPERLINK("https://belberrycrm.bitrix24.ru/crm/deal/details/294/","https://belberrycrm.bitrix24.ru/crm/deal/details/294/")</x:f>
      </x:c>
      <x:c r="D47" t="str">
        <x:v>Реанимация</x:v>
      </x:c>
      <x:c r="E47" t="str">
        <x:v>АРХИВ Общая</x:v>
      </x:c>
      <x:c r="F47" t="str">
        <x:v>Екатерина Апушкина</x:v>
      </x:c>
      <x:c r="G47" t="str">
        <x:v>нет</x:v>
      </x:c>
      <x:c r="H47" t="str">
        <x:v>нет</x:v>
      </x:c>
    </x:row>
    <x:row r="48">
      <x:c r="A48" t="str">
        <x:v>398</x:v>
      </x:c>
      <x:c r="B48" t="str">
        <x:v>hadassah.moscow</x:v>
      </x:c>
      <x:c r="C48" t="e">
        <x:f>HYPERLINK("https://belberrycrm.bitrix24.ru/crm/deal/details/398/","https://belberrycrm.bitrix24.ru/crm/deal/details/398/")</x:f>
      </x:c>
      <x:c r="D48" t="str">
        <x:v>Реанимация</x:v>
      </x:c>
      <x:c r="E48" t="str">
        <x:v>ПРОДАЖИ: Отвалы</x:v>
      </x:c>
      <x:c r="F48" t="str">
        <x:v>Евгений Щемелёв</x:v>
      </x:c>
      <x:c r="G48" t="str">
        <x:v>да</x:v>
      </x:c>
      <x:c r="H48" t="str">
        <x:v>нет</x:v>
      </x:c>
    </x:row>
    <x:row r="49">
      <x:c r="A49" t="str">
        <x:v>414</x:v>
      </x:c>
      <x:c r="B49" t="str">
        <x:v>thenorthface.ru</x:v>
      </x:c>
      <x:c r="C49" t="e">
        <x:f>HYPERLINK("https://belberrycrm.bitrix24.ru/crm/deal/details/414/","https://belberrycrm.bitrix24.ru/crm/deal/details/414/")</x:f>
      </x:c>
      <x:c r="D49" t="str">
        <x:v>Реанимация</x:v>
      </x:c>
      <x:c r="E49" t="str">
        <x:v>ПРОДАЖИ: Отвалы</x:v>
      </x:c>
      <x:c r="F49" t="str">
        <x:v>Евгений Щемелёв</x:v>
      </x:c>
      <x:c r="G49" t="str">
        <x:v>нет</x:v>
      </x:c>
      <x:c r="H49" t="str">
        <x:v>нет</x:v>
      </x:c>
    </x:row>
    <x:row r="50">
      <x:c r="A50" t="str">
        <x:v>438</x:v>
      </x:c>
      <x:c r="B50" t="str">
        <x:v>rc-respect.ru</x:v>
      </x:c>
      <x:c r="C50" t="e">
        <x:f>HYPERLINK("https://belberrycrm.bitrix24.ru/crm/deal/details/438/","https://belberrycrm.bitrix24.ru/crm/deal/details/438/")</x:f>
      </x:c>
      <x:c r="D50" t="str">
        <x:v>Реанимация</x:v>
      </x:c>
      <x:c r="E50" t="str">
        <x:v>База для реанимации</x:v>
      </x:c>
      <x:c r="F50" t="str">
        <x:v>Петр Дудин</x:v>
      </x:c>
      <x:c r="G50" t="str">
        <x:v>нет</x:v>
      </x:c>
      <x:c r="H50" t="str">
        <x:v>нет</x:v>
      </x:c>
    </x:row>
    <x:row r="51">
      <x:c r="A51" t="str">
        <x:v>464</x:v>
      </x:c>
      <x:c r="B51" t="str">
        <x:v>megaclinic.ru</x:v>
      </x:c>
      <x:c r="C51" t="e">
        <x:f>HYPERLINK("https://belberrycrm.bitrix24.ru/crm/deal/details/464/","https://belberrycrm.bitrix24.ru/crm/deal/details/464/")</x:f>
      </x:c>
      <x:c r="D51" t="str">
        <x:v>Реанимация</x:v>
      </x:c>
      <x:c r="E51" t="str">
        <x:v>База для реанимации</x:v>
      </x:c>
      <x:c r="F51" t="str">
        <x:v>Петр Дудин</x:v>
      </x:c>
      <x:c r="G51" t="str">
        <x:v>нет</x:v>
      </x:c>
      <x:c r="H51" t="str">
        <x:v>нет</x:v>
      </x:c>
    </x:row>
    <x:row r="52">
      <x:c r="A52" t="str">
        <x:v>472</x:v>
      </x:c>
      <x:c r="B52" t="str">
        <x:v>dragotsennost-med.obiz.ru</x:v>
      </x:c>
      <x:c r="C52" t="e">
        <x:f>HYPERLINK("https://belberrycrm.bitrix24.ru/crm/deal/details/472/","https://belberrycrm.bitrix24.ru/crm/deal/details/472/")</x:f>
      </x:c>
      <x:c r="D52" t="str">
        <x:v>Реанимация</x:v>
      </x:c>
      <x:c r="E52" t="str">
        <x:v>ПРОДАЖИ: Отвалы</x:v>
      </x:c>
      <x:c r="F52" t="str">
        <x:v>Георгий Погосян</x:v>
      </x:c>
      <x:c r="G52" t="str">
        <x:v>да</x:v>
      </x:c>
      <x:c r="H52" t="str">
        <x:v>нет</x:v>
      </x:c>
    </x:row>
    <x:row r="53">
      <x:c r="A53" t="str">
        <x:v>476</x:v>
      </x:c>
      <x:c r="B53" t="str">
        <x:v>evrochehol.ru</x:v>
      </x:c>
      <x:c r="C53" t="e">
        <x:f>HYPERLINK("https://belberrycrm.bitrix24.ru/crm/deal/details/476/","https://belberrycrm.bitrix24.ru/crm/deal/details/476/")</x:f>
      </x:c>
      <x:c r="D53" t="str">
        <x:v>Реанимация</x:v>
      </x:c>
      <x:c r="E53" t="str">
        <x:v>ПРОДАЖИ: Отвалы</x:v>
      </x:c>
      <x:c r="F53" t="str">
        <x:v>Георгий Погосян</x:v>
      </x:c>
      <x:c r="G53" t="str">
        <x:v>нет</x:v>
      </x:c>
      <x:c r="H53" t="str">
        <x:v>нет</x:v>
      </x:c>
    </x:row>
    <x:row r="54">
      <x:c r="A54" t="str">
        <x:v>482</x:v>
      </x:c>
      <x:c r="B54" t="str">
        <x:v>expert-clinic.com</x:v>
      </x:c>
      <x:c r="C54" t="e">
        <x:f>HYPERLINK("https://belberrycrm.bitrix24.ru/crm/deal/details/482/","https://belberrycrm.bitrix24.ru/crm/deal/details/482/")</x:f>
      </x:c>
      <x:c r="D54" t="str">
        <x:v>Реанимация</x:v>
      </x:c>
      <x:c r="E54" t="str">
        <x:v>ПРОДАЖИ: Отвалы</x:v>
      </x:c>
      <x:c r="F54" t="str">
        <x:v>Георгий Погосян</x:v>
      </x:c>
      <x:c r="G54" t="str">
        <x:v>нет</x:v>
      </x:c>
      <x:c r="H54" t="str">
        <x:v>нет</x:v>
      </x:c>
    </x:row>
    <x:row r="55">
      <x:c r="A55" t="str">
        <x:v>484</x:v>
      </x:c>
      <x:c r="B55" t="str">
        <x:v>belorusds.ru</x:v>
      </x:c>
      <x:c r="C55" t="e">
        <x:f>HYPERLINK("https://belberrycrm.bitrix24.ru/crm/deal/details/484/","https://belberrycrm.bitrix24.ru/crm/deal/details/484/")</x:f>
      </x:c>
      <x:c r="D55" t="str">
        <x:v>Реанимация</x:v>
      </x:c>
      <x:c r="E55" t="str">
        <x:v>АРХИВ Общая</x:v>
      </x:c>
      <x:c r="F55" t="str">
        <x:v>Екатерина Апушкина</x:v>
      </x:c>
      <x:c r="G55" t="str">
        <x:v>нет</x:v>
      </x:c>
      <x:c r="H55" t="str">
        <x:v>нет</x:v>
      </x:c>
    </x:row>
    <x:row r="56">
      <x:c r="A56" t="str">
        <x:v>486</x:v>
      </x:c>
      <x:c r="B56" t="str">
        <x:v>msch154.ru</x:v>
      </x:c>
      <x:c r="C56" t="e">
        <x:f>HYPERLINK("https://belberrycrm.bitrix24.ru/crm/deal/details/486/","https://belberrycrm.bitrix24.ru/crm/deal/details/486/")</x:f>
      </x:c>
      <x:c r="D56" t="str">
        <x:v>Реанимация</x:v>
      </x:c>
      <x:c r="E56" t="str">
        <x:v>ПРОДАЖИ: Отвалы</x:v>
      </x:c>
      <x:c r="F56" t="str">
        <x:v>Евгений Щемелёв</x:v>
      </x:c>
      <x:c r="G56" t="str">
        <x:v>да</x:v>
      </x:c>
      <x:c r="H56" t="str">
        <x:v>нет</x:v>
      </x:c>
    </x:row>
    <x:row r="57">
      <x:c r="A57" t="str">
        <x:v>488</x:v>
      </x:c>
      <x:c r="B57" t="str">
        <x:v>drivedance.ru</x:v>
      </x:c>
      <x:c r="C57" t="e">
        <x:f>HYPERLINK("https://belberrycrm.bitrix24.ru/crm/deal/details/488/","https://belberrycrm.bitrix24.ru/crm/deal/details/488/")</x:f>
      </x:c>
      <x:c r="D57" t="str">
        <x:v>Реанимация</x:v>
      </x:c>
      <x:c r="E57" t="str">
        <x:v>АРХИВ Общая</x:v>
      </x:c>
      <x:c r="F57" t="str">
        <x:v>Екатерина Апушкина</x:v>
      </x:c>
      <x:c r="G57" t="str">
        <x:v>нет</x:v>
      </x:c>
      <x:c r="H57" t="str">
        <x:v>нет</x:v>
      </x:c>
    </x:row>
    <x:row r="58">
      <x:c r="A58" t="str">
        <x:v>496</x:v>
      </x:c>
      <x:c r="B58" t="str">
        <x:v>medica24.ru</x:v>
      </x:c>
      <x:c r="C58" t="e">
        <x:f>HYPERLINK("https://belberrycrm.bitrix24.ru/crm/deal/details/496/","https://belberrycrm.bitrix24.ru/crm/deal/details/496/")</x:f>
      </x:c>
      <x:c r="D58" t="str">
        <x:v>Реанимация</x:v>
      </x:c>
      <x:c r="E58" t="str">
        <x:v>База для реанимации</x:v>
      </x:c>
      <x:c r="F58" t="str">
        <x:v>Петр Дудин</x:v>
      </x:c>
      <x:c r="G58" t="str">
        <x:v>нет</x:v>
      </x:c>
      <x:c r="H58" t="str">
        <x:v>нет</x:v>
      </x:c>
    </x:row>
    <x:row r="59">
      <x:c r="A59" t="str">
        <x:v>498</x:v>
      </x:c>
      <x:c r="B59" t="str">
        <x:v>g-e.ru</x:v>
      </x:c>
      <x:c r="C59" t="e">
        <x:f>HYPERLINK("https://belberrycrm.bitrix24.ru/crm/deal/details/498/","https://belberrycrm.bitrix24.ru/crm/deal/details/498/")</x:f>
      </x:c>
      <x:c r="D59" t="str">
        <x:v>Реанимация</x:v>
      </x:c>
      <x:c r="E59" t="str">
        <x:v>ПРОДАЖИ: Отвалы</x:v>
      </x:c>
      <x:c r="F59" t="str">
        <x:v>Евгений Щемелёв</x:v>
      </x:c>
      <x:c r="G59" t="str">
        <x:v>нет</x:v>
      </x:c>
      <x:c r="H59" t="str">
        <x:v>нет</x:v>
      </x:c>
    </x:row>
    <x:row r="60">
      <x:c r="A60" t="str">
        <x:v>512</x:v>
      </x:c>
      <x:c r="B60" t="str">
        <x:v>apteka-ave.ru</x:v>
      </x:c>
      <x:c r="C60" t="e">
        <x:f>HYPERLINK("https://belberrycrm.bitrix24.ru/crm/deal/details/512/","https://belberrycrm.bitrix24.ru/crm/deal/details/512/")</x:f>
      </x:c>
      <x:c r="D60" t="str">
        <x:v>Реанимация</x:v>
      </x:c>
      <x:c r="E60" t="str">
        <x:v>ПРОДАЖИ: Отвалы</x:v>
      </x:c>
      <x:c r="F60" t="str">
        <x:v>Георгий Погосян</x:v>
      </x:c>
      <x:c r="G60" t="str">
        <x:v>нет</x:v>
      </x:c>
      <x:c r="H60" t="str">
        <x:v>нет</x:v>
      </x:c>
    </x:row>
    <x:row r="61">
      <x:c r="A61" t="str">
        <x:v>514</x:v>
      </x:c>
      <x:c r="B61" t="str">
        <x:v>consalt-expert.ru</x:v>
      </x:c>
      <x:c r="C61" t="e">
        <x:f>HYPERLINK("https://belberrycrm.bitrix24.ru/crm/deal/details/514/","https://belberrycrm.bitrix24.ru/crm/deal/details/514/")</x:f>
      </x:c>
      <x:c r="D61" t="str">
        <x:v>Реанимация</x:v>
      </x:c>
      <x:c r="E61" t="str">
        <x:v>ПРОДАЖИ: Отвалы</x:v>
      </x:c>
      <x:c r="F61" t="str">
        <x:v>Георгий Погосян</x:v>
      </x:c>
      <x:c r="G61" t="str">
        <x:v>нет</x:v>
      </x:c>
      <x:c r="H61" t="str">
        <x:v>нет</x:v>
      </x:c>
    </x:row>
    <x:row r="62">
      <x:c r="A62" t="str">
        <x:v>534</x:v>
      </x:c>
      <x:c r="B62" t="str">
        <x:v>ais-dent.ru</x:v>
      </x:c>
      <x:c r="C62" t="e">
        <x:f>HYPERLINK("https://belberrycrm.bitrix24.ru/crm/deal/details/534/","https://belberrycrm.bitrix24.ru/crm/deal/details/534/")</x:f>
      </x:c>
      <x:c r="D62" t="str">
        <x:v>Реанимация</x:v>
      </x:c>
      <x:c r="E62" t="str">
        <x:v>База для реанимации</x:v>
      </x:c>
      <x:c r="F62" t="str">
        <x:v>Петр Дудин</x:v>
      </x:c>
      <x:c r="G62" t="str">
        <x:v>нет</x:v>
      </x:c>
      <x:c r="H62" t="str">
        <x:v>нет</x:v>
      </x:c>
    </x:row>
    <x:row r="63">
      <x:c r="A63" t="str">
        <x:v>550</x:v>
      </x:c>
      <x:c r="B63" t="str">
        <x:v>beauty-inn.ru</x:v>
      </x:c>
      <x:c r="C63" t="e">
        <x:f>HYPERLINK("https://belberrycrm.bitrix24.ru/crm/deal/details/550/","https://belberrycrm.bitrix24.ru/crm/deal/details/550/")</x:f>
      </x:c>
      <x:c r="D63" t="str">
        <x:v>Реанимация</x:v>
      </x:c>
      <x:c r="E63" t="str">
        <x:v>ПРОДАЖИ: Отвалы</x:v>
      </x:c>
      <x:c r="F63" t="str">
        <x:v>Георгий Погосян</x:v>
      </x:c>
      <x:c r="G63" t="str">
        <x:v>нет</x:v>
      </x:c>
      <x:c r="H63" t="str">
        <x:v>нет</x:v>
      </x:c>
    </x:row>
    <x:row r="64">
      <x:c r="A64" t="str">
        <x:v>552</x:v>
      </x:c>
      <x:c r="B64" t="str">
        <x:v>medmcx.ru</x:v>
      </x:c>
      <x:c r="C64" t="e">
        <x:f>HYPERLINK("https://belberrycrm.bitrix24.ru/crm/deal/details/552/","https://belberrycrm.bitrix24.ru/crm/deal/details/552/")</x:f>
      </x:c>
      <x:c r="D64" t="str">
        <x:v>Реанимация</x:v>
      </x:c>
      <x:c r="E64" t="str">
        <x:v>ПРОДАЖИ: Отвалы</x:v>
      </x:c>
      <x:c r="F64" t="str">
        <x:v>Георгий Погосян</x:v>
      </x:c>
      <x:c r="G64" t="str">
        <x:v>да</x:v>
      </x:c>
      <x:c r="H64" t="str">
        <x:v>нет</x:v>
      </x:c>
    </x:row>
    <x:row r="65">
      <x:c r="A65" t="str">
        <x:v>568</x:v>
      </x:c>
      <x:c r="B65" t="str">
        <x:v>adnclinic.ru</x:v>
      </x:c>
      <x:c r="C65" t="e">
        <x:f>HYPERLINK("https://belberrycrm.bitrix24.ru/crm/deal/details/568/","https://belberrycrm.bitrix24.ru/crm/deal/details/568/")</x:f>
      </x:c>
      <x:c r="D65" t="str">
        <x:v>Реанимация</x:v>
      </x:c>
      <x:c r="E65" t="str">
        <x:v>ПРОДАЖИ: Отвалы</x:v>
      </x:c>
      <x:c r="F65" t="str">
        <x:v>Георгий Погосян</x:v>
      </x:c>
      <x:c r="G65" t="str">
        <x:v>да</x:v>
      </x:c>
      <x:c r="H65" t="str">
        <x:v>нет</x:v>
      </x:c>
    </x:row>
    <x:row r="66">
      <x:c r="A66" t="str">
        <x:v>574</x:v>
      </x:c>
      <x:c r="B66" t="str">
        <x:v>3d-diagnostica.ru</x:v>
      </x:c>
      <x:c r="C66" t="e">
        <x:f>HYPERLINK("https://belberrycrm.bitrix24.ru/crm/deal/details/574/","https://belberrycrm.bitrix24.ru/crm/deal/details/574/")</x:f>
      </x:c>
      <x:c r="D66" t="str">
        <x:v>Реанимация</x:v>
      </x:c>
      <x:c r="E66" t="str">
        <x:v>База для реанимации</x:v>
      </x:c>
      <x:c r="F66" t="str">
        <x:v>Петр Дудин</x:v>
      </x:c>
      <x:c r="G66" t="str">
        <x:v>нет</x:v>
      </x:c>
      <x:c r="H66" t="str">
        <x:v>нет</x:v>
      </x:c>
    </x:row>
    <x:row r="67">
      <x:c r="A67" t="str">
        <x:v>578</x:v>
      </x:c>
      <x:c r="B67" t="str">
        <x:v>salus-polus.com</x:v>
      </x:c>
      <x:c r="C67" t="e">
        <x:f>HYPERLINK("https://belberrycrm.bitrix24.ru/crm/deal/details/578/","https://belberrycrm.bitrix24.ru/crm/deal/details/578/")</x:f>
      </x:c>
      <x:c r="D67" t="str">
        <x:v>Реанимация</x:v>
      </x:c>
      <x:c r="E67" t="str">
        <x:v>ПРОДАЖИ: Отвалы</x:v>
      </x:c>
      <x:c r="F67" t="str">
        <x:v>Георгий Погосян</x:v>
      </x:c>
      <x:c r="G67" t="str">
        <x:v>нет</x:v>
      </x:c>
      <x:c r="H67" t="str">
        <x:v>нет</x:v>
      </x:c>
    </x:row>
    <x:row r="68">
      <x:c r="A68" t="str">
        <x:v>592</x:v>
      </x:c>
      <x:c r="B68" t="str">
        <x:v>салонсахар.рф</x:v>
      </x:c>
      <x:c r="C68" t="e">
        <x:f>HYPERLINK("https://belberrycrm.bitrix24.ru/crm/deal/details/592/","https://belberrycrm.bitrix24.ru/crm/deal/details/592/")</x:f>
      </x:c>
      <x:c r="D68" t="str">
        <x:v>Реанимация</x:v>
      </x:c>
      <x:c r="E68" t="str">
        <x:v>ПРОДАЖИ: Отвалы</x:v>
      </x:c>
      <x:c r="F68" t="str">
        <x:v>Георгий Погосян</x:v>
      </x:c>
      <x:c r="G68" t="str">
        <x:v>нет</x:v>
      </x:c>
      <x:c r="H68" t="str">
        <x:v>нет</x:v>
      </x:c>
    </x:row>
    <x:row r="69">
      <x:c r="A69" t="str">
        <x:v>600</x:v>
      </x:c>
      <x:c r="B69" t="str">
        <x:v>med-alfa.ru</x:v>
      </x:c>
      <x:c r="C69" t="e">
        <x:f>HYPERLINK("https://belberrycrm.bitrix24.ru/crm/deal/details/600/","https://belberrycrm.bitrix24.ru/crm/deal/details/600/")</x:f>
      </x:c>
      <x:c r="D69" t="str">
        <x:v>Реанимация</x:v>
      </x:c>
      <x:c r="E69" t="str">
        <x:v>База для реанимации</x:v>
      </x:c>
      <x:c r="F69" t="str">
        <x:v>Петр Дудин</x:v>
      </x:c>
      <x:c r="G69" t="str">
        <x:v>нет</x:v>
      </x:c>
      <x:c r="H69" t="str">
        <x:v>нет</x:v>
      </x:c>
    </x:row>
    <x:row r="70">
      <x:c r="A70" t="str">
        <x:v>618</x:v>
      </x:c>
      <x:c r="B70" t="str">
        <x:v>aruramed.ru</x:v>
      </x:c>
      <x:c r="C70" t="e">
        <x:f>HYPERLINK("https://belberrycrm.bitrix24.ru/crm/deal/details/618/","https://belberrycrm.bitrix24.ru/crm/deal/details/618/")</x:f>
      </x:c>
      <x:c r="D70" t="str">
        <x:v>Реанимация</x:v>
      </x:c>
      <x:c r="E70" t="str">
        <x:v>ПРОДАЖИ: Отвалы</x:v>
      </x:c>
      <x:c r="F70" t="str">
        <x:v>Мария Анфиногенова</x:v>
      </x:c>
      <x:c r="G70" t="str">
        <x:v>да</x:v>
      </x:c>
      <x:c r="H70" t="str">
        <x:v>нет</x:v>
      </x:c>
    </x:row>
    <x:row r="71">
      <x:c r="A71" t="str">
        <x:v>620</x:v>
      </x:c>
      <x:c r="B71" t="str">
        <x:v>alerta-clinic.ru</x:v>
      </x:c>
      <x:c r="C71" t="e">
        <x:f>HYPERLINK("https://belberrycrm.bitrix24.ru/crm/deal/details/620/","https://belberrycrm.bitrix24.ru/crm/deal/details/620/")</x:f>
      </x:c>
      <x:c r="D71" t="str">
        <x:v>Реанимация</x:v>
      </x:c>
      <x:c r="E71" t="str">
        <x:v>ПРОДАЖИ: Отвалы</x:v>
      </x:c>
      <x:c r="F71" t="str">
        <x:v>Георгий Погосян</x:v>
      </x:c>
      <x:c r="G71" t="str">
        <x:v>нет</x:v>
      </x:c>
      <x:c r="H71" t="str">
        <x:v>нет</x:v>
      </x:c>
    </x:row>
    <x:row r="72">
      <x:c r="A72" t="str">
        <x:v>670</x:v>
      </x:c>
      <x:c r="B72" t="str">
        <x:v>rc-respect.ru</x:v>
      </x:c>
      <x:c r="C72" t="e">
        <x:f>HYPERLINK("https://belberrycrm.bitrix24.ru/crm/deal/details/670/","https://belberrycrm.bitrix24.ru/crm/deal/details/670/")</x:f>
      </x:c>
      <x:c r="D72" t="str">
        <x:v>Реанимация</x:v>
      </x:c>
      <x:c r="E72" t="str">
        <x:v>База для реанимации</x:v>
      </x:c>
      <x:c r="F72" t="str">
        <x:v>Петр Дудин</x:v>
      </x:c>
      <x:c r="G72" t="str">
        <x:v>нет</x:v>
      </x:c>
      <x:c r="H72" t="str">
        <x:v>нет</x:v>
      </x:c>
    </x:row>
    <x:row r="73">
      <x:c r="A73" t="str">
        <x:v>674</x:v>
      </x:c>
      <x:c r="B73" t="str">
        <x:v>apelstom.ru</x:v>
      </x:c>
      <x:c r="C73" t="e">
        <x:f>HYPERLINK("https://belberrycrm.bitrix24.ru/crm/deal/details/674/","https://belberrycrm.bitrix24.ru/crm/deal/details/674/")</x:f>
      </x:c>
      <x:c r="D73" t="str">
        <x:v>Реанимация</x:v>
      </x:c>
      <x:c r="E73" t="str">
        <x:v>ПРОДАЖИ: Отвалы</x:v>
      </x:c>
      <x:c r="F73" t="str">
        <x:v>Георгий Погосян</x:v>
      </x:c>
      <x:c r="G73" t="str">
        <x:v>нет</x:v>
      </x:c>
      <x:c r="H73" t="str">
        <x:v>нет</x:v>
      </x:c>
    </x:row>
    <x:row r="74">
      <x:c r="A74" t="str">
        <x:v>688</x:v>
      </x:c>
      <x:c r="B74" t="str">
        <x:v>tadem.ru</x:v>
      </x:c>
      <x:c r="C74" t="e">
        <x:f>HYPERLINK("https://belberrycrm.bitrix24.ru/crm/deal/details/688/","https://belberrycrm.bitrix24.ru/crm/deal/details/688/")</x:f>
      </x:c>
      <x:c r="D74" t="str">
        <x:v>Реанимация</x:v>
      </x:c>
      <x:c r="E74" t="str">
        <x:v>ПРОДАЖИ: Отвалы</x:v>
      </x:c>
      <x:c r="F74" t="str">
        <x:v>Георгий Погосян</x:v>
      </x:c>
      <x:c r="G74" t="str">
        <x:v>нет</x:v>
      </x:c>
      <x:c r="H74" t="str">
        <x:v>нет</x:v>
      </x:c>
    </x:row>
    <x:row r="75">
      <x:c r="A75" t="str">
        <x:v>708</x:v>
      </x:c>
      <x:c r="B75" t="str">
        <x:v>cprin.ru</x:v>
      </x:c>
      <x:c r="C75" t="e">
        <x:f>HYPERLINK("https://belberrycrm.bitrix24.ru/crm/deal/details/708/","https://belberrycrm.bitrix24.ru/crm/deal/details/708/")</x:f>
      </x:c>
      <x:c r="D75" t="str">
        <x:v>Реанимация</x:v>
      </x:c>
      <x:c r="E75" t="str">
        <x:v>ПРОДАЖИ: Отвалы</x:v>
      </x:c>
      <x:c r="F75" t="str">
        <x:v>Георгий Погосян</x:v>
      </x:c>
      <x:c r="G75" t="str">
        <x:v>да</x:v>
      </x:c>
      <x:c r="H75" t="str">
        <x:v>нет</x:v>
      </x:c>
    </x:row>
    <x:row r="76">
      <x:c r="A76" t="str">
        <x:v>732</x:v>
      </x:c>
      <x:c r="B76" t="str">
        <x:v>dentadom.ru</x:v>
      </x:c>
      <x:c r="C76" t="e">
        <x:f>HYPERLINK("https://belberrycrm.bitrix24.ru/crm/deal/details/732/","https://belberrycrm.bitrix24.ru/crm/deal/details/732/")</x:f>
      </x:c>
      <x:c r="D76" t="str">
        <x:v>Реанимация</x:v>
      </x:c>
      <x:c r="E76" t="str">
        <x:v>База для реанимации</x:v>
      </x:c>
      <x:c r="F76" t="str">
        <x:v>Петр Дудин</x:v>
      </x:c>
      <x:c r="G76" t="str">
        <x:v>нет</x:v>
      </x:c>
      <x:c r="H76" t="str">
        <x:v>нет</x:v>
      </x:c>
    </x:row>
    <x:row r="77">
      <x:c r="A77" t="str">
        <x:v>738</x:v>
      </x:c>
      <x:c r="B77" t="str">
        <x:v>Re: [Ticket#19091113342585417] https://tishinka-stomat.ru: Позиции сайта по запросам понизились</x:v>
      </x:c>
      <x:c r="C77" t="e">
        <x:f>HYPERLINK("https://belberrycrm.bitrix24.ru/crm/deal/details/738/","https://belberrycrm.bitrix24.ru/crm/deal/details/738/")</x:f>
      </x:c>
      <x:c r="D77" t="str">
        <x:v>Реанимация</x:v>
      </x:c>
      <x:c r="E77" t="str">
        <x:v>База для реанимации</x:v>
      </x:c>
      <x:c r="F77" t="str">
        <x:v>Петр Дудин</x:v>
      </x:c>
      <x:c r="G77" t="str">
        <x:v>нет</x:v>
      </x:c>
      <x:c r="H77" t="str">
        <x:v>нет</x:v>
      </x:c>
    </x:row>
    <x:row r="78">
      <x:c r="A78" t="str">
        <x:v>742</x:v>
      </x:c>
      <x:c r="B78" t="str">
        <x:v>dentawest.ru</x:v>
      </x:c>
      <x:c r="C78" t="e">
        <x:f>HYPERLINK("https://belberrycrm.bitrix24.ru/crm/deal/details/742/","https://belberrycrm.bitrix24.ru/crm/deal/details/742/")</x:f>
      </x:c>
      <x:c r="D78" t="str">
        <x:v>Реанимация</x:v>
      </x:c>
      <x:c r="E78" t="str">
        <x:v>ПРОДАЖИ: Отвалы</x:v>
      </x:c>
      <x:c r="F78" t="str">
        <x:v>Георгий Погосян</x:v>
      </x:c>
      <x:c r="G78" t="str">
        <x:v>да</x:v>
      </x:c>
      <x:c r="H78" t="str">
        <x:v>нет</x:v>
      </x:c>
    </x:row>
    <x:row r="79">
      <x:c r="A79" t="str">
        <x:v>750</x:v>
      </x:c>
      <x:c r="B79" t="str">
        <x:v>diaks-cosmetology.ru</x:v>
      </x:c>
      <x:c r="C79" t="e">
        <x:f>HYPERLINK("https://belberrycrm.bitrix24.ru/crm/deal/details/750/","https://belberrycrm.bitrix24.ru/crm/deal/details/750/")</x:f>
      </x:c>
      <x:c r="D79" t="str">
        <x:v>Реанимация</x:v>
      </x:c>
      <x:c r="E79" t="str">
        <x:v>ПРОДАЖИ: Отвалы</x:v>
      </x:c>
      <x:c r="F79" t="str">
        <x:v>Георгий Погосян</x:v>
      </x:c>
      <x:c r="G79" t="str">
        <x:v>нет</x:v>
      </x:c>
      <x:c r="H79" t="str">
        <x:v>нет</x:v>
      </x:c>
    </x:row>
    <x:row r="80">
      <x:c r="A80" t="str">
        <x:v>764</x:v>
      </x:c>
      <x:c r="B80" t="str">
        <x:v>doktorplus.su</x:v>
      </x:c>
      <x:c r="C80" t="e">
        <x:f>HYPERLINK("https://belberrycrm.bitrix24.ru/crm/deal/details/764/","https://belberrycrm.bitrix24.ru/crm/deal/details/764/")</x:f>
      </x:c>
      <x:c r="D80" t="str">
        <x:v>Реанимация</x:v>
      </x:c>
      <x:c r="E80" t="str">
        <x:v>ПРОДАЖИ: Отвалы</x:v>
      </x:c>
      <x:c r="F80" t="str">
        <x:v>Георгий Погосян</x:v>
      </x:c>
      <x:c r="G80" t="str">
        <x:v>нет</x:v>
      </x:c>
      <x:c r="H80" t="str">
        <x:v>нет</x:v>
      </x:c>
    </x:row>
    <x:row r="81">
      <x:c r="A81" t="str">
        <x:v>766</x:v>
      </x:c>
      <x:c r="B81" t="str">
        <x:v>budetpups.ru</x:v>
      </x:c>
      <x:c r="C81" t="e">
        <x:f>HYPERLINK("https://belberrycrm.bitrix24.ru/crm/deal/details/766/","https://belberrycrm.bitrix24.ru/crm/deal/details/766/")</x:f>
      </x:c>
      <x:c r="D81" t="str">
        <x:v>Реанимация</x:v>
      </x:c>
      <x:c r="E81" t="str">
        <x:v>ПРОДАЖИ: Отвалы</x:v>
      </x:c>
      <x:c r="F81" t="str">
        <x:v>Иван Халин</x:v>
      </x:c>
      <x:c r="G81" t="str">
        <x:v>да</x:v>
      </x:c>
      <x:c r="H81" t="str">
        <x:v>нет</x:v>
      </x:c>
    </x:row>
    <x:row r="82">
      <x:c r="A82" t="str">
        <x:v>784</x:v>
      </x:c>
      <x:c r="B82" t="str">
        <x:v>eaclinic.ru</x:v>
      </x:c>
      <x:c r="C82" t="e">
        <x:f>HYPERLINK("https://belberrycrm.bitrix24.ru/crm/deal/details/784/","https://belberrycrm.bitrix24.ru/crm/deal/details/784/")</x:f>
      </x:c>
      <x:c r="D82" t="str">
        <x:v>Реанимация</x:v>
      </x:c>
      <x:c r="E82" t="str">
        <x:v>ПРОДАЖИ: Отвалы</x:v>
      </x:c>
      <x:c r="F82" t="str">
        <x:v>Георгий Погосян</x:v>
      </x:c>
      <x:c r="G82" t="str">
        <x:v>нет</x:v>
      </x:c>
      <x:c r="H82" t="str">
        <x:v>нет</x:v>
      </x:c>
    </x:row>
    <x:row r="83">
      <x:c r="A83" t="str">
        <x:v>786</x:v>
      </x:c>
      <x:c r="B83" t="str">
        <x:v>dtstudio.ru</x:v>
      </x:c>
      <x:c r="C83" t="e">
        <x:f>HYPERLINK("https://belberrycrm.bitrix24.ru/crm/deal/details/786/","https://belberrycrm.bitrix24.ru/crm/deal/details/786/")</x:f>
      </x:c>
      <x:c r="D83" t="str">
        <x:v>Реанимация</x:v>
      </x:c>
      <x:c r="E83" t="str">
        <x:v>ПРОДАЖИ: Отвалы</x:v>
      </x:c>
      <x:c r="F83" t="str">
        <x:v>Георгий Погосян</x:v>
      </x:c>
      <x:c r="G83" t="str">
        <x:v>нет</x:v>
      </x:c>
      <x:c r="H83" t="str">
        <x:v>нет</x:v>
      </x:c>
    </x:row>
    <x:row r="84">
      <x:c r="A84" t="str">
        <x:v>792</x:v>
      </x:c>
      <x:c r="B84" t="str">
        <x:v>dvrzdrav.ru</x:v>
      </x:c>
      <x:c r="C84" t="e">
        <x:f>HYPERLINK("https://belberrycrm.bitrix24.ru/crm/deal/details/792/","https://belberrycrm.bitrix24.ru/crm/deal/details/792/")</x:f>
      </x:c>
      <x:c r="D84" t="str">
        <x:v>Реанимация</x:v>
      </x:c>
      <x:c r="E84" t="str">
        <x:v>ПРОДАЖИ: Отвалы</x:v>
      </x:c>
      <x:c r="F84" t="str">
        <x:v>Георгий Погосян</x:v>
      </x:c>
      <x:c r="G84" t="str">
        <x:v>нет</x:v>
      </x:c>
      <x:c r="H84" t="str">
        <x:v>нет</x:v>
      </x:c>
    </x:row>
    <x:row r="85">
      <x:c r="A85" t="str">
        <x:v>802</x:v>
      </x:c>
      <x:c r="B85" t="str">
        <x:v>cnds.ru</x:v>
      </x:c>
      <x:c r="C85" t="e">
        <x:f>HYPERLINK("https://belberrycrm.bitrix24.ru/crm/deal/details/802/","https://belberrycrm.bitrix24.ru/crm/deal/details/802/")</x:f>
      </x:c>
      <x:c r="D85" t="str">
        <x:v>Реанимация</x:v>
      </x:c>
      <x:c r="E85" t="str">
        <x:v>ПРОДАЖИ: Отвалы</x:v>
      </x:c>
      <x:c r="F85" t="str">
        <x:v>Георгий Погосян</x:v>
      </x:c>
      <x:c r="G85" t="str">
        <x:v>нет</x:v>
      </x:c>
      <x:c r="H85" t="str">
        <x:v>нет</x:v>
      </x:c>
    </x:row>
    <x:row r="86">
      <x:c r="A86" t="str">
        <x:v>812</x:v>
      </x:c>
      <x:c r="B86" t="str">
        <x:v>doctorhiller.com</x:v>
      </x:c>
      <x:c r="C86" t="e">
        <x:f>HYPERLINK("https://belberrycrm.bitrix24.ru/crm/deal/details/812/","https://belberrycrm.bitrix24.ru/crm/deal/details/812/")</x:f>
      </x:c>
      <x:c r="D86" t="str">
        <x:v>Реанимация</x:v>
      </x:c>
      <x:c r="E86" t="str">
        <x:v>База для реанимации</x:v>
      </x:c>
      <x:c r="F86" t="str">
        <x:v>Петр Дудин</x:v>
      </x:c>
      <x:c r="G86" t="str">
        <x:v>нет</x:v>
      </x:c>
      <x:c r="H86" t="str">
        <x:v>нет</x:v>
      </x:c>
    </x:row>
    <x:row r="87">
      <x:c r="A87" t="str">
        <x:v>814</x:v>
      </x:c>
      <x:c r="B87" t="str">
        <x:v>dominident.ru</x:v>
      </x:c>
      <x:c r="C87" t="e">
        <x:f>HYPERLINK("https://belberrycrm.bitrix24.ru/crm/deal/details/814/","https://belberrycrm.bitrix24.ru/crm/deal/details/814/")</x:f>
      </x:c>
      <x:c r="D87" t="str">
        <x:v>Реанимация</x:v>
      </x:c>
      <x:c r="E87" t="str">
        <x:v>ПРОДАЖИ: Отвалы</x:v>
      </x:c>
      <x:c r="F87" t="str">
        <x:v>Георгий Погосян</x:v>
      </x:c>
      <x:c r="G87" t="str">
        <x:v>нет</x:v>
      </x:c>
      <x:c r="H87" t="str">
        <x:v>нет</x:v>
      </x:c>
    </x:row>
    <x:row r="88">
      <x:c r="A88" t="str">
        <x:v>816</x:v>
      </x:c>
      <x:c r="B88" t="str">
        <x:v>drliman-clinic.ru</x:v>
      </x:c>
      <x:c r="C88" t="e">
        <x:f>HYPERLINK("https://belberrycrm.bitrix24.ru/crm/deal/details/816/","https://belberrycrm.bitrix24.ru/crm/deal/details/816/")</x:f>
      </x:c>
      <x:c r="D88" t="str">
        <x:v>Реанимация</x:v>
      </x:c>
      <x:c r="E88" t="str">
        <x:v>ПРОДАЖИ: Отвалы</x:v>
      </x:c>
      <x:c r="F88" t="str">
        <x:v>Георгий Погосян</x:v>
      </x:c>
      <x:c r="G88" t="str">
        <x:v>да</x:v>
      </x:c>
      <x:c r="H88" t="str">
        <x:v>нет</x:v>
      </x:c>
    </x:row>
    <x:row r="89">
      <x:c r="A89" t="str">
        <x:v>864</x:v>
      </x:c>
      <x:c r="B89" t="str">
        <x:v>n185.medklnk.ru</x:v>
      </x:c>
      <x:c r="C89" t="e">
        <x:f>HYPERLINK("https://belberrycrm.bitrix24.ru/crm/deal/details/864/","https://belberrycrm.bitrix24.ru/crm/deal/details/864/")</x:f>
      </x:c>
      <x:c r="D89" t="str">
        <x:v>Реанимация</x:v>
      </x:c>
      <x:c r="E89" t="str">
        <x:v>ПРОДАЖИ: Отвалы</x:v>
      </x:c>
      <x:c r="F89" t="str">
        <x:v>Георгий Погосян</x:v>
      </x:c>
      <x:c r="G89" t="str">
        <x:v>нет</x:v>
      </x:c>
      <x:c r="H89" t="str">
        <x:v>нет</x:v>
      </x:c>
    </x:row>
    <x:row r="90">
      <x:c r="A90" t="str">
        <x:v>868</x:v>
      </x:c>
      <x:c r="B90" t="str">
        <x:v>medprime.info</x:v>
      </x:c>
      <x:c r="C90" t="e">
        <x:f>HYPERLINK("https://belberrycrm.bitrix24.ru/crm/deal/details/868/","https://belberrycrm.bitrix24.ru/crm/deal/details/868/")</x:f>
      </x:c>
      <x:c r="D90" t="str">
        <x:v>Реанимация</x:v>
      </x:c>
      <x:c r="E90" t="str">
        <x:v>ПРОДАЖИ: Отвалы</x:v>
      </x:c>
      <x:c r="F90" t="str">
        <x:v>Георгий Погосян</x:v>
      </x:c>
      <x:c r="G90" t="str">
        <x:v>нет</x:v>
      </x:c>
      <x:c r="H90" t="str">
        <x:v>нет</x:v>
      </x:c>
    </x:row>
    <x:row r="91">
      <x:c r="A91" t="str">
        <x:v>892</x:v>
      </x:c>
      <x:c r="B91" t="str">
        <x:v>benessere.ru</x:v>
      </x:c>
      <x:c r="C91" t="e">
        <x:f>HYPERLINK("https://belberrycrm.bitrix24.ru/crm/deal/details/892/","https://belberrycrm.bitrix24.ru/crm/deal/details/892/")</x:f>
      </x:c>
      <x:c r="D91" t="str">
        <x:v>Реанимация</x:v>
      </x:c>
      <x:c r="E91" t="str">
        <x:v>База для реанимации</x:v>
      </x:c>
      <x:c r="F91" t="str">
        <x:v>Петр Дудин</x:v>
      </x:c>
      <x:c r="G91" t="str">
        <x:v>нет</x:v>
      </x:c>
      <x:c r="H91" t="str">
        <x:v>нет</x:v>
      </x:c>
    </x:row>
    <x:row r="92">
      <x:c r="A92" t="str">
        <x:v>902</x:v>
      </x:c>
      <x:c r="B92" t="str">
        <x:v>alliance-f.ru</x:v>
      </x:c>
      <x:c r="C92" t="e">
        <x:f>HYPERLINK("https://belberrycrm.bitrix24.ru/crm/deal/details/902/","https://belberrycrm.bitrix24.ru/crm/deal/details/902/")</x:f>
      </x:c>
      <x:c r="D92" t="str">
        <x:v>Реанимация</x:v>
      </x:c>
      <x:c r="E92" t="str">
        <x:v>ПРОДАЖИ: Отвалы</x:v>
      </x:c>
      <x:c r="F92" t="str">
        <x:v>Георгий Погосян</x:v>
      </x:c>
      <x:c r="G92" t="str">
        <x:v>нет</x:v>
      </x:c>
      <x:c r="H92" t="str">
        <x:v>нет</x:v>
      </x:c>
    </x:row>
    <x:row r="93">
      <x:c r="A93" t="str">
        <x:v>912</x:v>
      </x:c>
      <x:c r="B93" t="str">
        <x:v>клиника-маммологии.рф</x:v>
      </x:c>
      <x:c r="C93" t="e">
        <x:f>HYPERLINK("https://belberrycrm.bitrix24.ru/crm/deal/details/912/","https://belberrycrm.bitrix24.ru/crm/deal/details/912/")</x:f>
      </x:c>
      <x:c r="D93" t="str">
        <x:v>Реанимация</x:v>
      </x:c>
      <x:c r="E93" t="str">
        <x:v>ПРОДАЖИ: Отвалы</x:v>
      </x:c>
      <x:c r="F93" t="str">
        <x:v>Георгий Погосян</x:v>
      </x:c>
      <x:c r="G93" t="str">
        <x:v>нет</x:v>
      </x:c>
      <x:c r="H93" t="str">
        <x:v>нет</x:v>
      </x:c>
    </x:row>
    <x:row r="94">
      <x:c r="A94" t="str">
        <x:v>914</x:v>
      </x:c>
      <x:c r="B94" t="str">
        <x:v>remedgroup.ru</x:v>
      </x:c>
      <x:c r="C94" t="e">
        <x:f>HYPERLINK("https://belberrycrm.bitrix24.ru/crm/deal/details/914/","https://belberrycrm.bitrix24.ru/crm/deal/details/914/")</x:f>
      </x:c>
      <x:c r="D94" t="str">
        <x:v>Реанимация</x:v>
      </x:c>
      <x:c r="E94" t="str">
        <x:v>ПРОДАЖИ: Отвалы</x:v>
      </x:c>
      <x:c r="F94" t="str">
        <x:v>Георгий Погосян</x:v>
      </x:c>
      <x:c r="G94" t="str">
        <x:v>нет</x:v>
      </x:c>
      <x:c r="H94" t="str">
        <x:v>нет</x:v>
      </x:c>
    </x:row>
    <x:row r="95">
      <x:c r="A95" t="str">
        <x:v>918</x:v>
      </x:c>
      <x:c r="B95" t="str">
        <x:v>petrovka20-med.ru</x:v>
      </x:c>
      <x:c r="C95" t="e">
        <x:f>HYPERLINK("https://belberrycrm.bitrix24.ru/crm/deal/details/918/","https://belberrycrm.bitrix24.ru/crm/deal/details/918/")</x:f>
      </x:c>
      <x:c r="D95" t="str">
        <x:v>Реанимация</x:v>
      </x:c>
      <x:c r="E95" t="str">
        <x:v>ПРОДАЖИ: Отвалы</x:v>
      </x:c>
      <x:c r="F95" t="str">
        <x:v>Георгий Погосян</x:v>
      </x:c>
      <x:c r="G95" t="str">
        <x:v>нет</x:v>
      </x:c>
      <x:c r="H95" t="str">
        <x:v>нет</x:v>
      </x:c>
    </x:row>
    <x:row r="96">
      <x:c r="A96" t="str">
        <x:v>922</x:v>
      </x:c>
      <x:c r="B96" t="str">
        <x:v>artnouveau-clinic.ru</x:v>
      </x:c>
      <x:c r="C96" t="e">
        <x:f>HYPERLINK("https://belberrycrm.bitrix24.ru/crm/deal/details/922/","https://belberrycrm.bitrix24.ru/crm/deal/details/922/")</x:f>
      </x:c>
      <x:c r="D96" t="str">
        <x:v>Реанимация</x:v>
      </x:c>
      <x:c r="E96" t="str">
        <x:v>ПРОДАЖИ: Отвалы</x:v>
      </x:c>
      <x:c r="F96" t="str">
        <x:v>Георгий Погосян</x:v>
      </x:c>
      <x:c r="G96" t="str">
        <x:v>нет</x:v>
      </x:c>
      <x:c r="H96" t="str">
        <x:v>нет</x:v>
      </x:c>
    </x:row>
    <x:row r="97">
      <x:c r="A97" t="str">
        <x:v>956</x:v>
      </x:c>
      <x:c r="B97" t="str">
        <x:v>medcentr-moskovia.ru</x:v>
      </x:c>
      <x:c r="C97" t="e">
        <x:f>HYPERLINK("https://belberrycrm.bitrix24.ru/crm/deal/details/956/","https://belberrycrm.bitrix24.ru/crm/deal/details/956/")</x:f>
      </x:c>
      <x:c r="D97" t="str">
        <x:v>Реанимация</x:v>
      </x:c>
      <x:c r="E97" t="str">
        <x:v>ПРОДАЖИ: Отвалы</x:v>
      </x:c>
      <x:c r="F97" t="str">
        <x:v>Георгий Погосян</x:v>
      </x:c>
      <x:c r="G97" t="str">
        <x:v>нет</x:v>
      </x:c>
      <x:c r="H97" t="str">
        <x:v>нет</x:v>
      </x:c>
    </x:row>
    <x:row r="98">
      <x:c r="A98" t="str">
        <x:v>964</x:v>
      </x:c>
      <x:c r="B98" t="str">
        <x:v>murasclinic.ru</x:v>
      </x:c>
      <x:c r="C98" t="e">
        <x:f>HYPERLINK("https://belberrycrm.bitrix24.ru/crm/deal/details/964/","https://belberrycrm.bitrix24.ru/crm/deal/details/964/")</x:f>
      </x:c>
      <x:c r="D98" t="str">
        <x:v>Реанимация</x:v>
      </x:c>
      <x:c r="E98" t="str">
        <x:v>ПРОДАЖИ: Отвалы</x:v>
      </x:c>
      <x:c r="F98" t="str">
        <x:v>Георгий Погосян</x:v>
      </x:c>
      <x:c r="G98" t="str">
        <x:v>нет</x:v>
      </x:c>
      <x:c r="H98" t="str">
        <x:v>нет</x:v>
      </x:c>
    </x:row>
    <x:row r="99">
      <x:c r="A99" t="str">
        <x:v>984</x:v>
      </x:c>
      <x:c r="B99" t="str">
        <x:v>clinichelp.ru</x:v>
      </x:c>
      <x:c r="C99" t="e">
        <x:f>HYPERLINK("https://belberrycrm.bitrix24.ru/crm/deal/details/984/","https://belberrycrm.bitrix24.ru/crm/deal/details/984/")</x:f>
      </x:c>
      <x:c r="D99" t="str">
        <x:v>Реанимация</x:v>
      </x:c>
      <x:c r="E99" t="str">
        <x:v>ПРОДАЖИ: Отвалы</x:v>
      </x:c>
      <x:c r="F99" t="str">
        <x:v>Георгий Погосян</x:v>
      </x:c>
      <x:c r="G99" t="str">
        <x:v>нет</x:v>
      </x:c>
      <x:c r="H99" t="str">
        <x:v>нет</x:v>
      </x:c>
    </x:row>
    <x:row r="100">
      <x:c r="A100" t="str">
        <x:v>998</x:v>
      </x:c>
      <x:c r="B100" t="str">
        <x:v>zubnoidoctor.ru</x:v>
      </x:c>
      <x:c r="C100" t="e">
        <x:f>HYPERLINK("https://belberrycrm.bitrix24.ru/crm/deal/details/998/","https://belberrycrm.bitrix24.ru/crm/deal/details/998/")</x:f>
      </x:c>
      <x:c r="D100" t="str">
        <x:v>Реанимация</x:v>
      </x:c>
      <x:c r="E100" t="str">
        <x:v>ПРОДАЖИ: Отвалы</x:v>
      </x:c>
      <x:c r="F100" t="str">
        <x:v>Георгий Погосян</x:v>
      </x:c>
      <x:c r="G100" t="str">
        <x:v>да</x:v>
      </x:c>
      <x:c r="H100" t="str">
        <x:v>нет</x:v>
      </x:c>
    </x:row>
    <x:row r="101">
      <x:c r="A101" t="str">
        <x:v>1002</x:v>
      </x:c>
      <x:c r="B101" t="str">
        <x:v>zubki.pro</x:v>
      </x:c>
      <x:c r="C101" t="e">
        <x:f>HYPERLINK("https://belberrycrm.bitrix24.ru/crm/deal/details/1002/","https://belberrycrm.bitrix24.ru/crm/deal/details/1002/")</x:f>
      </x:c>
      <x:c r="D101" t="str">
        <x:v>Реанимация</x:v>
      </x:c>
      <x:c r="E101" t="str">
        <x:v>База для реанимации</x:v>
      </x:c>
      <x:c r="F101" t="str">
        <x:v>Петр Дудин</x:v>
      </x:c>
      <x:c r="G101" t="str">
        <x:v>нет</x:v>
      </x:c>
      <x:c r="H101" t="str">
        <x:v>нет</x:v>
      </x:c>
    </x:row>
    <x:row r="102">
      <x:c r="A102" t="str">
        <x:v>1014</x:v>
      </x:c>
      <x:c r="B102" t="str">
        <x:v>zub.ru</x:v>
      </x:c>
      <x:c r="C102" t="e">
        <x:f>HYPERLINK("https://belberrycrm.bitrix24.ru/crm/deal/details/1014/","https://belberrycrm.bitrix24.ru/crm/deal/details/1014/")</x:f>
      </x:c>
      <x:c r="D102" t="str">
        <x:v>Реанимация</x:v>
      </x:c>
      <x:c r="E102" t="str">
        <x:v>ПРОДАЖИ: Отвалы</x:v>
      </x:c>
      <x:c r="F102" t="str">
        <x:v>Георгий Погосян</x:v>
      </x:c>
      <x:c r="G102" t="str">
        <x:v>нет</x:v>
      </x:c>
      <x:c r="H102" t="str">
        <x:v>нет</x:v>
      </x:c>
    </x:row>
    <x:row r="103">
      <x:c r="A103" t="str">
        <x:v>1026</x:v>
      </x:c>
      <x:c r="B103" t="str">
        <x:v>zdorov500.ru</x:v>
      </x:c>
      <x:c r="C103" t="e">
        <x:f>HYPERLINK("https://belberrycrm.bitrix24.ru/crm/deal/details/1026/","https://belberrycrm.bitrix24.ru/crm/deal/details/1026/")</x:f>
      </x:c>
      <x:c r="D103" t="str">
        <x:v>Реанимация</x:v>
      </x:c>
      <x:c r="E103" t="str">
        <x:v>ПРОДАЖИ: Отвалы</x:v>
      </x:c>
      <x:c r="F103" t="str">
        <x:v>Иван Халин</x:v>
      </x:c>
      <x:c r="G103" t="str">
        <x:v>нет</x:v>
      </x:c>
      <x:c r="H103" t="str">
        <x:v>нет</x:v>
      </x:c>
    </x:row>
    <x:row r="104">
      <x:c r="A104" t="str">
        <x:v>1030</x:v>
      </x:c>
      <x:c r="B104" t="str">
        <x:v>yakovlev-clinic.ru</x:v>
      </x:c>
      <x:c r="C104" t="e">
        <x:f>HYPERLINK("https://belberrycrm.bitrix24.ru/crm/deal/details/1030/","https://belberrycrm.bitrix24.ru/crm/deal/details/1030/")</x:f>
      </x:c>
      <x:c r="D104" t="str">
        <x:v>Реанимация</x:v>
      </x:c>
      <x:c r="E104" t="str">
        <x:v>ПРОДАЖИ: Отвалы</x:v>
      </x:c>
      <x:c r="F104" t="str">
        <x:v>Георгий Погосян</x:v>
      </x:c>
      <x:c r="G104" t="str">
        <x:v>нет</x:v>
      </x:c>
      <x:c r="H104" t="str">
        <x:v>нет</x:v>
      </x:c>
    </x:row>
    <x:row r="105">
      <x:c r="A105" t="str">
        <x:v>1034</x:v>
      </x:c>
      <x:c r="B105" t="str">
        <x:v>zybuk.ru</x:v>
      </x:c>
      <x:c r="C105" t="e">
        <x:f>HYPERLINK("https://belberrycrm.bitrix24.ru/crm/deal/details/1034/","https://belberrycrm.bitrix24.ru/crm/deal/details/1034/")</x:f>
      </x:c>
      <x:c r="D105" t="str">
        <x:v>Реанимация</x:v>
      </x:c>
      <x:c r="E105" t="str">
        <x:v>ПРОДАЖИ: Отвалы</x:v>
      </x:c>
      <x:c r="F105" t="str">
        <x:v>Георгий Погосян</x:v>
      </x:c>
      <x:c r="G105" t="str">
        <x:v>да</x:v>
      </x:c>
      <x:c r="H105" t="str">
        <x:v>нет</x:v>
      </x:c>
    </x:row>
    <x:row r="106">
      <x:c r="A106" t="str">
        <x:v>1054</x:v>
      </x:c>
      <x:c r="B106" t="str">
        <x:v>welcomediet.ru</x:v>
      </x:c>
      <x:c r="C106" t="e">
        <x:f>HYPERLINK("https://belberrycrm.bitrix24.ru/crm/deal/details/1054/","https://belberrycrm.bitrix24.ru/crm/deal/details/1054/")</x:f>
      </x:c>
      <x:c r="D106" t="str">
        <x:v>Реанимация</x:v>
      </x:c>
      <x:c r="E106" t="str">
        <x:v>ПРОДАЖИ: Отвалы</x:v>
      </x:c>
      <x:c r="F106" t="str">
        <x:v>Георгий Погосян</x:v>
      </x:c>
      <x:c r="G106" t="str">
        <x:v>нет</x:v>
      </x:c>
      <x:c r="H106" t="str">
        <x:v>нет</x:v>
      </x:c>
    </x:row>
    <x:row r="107">
      <x:c r="A107" t="str">
        <x:v>1058</x:v>
      </x:c>
      <x:c r="B107" t="str">
        <x:v>v-doctor.ru</x:v>
      </x:c>
      <x:c r="C107" t="e">
        <x:f>HYPERLINK("https://belberrycrm.bitrix24.ru/crm/deal/details/1058/","https://belberrycrm.bitrix24.ru/crm/deal/details/1058/")</x:f>
      </x:c>
      <x:c r="D107" t="str">
        <x:v>Реанимация</x:v>
      </x:c>
      <x:c r="E107" t="str">
        <x:v>ПРОДАЖИ: Отвалы</x:v>
      </x:c>
      <x:c r="F107" t="str">
        <x:v>Иван Халин</x:v>
      </x:c>
      <x:c r="G107" t="str">
        <x:v>нет</x:v>
      </x:c>
      <x:c r="H107" t="str">
        <x:v>нет</x:v>
      </x:c>
    </x:row>
    <x:row r="108">
      <x:c r="A108" t="str">
        <x:v>1062</x:v>
      </x:c>
      <x:c r="B108" t="str">
        <x:v>omc-2000.ru</x:v>
      </x:c>
      <x:c r="C108" t="e">
        <x:f>HYPERLINK("https://belberrycrm.bitrix24.ru/crm/deal/details/1062/","https://belberrycrm.bitrix24.ru/crm/deal/details/1062/")</x:f>
      </x:c>
      <x:c r="D108" t="str">
        <x:v>Реанимация</x:v>
      </x:c>
      <x:c r="E108" t="str">
        <x:v>ПРОДАЖИ: Отвалы</x:v>
      </x:c>
      <x:c r="F108" t="str">
        <x:v>Георгий Погосян</x:v>
      </x:c>
      <x:c r="G108" t="str">
        <x:v>да</x:v>
      </x:c>
      <x:c r="H108" t="str">
        <x:v>нет</x:v>
      </x:c>
    </x:row>
    <x:row r="109">
      <x:c r="A109" t="str">
        <x:v>1074</x:v>
      </x:c>
      <x:c r="B109" t="str">
        <x:v>golianovodentomed.ru</x:v>
      </x:c>
      <x:c r="C109" t="e">
        <x:f>HYPERLINK("https://belberrycrm.bitrix24.ru/crm/deal/details/1074/","https://belberrycrm.bitrix24.ru/crm/deal/details/1074/")</x:f>
      </x:c>
      <x:c r="D109" t="str">
        <x:v>Реанимация</x:v>
      </x:c>
      <x:c r="E109" t="str">
        <x:v>ПРОДАЖИ: Отвалы</x:v>
      </x:c>
      <x:c r="F109" t="str">
        <x:v>Георгий Погосян</x:v>
      </x:c>
      <x:c r="G109" t="str">
        <x:v>нет</x:v>
      </x:c>
      <x:c r="H109" t="str">
        <x:v>нет</x:v>
      </x:c>
    </x:row>
    <x:row r="110">
      <x:c r="A110" t="str">
        <x:v>1080</x:v>
      </x:c>
      <x:c r="B110" t="str">
        <x:v>sdkn.ru</x:v>
      </x:c>
      <x:c r="C110" t="e">
        <x:f>HYPERLINK("https://belberrycrm.bitrix24.ru/crm/deal/details/1080/","https://belberrycrm.bitrix24.ru/crm/deal/details/1080/")</x:f>
      </x:c>
      <x:c r="D110" t="str">
        <x:v>Реанимация</x:v>
      </x:c>
      <x:c r="E110" t="str">
        <x:v>ПРОДАЖИ: Отвалы</x:v>
      </x:c>
      <x:c r="F110" t="str">
        <x:v>Георгий Погосян</x:v>
      </x:c>
      <x:c r="G110" t="str">
        <x:v>да</x:v>
      </x:c>
      <x:c r="H110" t="str">
        <x:v>нет</x:v>
      </x:c>
    </x:row>
    <x:row r="111">
      <x:c r="A111" t="str">
        <x:v>1082</x:v>
      </x:c>
      <x:c r="B111" t="str">
        <x:v>sdoctor.ru</x:v>
      </x:c>
      <x:c r="C111" t="e">
        <x:f>HYPERLINK("https://belberrycrm.bitrix24.ru/crm/deal/details/1082/","https://belberrycrm.bitrix24.ru/crm/deal/details/1082/")</x:f>
      </x:c>
      <x:c r="D111" t="str">
        <x:v>Реанимация</x:v>
      </x:c>
      <x:c r="E111" t="str">
        <x:v>ПРОДАЖИ: Отвалы</x:v>
      </x:c>
      <x:c r="F111" t="str">
        <x:v>Георгий Погосян</x:v>
      </x:c>
      <x:c r="G111" t="str">
        <x:v>нет</x:v>
      </x:c>
      <x:c r="H111" t="str">
        <x:v>нет</x:v>
      </x:c>
    </x:row>
    <x:row r="112">
      <x:c r="A112" t="str">
        <x:v>1088</x:v>
      </x:c>
      <x:c r="B112" t="str">
        <x:v>ne-bolno.com</x:v>
      </x:c>
      <x:c r="C112" t="e">
        <x:f>HYPERLINK("https://belberrycrm.bitrix24.ru/crm/deal/details/1088/","https://belberrycrm.bitrix24.ru/crm/deal/details/1088/")</x:f>
      </x:c>
      <x:c r="D112" t="str">
        <x:v>Реанимация</x:v>
      </x:c>
      <x:c r="E112" t="str">
        <x:v>ПРОДАЖИ: Отвалы</x:v>
      </x:c>
      <x:c r="F112" t="str">
        <x:v>Георгий Погосян</x:v>
      </x:c>
      <x:c r="G112" t="str">
        <x:v>нет</x:v>
      </x:c>
      <x:c r="H112" t="str">
        <x:v>нет</x:v>
      </x:c>
    </x:row>
    <x:row r="113">
      <x:c r="A113" t="str">
        <x:v>1112</x:v>
      </x:c>
      <x:c r="B113" t="str">
        <x:v>r-life.org</x:v>
      </x:c>
      <x:c r="C113" t="e">
        <x:f>HYPERLINK("https://belberrycrm.bitrix24.ru/crm/deal/details/1112/","https://belberrycrm.bitrix24.ru/crm/deal/details/1112/")</x:f>
      </x:c>
      <x:c r="D113" t="str">
        <x:v>Реанимация</x:v>
      </x:c>
      <x:c r="E113" t="str">
        <x:v>ПРОДАЖИ: Отвалы</x:v>
      </x:c>
      <x:c r="F113" t="str">
        <x:v>Георгий Погосян</x:v>
      </x:c>
      <x:c r="G113" t="str">
        <x:v>нет</x:v>
      </x:c>
      <x:c r="H113" t="str">
        <x:v>нет</x:v>
      </x:c>
    </x:row>
    <x:row r="114">
      <x:c r="A114" t="str">
        <x:v>1124</x:v>
      </x:c>
      <x:c r="B114" t="str">
        <x:v>Gerdun Lab</x:v>
      </x:c>
      <x:c r="C114" t="e">
        <x:f>HYPERLINK("https://belberrycrm.bitrix24.ru/crm/deal/details/1124/","https://belberrycrm.bitrix24.ru/crm/deal/details/1124/")</x:f>
      </x:c>
      <x:c r="D114" t="str">
        <x:v>Реанимация</x:v>
      </x:c>
      <x:c r="E114" t="str">
        <x:v>ПРОДАЖИ: Отвалы</x:v>
      </x:c>
      <x:c r="F114" t="str">
        <x:v>Екатерина Федоренко</x:v>
      </x:c>
      <x:c r="G114" t="str">
        <x:v>нет</x:v>
      </x:c>
      <x:c r="H114" t="str">
        <x:v>нет</x:v>
      </x:c>
    </x:row>
    <x:row r="115">
      <x:c r="A115" t="str">
        <x:v>1130</x:v>
      </x:c>
      <x:c r="B115" t="str">
        <x:v>o-baranova.ru</x:v>
      </x:c>
      <x:c r="C115" t="e">
        <x:f>HYPERLINK("https://belberrycrm.bitrix24.ru/crm/deal/details/1130/","https://belberrycrm.bitrix24.ru/crm/deal/details/1130/")</x:f>
      </x:c>
      <x:c r="D115" t="str">
        <x:v>Реанимация</x:v>
      </x:c>
      <x:c r="E115" t="str">
        <x:v>ПРОДАЖИ: Отвалы</x:v>
      </x:c>
      <x:c r="F115" t="str">
        <x:v>Георгий Погосян</x:v>
      </x:c>
      <x:c r="G115" t="str">
        <x:v>нет</x:v>
      </x:c>
      <x:c r="H115" t="str">
        <x:v>нет</x:v>
      </x:c>
    </x:row>
    <x:row r="116">
      <x:c r="A116" t="str">
        <x:v>1132</x:v>
      </x:c>
      <x:c r="B116" t="str">
        <x:v>orangestom.ru</x:v>
      </x:c>
      <x:c r="C116" t="e">
        <x:f>HYPERLINK("https://belberrycrm.bitrix24.ru/crm/deal/details/1132/","https://belberrycrm.bitrix24.ru/crm/deal/details/1132/")</x:f>
      </x:c>
      <x:c r="D116" t="str">
        <x:v>Реанимация</x:v>
      </x:c>
      <x:c r="E116" t="str">
        <x:v>ПРОДАЖИ: Отвалы</x:v>
      </x:c>
      <x:c r="F116" t="str">
        <x:v>Иван Халин</x:v>
      </x:c>
      <x:c r="G116" t="str">
        <x:v>нет</x:v>
      </x:c>
      <x:c r="H116" t="str">
        <x:v>нет</x:v>
      </x:c>
    </x:row>
    <x:row r="117">
      <x:c r="A117" t="str">
        <x:v>1146</x:v>
      </x:c>
      <x:c r="B117" t="str">
        <x:v>olimpdent.ru</x:v>
      </x:c>
      <x:c r="C117" t="e">
        <x:f>HYPERLINK("https://belberrycrm.bitrix24.ru/crm/deal/details/1146/","https://belberrycrm.bitrix24.ru/crm/deal/details/1146/")</x:f>
      </x:c>
      <x:c r="D117" t="str">
        <x:v>Реанимация</x:v>
      </x:c>
      <x:c r="E117" t="str">
        <x:v>ПРОДАЖИ: Отвалы</x:v>
      </x:c>
      <x:c r="F117" t="str">
        <x:v>Георгий Погосян</x:v>
      </x:c>
      <x:c r="G117" t="str">
        <x:v>нет</x:v>
      </x:c>
      <x:c r="H117" t="str">
        <x:v>нет</x:v>
      </x:c>
    </x:row>
    <x:row r="118">
      <x:c r="A118" t="str">
        <x:v>1148</x:v>
      </x:c>
      <x:c r="B118" t="str">
        <x:v>omega777.ru</x:v>
      </x:c>
      <x:c r="C118" t="e">
        <x:f>HYPERLINK("https://belberrycrm.bitrix24.ru/crm/deal/details/1148/","https://belberrycrm.bitrix24.ru/crm/deal/details/1148/")</x:f>
      </x:c>
      <x:c r="D118" t="str">
        <x:v>Реанимация</x:v>
      </x:c>
      <x:c r="E118" t="str">
        <x:v>ПРОДАЖИ: Отвалы</x:v>
      </x:c>
      <x:c r="F118" t="str">
        <x:v>Георгий Погосян</x:v>
      </x:c>
      <x:c r="G118" t="str">
        <x:v>да</x:v>
      </x:c>
      <x:c r="H118" t="str">
        <x:v>нет</x:v>
      </x:c>
    </x:row>
    <x:row r="119">
      <x:c r="A119" t="str">
        <x:v>1164</x:v>
      </x:c>
      <x:c r="B119" t="str">
        <x:v>smile-std.ru</x:v>
      </x:c>
      <x:c r="C119" t="e">
        <x:f>HYPERLINK("https://belberrycrm.bitrix24.ru/crm/deal/details/1164/","https://belberrycrm.bitrix24.ru/crm/deal/details/1164/")</x:f>
      </x:c>
      <x:c r="D119" t="str">
        <x:v>Реанимация</x:v>
      </x:c>
      <x:c r="E119" t="str">
        <x:v>ПРОДАЖИ: Отвалы</x:v>
      </x:c>
      <x:c r="F119" t="str">
        <x:v>Екатерина Федоренко</x:v>
      </x:c>
      <x:c r="G119" t="str">
        <x:v>нет</x:v>
      </x:c>
      <x:c r="H119" t="str">
        <x:v>нет</x:v>
      </x:c>
    </x:row>
    <x:row r="120">
      <x:c r="A120" t="str">
        <x:v>1174</x:v>
      </x:c>
      <x:c r="B120" t="str">
        <x:v>edem-dent.ru</x:v>
      </x:c>
      <x:c r="C120" t="e">
        <x:f>HYPERLINK("https://belberrycrm.bitrix24.ru/crm/deal/details/1174/","https://belberrycrm.bitrix24.ru/crm/deal/details/1174/")</x:f>
      </x:c>
      <x:c r="D120" t="str">
        <x:v>Реанимация</x:v>
      </x:c>
      <x:c r="E120" t="str">
        <x:v>ПРОДАЖИ: Отвалы</x:v>
      </x:c>
      <x:c r="F120" t="str">
        <x:v>Георгий Погосян</x:v>
      </x:c>
      <x:c r="G120" t="str">
        <x:v>нет</x:v>
      </x:c>
      <x:c r="H120" t="str">
        <x:v>нет</x:v>
      </x:c>
    </x:row>
    <x:row r="121">
      <x:c r="A121" t="str">
        <x:v>1182</x:v>
      </x:c>
      <x:c r="B121" t="str">
        <x:v>eurostom.su</x:v>
      </x:c>
      <x:c r="C121" t="e">
        <x:f>HYPERLINK("https://belberrycrm.bitrix24.ru/crm/deal/details/1182/","https://belberrycrm.bitrix24.ru/crm/deal/details/1182/")</x:f>
      </x:c>
      <x:c r="D121" t="str">
        <x:v>Реанимация</x:v>
      </x:c>
      <x:c r="E121" t="str">
        <x:v>ПРОДАЖИ: Отвалы</x:v>
      </x:c>
      <x:c r="F121" t="str">
        <x:v>Георгий Погосян</x:v>
      </x:c>
      <x:c r="G121" t="str">
        <x:v>да</x:v>
      </x:c>
      <x:c r="H121" t="str">
        <x:v>нет</x:v>
      </x:c>
    </x:row>
    <x:row r="122">
      <x:c r="A122" t="str">
        <x:v>1184</x:v>
      </x:c>
      <x:c r="B122" t="str">
        <x:v>evroklinika.ru</x:v>
      </x:c>
      <x:c r="C122" t="e">
        <x:f>HYPERLINK("https://belberrycrm.bitrix24.ru/crm/deal/details/1184/","https://belberrycrm.bitrix24.ru/crm/deal/details/1184/")</x:f>
      </x:c>
      <x:c r="D122" t="str">
        <x:v>Реанимация</x:v>
      </x:c>
      <x:c r="E122" t="str">
        <x:v>ПРОДАЖИ: Отвалы</x:v>
      </x:c>
      <x:c r="F122" t="str">
        <x:v>Георгий Погосян</x:v>
      </x:c>
      <x:c r="G122" t="str">
        <x:v>нет</x:v>
      </x:c>
      <x:c r="H122" t="str">
        <x:v>нет</x:v>
      </x:c>
    </x:row>
    <x:row r="123">
      <x:c r="A123" t="str">
        <x:v>1198</x:v>
      </x:c>
      <x:c r="B123" t="str">
        <x:v>oftalmos.ru</x:v>
      </x:c>
      <x:c r="C123" t="e">
        <x:f>HYPERLINK("https://belberrycrm.bitrix24.ru/crm/deal/details/1198/","https://belberrycrm.bitrix24.ru/crm/deal/details/1198/")</x:f>
      </x:c>
      <x:c r="D123" t="str">
        <x:v>Реанимация</x:v>
      </x:c>
      <x:c r="E123" t="str">
        <x:v>ПРОДАЖИ: Отвалы</x:v>
      </x:c>
      <x:c r="F123" t="str">
        <x:v>Иван Халин</x:v>
      </x:c>
      <x:c r="G123" t="str">
        <x:v>нет</x:v>
      </x:c>
      <x:c r="H123" t="str">
        <x:v>нет</x:v>
      </x:c>
    </x:row>
    <x:row r="124">
      <x:c r="A124" t="str">
        <x:v>1202</x:v>
      </x:c>
      <x:c r="B124" t="str">
        <x:v>ma-cl.ru</x:v>
      </x:c>
      <x:c r="C124" t="e">
        <x:f>HYPERLINK("https://belberrycrm.bitrix24.ru/crm/deal/details/1202/","https://belberrycrm.bitrix24.ru/crm/deal/details/1202/")</x:f>
      </x:c>
      <x:c r="D124" t="str">
        <x:v>Реанимация</x:v>
      </x:c>
      <x:c r="E124" t="str">
        <x:v>ПРОДАЖИ: Отвалы</x:v>
      </x:c>
      <x:c r="F124" t="str">
        <x:v>Иван Халин</x:v>
      </x:c>
      <x:c r="G124" t="str">
        <x:v>нет</x:v>
      </x:c>
      <x:c r="H124" t="str">
        <x:v>нет</x:v>
      </x:c>
    </x:row>
    <x:row r="125">
      <x:c r="A125" t="str">
        <x:v>1206</x:v>
      </x:c>
      <x:c r="B125" t="str">
        <x:v>gdenta.ru</x:v>
      </x:c>
      <x:c r="C125" t="e">
        <x:f>HYPERLINK("https://belberrycrm.bitrix24.ru/crm/deal/details/1206/","https://belberrycrm.bitrix24.ru/crm/deal/details/1206/")</x:f>
      </x:c>
      <x:c r="D125" t="str">
        <x:v>Реанимация</x:v>
      </x:c>
      <x:c r="E125" t="str">
        <x:v>ПРОДАЖИ: Отвалы</x:v>
      </x:c>
      <x:c r="F125" t="str">
        <x:v>Иван Халин</x:v>
      </x:c>
      <x:c r="G125" t="str">
        <x:v>нет</x:v>
      </x:c>
      <x:c r="H125" t="str">
        <x:v>нет</x:v>
      </x:c>
    </x:row>
    <x:row r="126">
      <x:c r="A126" t="str">
        <x:v>1210</x:v>
      </x:c>
      <x:c r="B126" t="str">
        <x:v>beauty-smile.ru</x:v>
      </x:c>
      <x:c r="C126" t="e">
        <x:f>HYPERLINK("https://belberrycrm.bitrix24.ru/crm/deal/details/1210/","https://belberrycrm.bitrix24.ru/crm/deal/details/1210/")</x:f>
      </x:c>
      <x:c r="D126" t="str">
        <x:v>Реанимация</x:v>
      </x:c>
      <x:c r="E126" t="str">
        <x:v>ПРОДАЖИ: Отвалы</x:v>
      </x:c>
      <x:c r="F126" t="str">
        <x:v>Иван Халин</x:v>
      </x:c>
      <x:c r="G126" t="str">
        <x:v>нет</x:v>
      </x:c>
      <x:c r="H126" t="str">
        <x:v>нет</x:v>
      </x:c>
    </x:row>
    <x:row r="127">
      <x:c r="A127" t="str">
        <x:v>1212</x:v>
      </x:c>
      <x:c r="B127" t="str">
        <x:v>doktor-ryadom-clinic.ru</x:v>
      </x:c>
      <x:c r="C127" t="e">
        <x:f>HYPERLINK("https://belberrycrm.bitrix24.ru/crm/deal/details/1212/","https://belberrycrm.bitrix24.ru/crm/deal/details/1212/")</x:f>
      </x:c>
      <x:c r="D127" t="str">
        <x:v>Реанимация</x:v>
      </x:c>
      <x:c r="E127" t="str">
        <x:v>ПРОДАЖИ: Отвалы</x:v>
      </x:c>
      <x:c r="F127" t="str">
        <x:v>Георгий Погосян</x:v>
      </x:c>
      <x:c r="G127" t="str">
        <x:v>нет</x:v>
      </x:c>
      <x:c r="H127" t="str">
        <x:v>нет</x:v>
      </x:c>
    </x:row>
    <x:row r="128">
      <x:c r="A128" t="str">
        <x:v>1216</x:v>
      </x:c>
      <x:c r="B128" t="str">
        <x:v>similium.ru</x:v>
      </x:c>
      <x:c r="C128" t="e">
        <x:f>HYPERLINK("https://belberrycrm.bitrix24.ru/crm/deal/details/1216/","https://belberrycrm.bitrix24.ru/crm/deal/details/1216/")</x:f>
      </x:c>
      <x:c r="D128" t="str">
        <x:v>Реанимация</x:v>
      </x:c>
      <x:c r="E128" t="str">
        <x:v>ПРОДАЖИ: Отвалы</x:v>
      </x:c>
      <x:c r="F128" t="str">
        <x:v>Георгий Погосян</x:v>
      </x:c>
      <x:c r="G128" t="str">
        <x:v>да</x:v>
      </x:c>
      <x:c r="H128" t="str">
        <x:v>нет</x:v>
      </x:c>
    </x:row>
    <x:row r="129">
      <x:c r="A129" t="str">
        <x:v>1230</x:v>
      </x:c>
      <x:c r="B129" t="str">
        <x:v>efis.ru</x:v>
      </x:c>
      <x:c r="C129" t="e">
        <x:f>HYPERLINK("https://belberrycrm.bitrix24.ru/crm/deal/details/1230/","https://belberrycrm.bitrix24.ru/crm/deal/details/1230/")</x:f>
      </x:c>
      <x:c r="D129" t="str">
        <x:v>Реанимация</x:v>
      </x:c>
      <x:c r="E129" t="str">
        <x:v>ПРОДАЖИ: Отвалы</x:v>
      </x:c>
      <x:c r="F129" t="str">
        <x:v>Екатерина Федоренко</x:v>
      </x:c>
      <x:c r="G129" t="str">
        <x:v>нет</x:v>
      </x:c>
      <x:c r="H129" t="str">
        <x:v>нет</x:v>
      </x:c>
    </x:row>
    <x:row r="130">
      <x:c r="A130" t="str">
        <x:v>1240</x:v>
      </x:c>
      <x:c r="B130" t="str">
        <x:v>cellulait.ru</x:v>
      </x:c>
      <x:c r="C130" t="e">
        <x:f>HYPERLINK("https://belberrycrm.bitrix24.ru/crm/deal/details/1240/","https://belberrycrm.bitrix24.ru/crm/deal/details/1240/")</x:f>
      </x:c>
      <x:c r="D130" t="str">
        <x:v>Реанимация</x:v>
      </x:c>
      <x:c r="E130" t="str">
        <x:v>ПРОДАЖИ: Отвалы</x:v>
      </x:c>
      <x:c r="F130" t="str">
        <x:v>Тигран Мкртчян</x:v>
      </x:c>
      <x:c r="G130" t="str">
        <x:v>нет</x:v>
      </x:c>
      <x:c r="H130" t="str">
        <x:v>нет</x:v>
      </x:c>
    </x:row>
    <x:row r="131">
      <x:c r="A131" t="str">
        <x:v>1246</x:v>
      </x:c>
      <x:c r="B131" t="str">
        <x:v>centre-trichology.ru</x:v>
      </x:c>
      <x:c r="C131" t="e">
        <x:f>HYPERLINK("https://belberrycrm.bitrix24.ru/crm/deal/details/1246/","https://belberrycrm.bitrix24.ru/crm/deal/details/1246/")</x:f>
      </x:c>
      <x:c r="D131" t="str">
        <x:v>Реанимация</x:v>
      </x:c>
      <x:c r="E131" t="str">
        <x:v>ПРОДАЖИ: Отвалы</x:v>
      </x:c>
      <x:c r="F131" t="str">
        <x:v>Екатерина Федоренко</x:v>
      </x:c>
      <x:c r="G131" t="str">
        <x:v>нет</x:v>
      </x:c>
      <x:c r="H131" t="str">
        <x:v>нет</x:v>
      </x:c>
    </x:row>
    <x:row r="132">
      <x:c r="A132" t="str">
        <x:v>1252</x:v>
      </x:c>
      <x:c r="B132" t="str">
        <x:v>blclinic.ru</x:v>
      </x:c>
      <x:c r="C132" t="e">
        <x:f>HYPERLINK("https://belberrycrm.bitrix24.ru/crm/deal/details/1252/","https://belberrycrm.bitrix24.ru/crm/deal/details/1252/")</x:f>
      </x:c>
      <x:c r="D132" t="str">
        <x:v>Реанимация</x:v>
      </x:c>
      <x:c r="E132" t="str">
        <x:v>ПРОДАЖИ: Отвалы</x:v>
      </x:c>
      <x:c r="F132" t="str">
        <x:v>Георгий Погосян</x:v>
      </x:c>
      <x:c r="G132" t="str">
        <x:v>нет</x:v>
      </x:c>
      <x:c r="H132" t="str">
        <x:v>нет</x:v>
      </x:c>
    </x:row>
    <x:row r="133">
      <x:c r="A133" t="str">
        <x:v>1256</x:v>
      </x:c>
      <x:c r="B133" t="str">
        <x:v>move-med.ru</x:v>
      </x:c>
      <x:c r="C133" t="e">
        <x:f>HYPERLINK("https://belberrycrm.bitrix24.ru/crm/deal/details/1256/","https://belberrycrm.bitrix24.ru/crm/deal/details/1256/")</x:f>
      </x:c>
      <x:c r="D133" t="str">
        <x:v>Реанимация</x:v>
      </x:c>
      <x:c r="E133" t="str">
        <x:v>ПРОДАЖИ: Отвалы</x:v>
      </x:c>
      <x:c r="F133" t="str">
        <x:v>Екатерина Федоренко</x:v>
      </x:c>
      <x:c r="G133" t="str">
        <x:v>нет</x:v>
      </x:c>
      <x:c r="H133" t="str">
        <x:v>нет</x:v>
      </x:c>
    </x:row>
    <x:row r="134">
      <x:c r="A134" t="str">
        <x:v>1258</x:v>
      </x:c>
      <x:c r="B134" t="str">
        <x:v>msdent.net</x:v>
      </x:c>
      <x:c r="C134" t="e">
        <x:f>HYPERLINK("https://belberrycrm.bitrix24.ru/crm/deal/details/1258/","https://belberrycrm.bitrix24.ru/crm/deal/details/1258/")</x:f>
      </x:c>
      <x:c r="D134" t="str">
        <x:v>Реанимация</x:v>
      </x:c>
      <x:c r="E134" t="str">
        <x:v>ПРОДАЖИ: Отвалы</x:v>
      </x:c>
      <x:c r="F134" t="str">
        <x:v>Иван Халин</x:v>
      </x:c>
      <x:c r="G134" t="str">
        <x:v>нет</x:v>
      </x:c>
      <x:c r="H134" t="str">
        <x:v>нет</x:v>
      </x:c>
    </x:row>
    <x:row r="135">
      <x:c r="A135" t="str">
        <x:v>1272</x:v>
      </x:c>
      <x:c r="B135" t="str">
        <x:v>uslugibest.ru</x:v>
      </x:c>
      <x:c r="C135" t="e">
        <x:f>HYPERLINK("https://belberrycrm.bitrix24.ru/crm/deal/details/1272/","https://belberrycrm.bitrix24.ru/crm/deal/details/1272/")</x:f>
      </x:c>
      <x:c r="D135" t="str">
        <x:v>Реанимация</x:v>
      </x:c>
      <x:c r="E135" t="str">
        <x:v>ПРОДАЖИ: Отвалы</x:v>
      </x:c>
      <x:c r="F135" t="str">
        <x:v>Георгий Погосян</x:v>
      </x:c>
      <x:c r="G135" t="str">
        <x:v>нет</x:v>
      </x:c>
      <x:c r="H135" t="str">
        <x:v>нет</x:v>
      </x:c>
    </x:row>
    <x:row r="136">
      <x:c r="A136" t="str">
        <x:v>1290</x:v>
      </x:c>
      <x:c r="B136" t="str">
        <x:v>revita-clinic.ru</x:v>
      </x:c>
      <x:c r="C136" t="e">
        <x:f>HYPERLINK("https://belberrycrm.bitrix24.ru/crm/deal/details/1290/","https://belberrycrm.bitrix24.ru/crm/deal/details/1290/")</x:f>
      </x:c>
      <x:c r="D136" t="str">
        <x:v>Реанимация</x:v>
      </x:c>
      <x:c r="E136" t="str">
        <x:v>ПРОДАЖИ: Отвалы</x:v>
      </x:c>
      <x:c r="F136" t="str">
        <x:v>Иван Халин</x:v>
      </x:c>
      <x:c r="G136" t="str">
        <x:v>нет</x:v>
      </x:c>
      <x:c r="H136" t="str">
        <x:v>нет</x:v>
      </x:c>
    </x:row>
    <x:row r="137">
      <x:c r="A137" t="str">
        <x:v>1298</x:v>
      </x:c>
      <x:c r="B137" t="str">
        <x:v>klinika-zdorovia.ru</x:v>
      </x:c>
      <x:c r="C137" t="e">
        <x:f>HYPERLINK("https://belberrycrm.bitrix24.ru/crm/deal/details/1298/","https://belberrycrm.bitrix24.ru/crm/deal/details/1298/")</x:f>
      </x:c>
      <x:c r="D137" t="str">
        <x:v>Реанимация</x:v>
      </x:c>
      <x:c r="E137" t="str">
        <x:v>ПРОДАЖИ: Отвалы</x:v>
      </x:c>
      <x:c r="F137" t="str">
        <x:v>Георгий Погосян</x:v>
      </x:c>
      <x:c r="G137" t="str">
        <x:v>нет</x:v>
      </x:c>
      <x:c r="H137" t="str">
        <x:v>нет</x:v>
      </x:c>
    </x:row>
    <x:row r="138">
      <x:c r="A138" t="str">
        <x:v>1300</x:v>
      </x:c>
      <x:c r="B138" t="str">
        <x:v>rubca.net</x:v>
      </x:c>
      <x:c r="C138" t="e">
        <x:f>HYPERLINK("https://belberrycrm.bitrix24.ru/crm/deal/details/1300/","https://belberrycrm.bitrix24.ru/crm/deal/details/1300/")</x:f>
      </x:c>
      <x:c r="D138" t="str">
        <x:v>Реанимация</x:v>
      </x:c>
      <x:c r="E138" t="str">
        <x:v>ПРОДАЖИ: Отвалы</x:v>
      </x:c>
      <x:c r="F138" t="str">
        <x:v>Георгий Погосян</x:v>
      </x:c>
      <x:c r="G138" t="str">
        <x:v>нет</x:v>
      </x:c>
      <x:c r="H138" t="str">
        <x:v>нет</x:v>
      </x:c>
    </x:row>
    <x:row r="139">
      <x:c r="A139" t="str">
        <x:v>1304</x:v>
      </x:c>
      <x:c r="B139" t="str">
        <x:v>moscow-stomatolog.ru</x:v>
      </x:c>
      <x:c r="C139" t="e">
        <x:f>HYPERLINK("https://belberrycrm.bitrix24.ru/crm/deal/details/1304/","https://belberrycrm.bitrix24.ru/crm/deal/details/1304/")</x:f>
      </x:c>
      <x:c r="D139" t="str">
        <x:v>Реанимация</x:v>
      </x:c>
      <x:c r="E139" t="str">
        <x:v>ПРОДАЖИ: Отвалы</x:v>
      </x:c>
      <x:c r="F139" t="str">
        <x:v>Екатерина Федоренко</x:v>
      </x:c>
      <x:c r="G139" t="str">
        <x:v>да</x:v>
      </x:c>
      <x:c r="H139" t="str">
        <x:v>нет</x:v>
      </x:c>
    </x:row>
    <x:row r="140">
      <x:c r="A140" t="str">
        <x:v>1310</x:v>
      </x:c>
      <x:c r="B140" t="str">
        <x:v>dentoniona.ru</x:v>
      </x:c>
      <x:c r="C140" t="e">
        <x:f>HYPERLINK("https://belberrycrm.bitrix24.ru/crm/deal/details/1310/","https://belberrycrm.bitrix24.ru/crm/deal/details/1310/")</x:f>
      </x:c>
      <x:c r="D140" t="str">
        <x:v>Реанимация</x:v>
      </x:c>
      <x:c r="E140" t="str">
        <x:v>ПРОДАЖИ: Отвалы</x:v>
      </x:c>
      <x:c r="F140" t="str">
        <x:v>Екатерина Федоренко</x:v>
      </x:c>
      <x:c r="G140" t="str">
        <x:v>нет</x:v>
      </x:c>
      <x:c r="H140" t="str">
        <x:v>нет</x:v>
      </x:c>
    </x:row>
    <x:row r="141">
      <x:c r="A141" t="str">
        <x:v>1318</x:v>
      </x:c>
      <x:c r="B141" t="str">
        <x:v>mvitaclinic.ru</x:v>
      </x:c>
      <x:c r="C141" t="e">
        <x:f>HYPERLINK("https://belberrycrm.bitrix24.ru/crm/deal/details/1318/","https://belberrycrm.bitrix24.ru/crm/deal/details/1318/")</x:f>
      </x:c>
      <x:c r="D141" t="str">
        <x:v>Реанимация</x:v>
      </x:c>
      <x:c r="E141" t="str">
        <x:v>ПРОДАЖИ: Отвалы</x:v>
      </x:c>
      <x:c r="F141" t="str">
        <x:v>Тигран Мкртчян</x:v>
      </x:c>
      <x:c r="G141" t="str">
        <x:v>нет</x:v>
      </x:c>
      <x:c r="H141" t="str">
        <x:v>нет</x:v>
      </x:c>
    </x:row>
    <x:row r="142">
      <x:c r="A142" t="str">
        <x:v>1352</x:v>
      </x:c>
      <x:c r="B142" t="str">
        <x:v>armenianchurch.ru</x:v>
      </x:c>
      <x:c r="C142" t="e">
        <x:f>HYPERLINK("https://belberrycrm.bitrix24.ru/crm/deal/details/1352/","https://belberrycrm.bitrix24.ru/crm/deal/details/1352/")</x:f>
      </x:c>
      <x:c r="D142" t="str">
        <x:v>Реанимация</x:v>
      </x:c>
      <x:c r="E142" t="str">
        <x:v>АРХИВ Общая</x:v>
      </x:c>
      <x:c r="F142" t="str">
        <x:v>Екатерина Апушкина</x:v>
      </x:c>
      <x:c r="G142" t="str">
        <x:v>нет</x:v>
      </x:c>
      <x:c r="H142" t="str">
        <x:v>нет</x:v>
      </x:c>
    </x:row>
    <x:row r="143">
      <x:c r="A143" t="str">
        <x:v>1354</x:v>
      </x:c>
      <x:c r="B143" t="str">
        <x:v>medin.ru</x:v>
      </x:c>
      <x:c r="C143" t="e">
        <x:f>HYPERLINK("https://belberrycrm.bitrix24.ru/crm/deal/details/1354/","https://belberrycrm.bitrix24.ru/crm/deal/details/1354/")</x:f>
      </x:c>
      <x:c r="D143" t="str">
        <x:v>Реанимация</x:v>
      </x:c>
      <x:c r="E143" t="str">
        <x:v>ПРОДАЖИ: Отвалы</x:v>
      </x:c>
      <x:c r="F143" t="str">
        <x:v>Тигран Мкртчян</x:v>
      </x:c>
      <x:c r="G143" t="str">
        <x:v>нет</x:v>
      </x:c>
      <x:c r="H143" t="str">
        <x:v>нет</x:v>
      </x:c>
    </x:row>
    <x:row r="144">
      <x:c r="A144" t="str">
        <x:v>1358</x:v>
      </x:c>
      <x:c r="B144" t="str">
        <x:v>medmgmu.ru</x:v>
      </x:c>
      <x:c r="C144" t="e">
        <x:f>HYPERLINK("https://belberrycrm.bitrix24.ru/crm/deal/details/1358/","https://belberrycrm.bitrix24.ru/crm/deal/details/1358/")</x:f>
      </x:c>
      <x:c r="D144" t="str">
        <x:v>Реанимация</x:v>
      </x:c>
      <x:c r="E144" t="str">
        <x:v>ПРОДАЖИ: Отвалы</x:v>
      </x:c>
      <x:c r="F144" t="str">
        <x:v>Георгий Погосян</x:v>
      </x:c>
      <x:c r="G144" t="str">
        <x:v>нет</x:v>
      </x:c>
      <x:c r="H144" t="str">
        <x:v>нет</x:v>
      </x:c>
    </x:row>
    <x:row r="145">
      <x:c r="A145" t="str">
        <x:v>1370</x:v>
      </x:c>
      <x:c r="B145" t="str">
        <x:v>svdent.ru</x:v>
      </x:c>
      <x:c r="C145" t="e">
        <x:f>HYPERLINK("https://belberrycrm.bitrix24.ru/crm/deal/details/1370/","https://belberrycrm.bitrix24.ru/crm/deal/details/1370/")</x:f>
      </x:c>
      <x:c r="D145" t="str">
        <x:v>Реанимация</x:v>
      </x:c>
      <x:c r="E145" t="str">
        <x:v>ПРОДАЖИ: Отвалы</x:v>
      </x:c>
      <x:c r="F145" t="str">
        <x:v>Георгий Погосян</x:v>
      </x:c>
      <x:c r="G145" t="str">
        <x:v>нет</x:v>
      </x:c>
      <x:c r="H145" t="str">
        <x:v>нет</x:v>
      </x:c>
    </x:row>
    <x:row r="146">
      <x:c r="A146" t="str">
        <x:v>1384</x:v>
      </x:c>
      <x:c r="B146" t="str">
        <x:v>medstar-med.ru</x:v>
      </x:c>
      <x:c r="C146" t="e">
        <x:f>HYPERLINK("https://belberrycrm.bitrix24.ru/crm/deal/details/1384/","https://belberrycrm.bitrix24.ru/crm/deal/details/1384/")</x:f>
      </x:c>
      <x:c r="D146" t="str">
        <x:v>Реанимация</x:v>
      </x:c>
      <x:c r="E146" t="str">
        <x:v>ПРОДАЖИ: Отвалы</x:v>
      </x:c>
      <x:c r="F146" t="str">
        <x:v>Александр Голядкин</x:v>
      </x:c>
      <x:c r="G146" t="str">
        <x:v>нет</x:v>
      </x:c>
      <x:c r="H146" t="str">
        <x:v>нет</x:v>
      </x:c>
    </x:row>
    <x:row r="147">
      <x:c r="A147" t="str">
        <x:v>1400</x:v>
      </x:c>
      <x:c r="B147" t="str">
        <x:v>medbiospectr.ru</x:v>
      </x:c>
      <x:c r="C147" t="e">
        <x:f>HYPERLINK("https://belberrycrm.bitrix24.ru/crm/deal/details/1400/","https://belberrycrm.bitrix24.ru/crm/deal/details/1400/")</x:f>
      </x:c>
      <x:c r="D147" t="str">
        <x:v>Реанимация</x:v>
      </x:c>
      <x:c r="E147" t="str">
        <x:v>ПРОДАЖИ: Отвалы</x:v>
      </x:c>
      <x:c r="F147" t="str">
        <x:v>Иван Халин</x:v>
      </x:c>
      <x:c r="G147" t="str">
        <x:v>нет</x:v>
      </x:c>
      <x:c r="H147" t="str">
        <x:v>нет</x:v>
      </x:c>
    </x:row>
    <x:row r="148">
      <x:c r="A148" t="str">
        <x:v>1408</x:v>
      </x:c>
      <x:c r="B148" t="str">
        <x:v>des-service.ru</x:v>
      </x:c>
      <x:c r="C148" t="e">
        <x:f>HYPERLINK("https://belberrycrm.bitrix24.ru/crm/deal/details/1408/","https://belberrycrm.bitrix24.ru/crm/deal/details/1408/")</x:f>
      </x:c>
      <x:c r="D148" t="str">
        <x:v>Реанимация</x:v>
      </x:c>
      <x:c r="E148" t="str">
        <x:v>ПРОДАЖИ: Отвалы</x:v>
      </x:c>
      <x:c r="F148" t="str">
        <x:v>Иван Халин</x:v>
      </x:c>
      <x:c r="G148" t="str">
        <x:v>нет</x:v>
      </x:c>
      <x:c r="H148" t="str">
        <x:v>нет</x:v>
      </x:c>
    </x:row>
    <x:row r="149">
      <x:c r="A149" t="str">
        <x:v>1414</x:v>
      </x:c>
      <x:c r="B149" t="str">
        <x:v>Анна Шибнева</x:v>
      </x:c>
      <x:c r="C149" t="e">
        <x:f>HYPERLINK("https://belberrycrm.bitrix24.ru/crm/deal/details/1414/","https://belberrycrm.bitrix24.ru/crm/deal/details/1414/")</x:f>
      </x:c>
      <x:c r="D149" t="str">
        <x:v>Реанимация</x:v>
      </x:c>
      <x:c r="E149" t="str">
        <x:v>ПРОДАЖИ: Отвалы</x:v>
      </x:c>
      <x:c r="F149" t="str">
        <x:v>Иван Халин</x:v>
      </x:c>
      <x:c r="G149" t="str">
        <x:v>нет</x:v>
      </x:c>
      <x:c r="H149" t="str">
        <x:v>нет</x:v>
      </x:c>
    </x:row>
    <x:row r="150">
      <x:c r="A150" t="str">
        <x:v>1416</x:v>
      </x:c>
      <x:c r="B150" t="str">
        <x:v>ayurveda-msk.ru</x:v>
      </x:c>
      <x:c r="C150" t="e">
        <x:f>HYPERLINK("https://belberrycrm.bitrix24.ru/crm/deal/details/1416/","https://belberrycrm.bitrix24.ru/crm/deal/details/1416/")</x:f>
      </x:c>
      <x:c r="D150" t="str">
        <x:v>Реанимация</x:v>
      </x:c>
      <x:c r="E150" t="str">
        <x:v>ПРОДАЖИ: Отвалы</x:v>
      </x:c>
      <x:c r="F150" t="str">
        <x:v>Тигран Мкртчян</x:v>
      </x:c>
      <x:c r="G150" t="str">
        <x:v>нет</x:v>
      </x:c>
      <x:c r="H150" t="str">
        <x:v>нет</x:v>
      </x:c>
    </x:row>
    <x:row r="151">
      <x:c r="A151" t="str">
        <x:v>1422</x:v>
      </x:c>
      <x:c r="B151" t="str">
        <x:v>vitbiomed.ru</x:v>
      </x:c>
      <x:c r="C151" t="e">
        <x:f>HYPERLINK("https://belberrycrm.bitrix24.ru/crm/deal/details/1422/","https://belberrycrm.bitrix24.ru/crm/deal/details/1422/")</x:f>
      </x:c>
      <x:c r="D151" t="str">
        <x:v>Реанимация</x:v>
      </x:c>
      <x:c r="E151" t="str">
        <x:v>ПРОДАЖИ: Отвалы</x:v>
      </x:c>
      <x:c r="F151" t="str">
        <x:v>Иван Халин</x:v>
      </x:c>
      <x:c r="G151" t="str">
        <x:v>нет</x:v>
      </x:c>
      <x:c r="H151" t="str">
        <x:v>нет</x:v>
      </x:c>
    </x:row>
    <x:row r="152">
      <x:c r="A152" t="str">
        <x:v>1428</x:v>
      </x:c>
      <x:c r="B152" t="str">
        <x:v>naminov.com</x:v>
      </x:c>
      <x:c r="C152" t="e">
        <x:f>HYPERLINK("https://belberrycrm.bitrix24.ru/crm/deal/details/1428/","https://belberrycrm.bitrix24.ru/crm/deal/details/1428/")</x:f>
      </x:c>
      <x:c r="D152" t="str">
        <x:v>Реанимация</x:v>
      </x:c>
      <x:c r="E152" t="str">
        <x:v>ПРОДАЖИ: Отвалы</x:v>
      </x:c>
      <x:c r="F152" t="str">
        <x:v>Георгий Погосян</x:v>
      </x:c>
      <x:c r="G152" t="str">
        <x:v>нет</x:v>
      </x:c>
      <x:c r="H152" t="str">
        <x:v>нет</x:v>
      </x:c>
    </x:row>
    <x:row r="153">
      <x:c r="A153" t="str">
        <x:v>1432</x:v>
      </x:c>
      <x:c r="B153" t="str">
        <x:v>dr-martin.ru</x:v>
      </x:c>
      <x:c r="C153" t="e">
        <x:f>HYPERLINK("https://belberrycrm.bitrix24.ru/crm/deal/details/1432/","https://belberrycrm.bitrix24.ru/crm/deal/details/1432/")</x:f>
      </x:c>
      <x:c r="D153" t="str">
        <x:v>Реанимация</x:v>
      </x:c>
      <x:c r="E153" t="str">
        <x:v>ПРОДАЖИ: Отвалы</x:v>
      </x:c>
      <x:c r="F153" t="str">
        <x:v>Георгий Погосян</x:v>
      </x:c>
      <x:c r="G153" t="str">
        <x:v>да</x:v>
      </x:c>
      <x:c r="H153" t="str">
        <x:v>нет</x:v>
      </x:c>
    </x:row>
    <x:row r="154">
      <x:c r="A154" t="str">
        <x:v>1436</x:v>
      </x:c>
      <x:c r="B154" t="str">
        <x:v>miaform.ru</x:v>
      </x:c>
      <x:c r="C154" t="e">
        <x:f>HYPERLINK("https://belberrycrm.bitrix24.ru/crm/deal/details/1436/","https://belberrycrm.bitrix24.ru/crm/deal/details/1436/")</x:f>
      </x:c>
      <x:c r="D154" t="str">
        <x:v>Реанимация</x:v>
      </x:c>
      <x:c r="E154" t="str">
        <x:v>ПРОДАЖИ: Отвалы</x:v>
      </x:c>
      <x:c r="F154" t="str">
        <x:v>Георгий Погосян</x:v>
      </x:c>
      <x:c r="G154" t="str">
        <x:v>нет</x:v>
      </x:c>
      <x:c r="H154" t="str">
        <x:v>нет</x:v>
      </x:c>
    </x:row>
    <x:row r="155">
      <x:c r="A155" t="str">
        <x:v>1454</x:v>
      </x:c>
      <x:c r="B155" t="str">
        <x:v>skomnia.ru</x:v>
      </x:c>
      <x:c r="C155" t="e">
        <x:f>HYPERLINK("https://belberrycrm.bitrix24.ru/crm/deal/details/1454/","https://belberrycrm.bitrix24.ru/crm/deal/details/1454/")</x:f>
      </x:c>
      <x:c r="D155" t="str">
        <x:v>Реанимация</x:v>
      </x:c>
      <x:c r="E155" t="str">
        <x:v>ПРОДАЖИ: Отвалы</x:v>
      </x:c>
      <x:c r="F155" t="str">
        <x:v>Георгий Погосян</x:v>
      </x:c>
      <x:c r="G155" t="str">
        <x:v>нет</x:v>
      </x:c>
      <x:c r="H155" t="str">
        <x:v>нет</x:v>
      </x:c>
    </x:row>
    <x:row r="156">
      <x:c r="A156" t="str">
        <x:v>1458</x:v>
      </x:c>
      <x:c r="B156" t="str">
        <x:v>Ответчиков Игорь Николаевич</x:v>
      </x:c>
      <x:c r="C156" t="e">
        <x:f>HYPERLINK("https://belberrycrm.bitrix24.ru/crm/deal/details/1458/","https://belberrycrm.bitrix24.ru/crm/deal/details/1458/")</x:f>
      </x:c>
      <x:c r="D156" t="str">
        <x:v>Реанимация</x:v>
      </x:c>
      <x:c r="E156" t="str">
        <x:v>ПРОДАЖИ: Отвалы</x:v>
      </x:c>
      <x:c r="F156" t="str">
        <x:v>Георгий Погосян</x:v>
      </x:c>
      <x:c r="G156" t="str">
        <x:v>нет</x:v>
      </x:c>
      <x:c r="H156" t="str">
        <x:v>нет</x:v>
      </x:c>
    </x:row>
    <x:row r="157">
      <x:c r="A157" t="str">
        <x:v>1464</x:v>
      </x:c>
      <x:c r="B157" t="str">
        <x:v>clinica-prizvanie.ru</x:v>
      </x:c>
      <x:c r="C157" t="e">
        <x:f>HYPERLINK("https://belberrycrm.bitrix24.ru/crm/deal/details/1464/","https://belberrycrm.bitrix24.ru/crm/deal/details/1464/")</x:f>
      </x:c>
      <x:c r="D157" t="str">
        <x:v>Реанимация</x:v>
      </x:c>
      <x:c r="E157" t="str">
        <x:v>ПРОДАЖИ: Отвалы</x:v>
      </x:c>
      <x:c r="F157" t="str">
        <x:v>Иван Халин</x:v>
      </x:c>
      <x:c r="G157" t="str">
        <x:v>нет</x:v>
      </x:c>
      <x:c r="H157" t="str">
        <x:v>нет</x:v>
      </x:c>
    </x:row>
    <x:row r="158">
      <x:c r="A158" t="str">
        <x:v>1474</x:v>
      </x:c>
      <x:c r="B158" t="str">
        <x:v>mca61.ru</x:v>
      </x:c>
      <x:c r="C158" t="e">
        <x:f>HYPERLINK("https://belberrycrm.bitrix24.ru/crm/deal/details/1474/","https://belberrycrm.bitrix24.ru/crm/deal/details/1474/")</x:f>
      </x:c>
      <x:c r="D158" t="str">
        <x:v>Реанимация</x:v>
      </x:c>
      <x:c r="E158" t="str">
        <x:v>ПРОДАЖИ: Отвалы</x:v>
      </x:c>
      <x:c r="F158" t="str">
        <x:v>Георгий Погосян</x:v>
      </x:c>
      <x:c r="G158" t="str">
        <x:v>нет</x:v>
      </x:c>
      <x:c r="H158" t="str">
        <x:v>нет</x:v>
      </x:c>
    </x:row>
    <x:row r="159">
      <x:c r="A159" t="str">
        <x:v>1514</x:v>
      </x:c>
      <x:c r="B159" t="str">
        <x:v>jutshi.ru</x:v>
      </x:c>
      <x:c r="C159" t="e">
        <x:f>HYPERLINK("https://belberrycrm.bitrix24.ru/crm/deal/details/1514/","https://belberrycrm.bitrix24.ru/crm/deal/details/1514/")</x:f>
      </x:c>
      <x:c r="D159" t="str">
        <x:v>Реанимация</x:v>
      </x:c>
      <x:c r="E159" t="str">
        <x:v>ПРОДАЖИ: Отвалы</x:v>
      </x:c>
      <x:c r="F159" t="str">
        <x:v>Иван Халин</x:v>
      </x:c>
      <x:c r="G159" t="str">
        <x:v>нет</x:v>
      </x:c>
      <x:c r="H159" t="str">
        <x:v>нет</x:v>
      </x:c>
    </x:row>
    <x:row r="160">
      <x:c r="A160" t="str">
        <x:v>1522</x:v>
      </x:c>
      <x:c r="B160" t="str">
        <x:v>implanti-zubov.ru</x:v>
      </x:c>
      <x:c r="C160" t="e">
        <x:f>HYPERLINK("https://belberrycrm.bitrix24.ru/crm/deal/details/1522/","https://belberrycrm.bitrix24.ru/crm/deal/details/1522/")</x:f>
      </x:c>
      <x:c r="D160" t="str">
        <x:v>Реанимация</x:v>
      </x:c>
      <x:c r="E160" t="str">
        <x:v>ПРОДАЖИ: Отвалы</x:v>
      </x:c>
      <x:c r="F160" t="str">
        <x:v>Иван Халин</x:v>
      </x:c>
      <x:c r="G160" t="str">
        <x:v>нет</x:v>
      </x:c>
      <x:c r="H160" t="str">
        <x:v>нет</x:v>
      </x:c>
    </x:row>
    <x:row r="161">
      <x:c r="A161" t="str">
        <x:v>1530</x:v>
      </x:c>
      <x:c r="B161" t="str">
        <x:v>diagnost.ru</x:v>
      </x:c>
      <x:c r="C161" t="e">
        <x:f>HYPERLINK("https://belberrycrm.bitrix24.ru/crm/deal/details/1530/","https://belberrycrm.bitrix24.ru/crm/deal/details/1530/")</x:f>
      </x:c>
      <x:c r="D161" t="str">
        <x:v>Реанимация</x:v>
      </x:c>
      <x:c r="E161" t="str">
        <x:v>ПРОДАЖИ: Отвалы</x:v>
      </x:c>
      <x:c r="F161" t="str">
        <x:v>Екатерина Федоренко</x:v>
      </x:c>
      <x:c r="G161" t="str">
        <x:v>нет</x:v>
      </x:c>
      <x:c r="H161" t="str">
        <x:v>нет</x:v>
      </x:c>
    </x:row>
    <x:row r="162">
      <x:c r="A162" t="str">
        <x:v>1536</x:v>
      </x:c>
      <x:c r="B162" t="str">
        <x:v>tvojdoctor.ru</x:v>
      </x:c>
      <x:c r="C162" t="e">
        <x:f>HYPERLINK("https://belberrycrm.bitrix24.ru/crm/deal/details/1536/","https://belberrycrm.bitrix24.ru/crm/deal/details/1536/")</x:f>
      </x:c>
      <x:c r="D162" t="str">
        <x:v>Реанимация</x:v>
      </x:c>
      <x:c r="E162" t="str">
        <x:v>ПРОДАЖИ: Отвалы</x:v>
      </x:c>
      <x:c r="F162" t="str">
        <x:v>Георгий Погосян</x:v>
      </x:c>
      <x:c r="G162" t="str">
        <x:v>нет</x:v>
      </x:c>
      <x:c r="H162" t="str">
        <x:v>нет</x:v>
      </x:c>
    </x:row>
    <x:row r="163">
      <x:c r="A163" t="str">
        <x:v>1542</x:v>
      </x:c>
      <x:c r="B163" t="str">
        <x:v>Эльхан</x:v>
      </x:c>
      <x:c r="C163" t="e">
        <x:f>HYPERLINK("https://belberrycrm.bitrix24.ru/crm/deal/details/1542/","https://belberrycrm.bitrix24.ru/crm/deal/details/1542/")</x:f>
      </x:c>
      <x:c r="D163" t="str">
        <x:v>Реанимация</x:v>
      </x:c>
      <x:c r="E163" t="str">
        <x:v>ПРОДАЖИ: Отвалы</x:v>
      </x:c>
      <x:c r="F163" t="str">
        <x:v>Георгий Погосян</x:v>
      </x:c>
      <x:c r="G163" t="str">
        <x:v>да</x:v>
      </x:c>
      <x:c r="H163" t="str">
        <x:v>нет</x:v>
      </x:c>
    </x:row>
    <x:row r="164">
      <x:c r="A164" t="str">
        <x:v>1550</x:v>
      </x:c>
      <x:c r="B164" t="str">
        <x:v>nucleoss.ru</x:v>
      </x:c>
      <x:c r="C164" t="e">
        <x:f>HYPERLINK("https://belberrycrm.bitrix24.ru/crm/deal/details/1550/","https://belberrycrm.bitrix24.ru/crm/deal/details/1550/")</x:f>
      </x:c>
      <x:c r="D164" t="str">
        <x:v>Реанимация</x:v>
      </x:c>
      <x:c r="E164" t="str">
        <x:v>ПРОДАЖИ: Отвалы</x:v>
      </x:c>
      <x:c r="F164" t="str">
        <x:v>Иван Халин</x:v>
      </x:c>
      <x:c r="G164" t="str">
        <x:v>нет</x:v>
      </x:c>
      <x:c r="H164" t="str">
        <x:v>нет</x:v>
      </x:c>
    </x:row>
    <x:row r="165">
      <x:c r="A165" t="str">
        <x:v>1554</x:v>
      </x:c>
      <x:c r="B165" t="str">
        <x:v>medikstardent.su</x:v>
      </x:c>
      <x:c r="C165" t="e">
        <x:f>HYPERLINK("https://belberrycrm.bitrix24.ru/crm/deal/details/1554/","https://belberrycrm.bitrix24.ru/crm/deal/details/1554/")</x:f>
      </x:c>
      <x:c r="D165" t="str">
        <x:v>Реанимация</x:v>
      </x:c>
      <x:c r="E165" t="str">
        <x:v>АРХИВ Общая</x:v>
      </x:c>
      <x:c r="F165" t="str">
        <x:v>Екатерина Апушкина</x:v>
      </x:c>
      <x:c r="G165" t="str">
        <x:v>нет</x:v>
      </x:c>
      <x:c r="H165" t="str">
        <x:v>нет</x:v>
      </x:c>
    </x:row>
    <x:row r="166">
      <x:c r="A166" t="str">
        <x:v>1566</x:v>
      </x:c>
      <x:c r="B166" t="str">
        <x:v>life-clinic.ru</x:v>
      </x:c>
      <x:c r="C166" t="e">
        <x:f>HYPERLINK("https://belberrycrm.bitrix24.ru/crm/deal/details/1566/","https://belberrycrm.bitrix24.ru/crm/deal/details/1566/")</x:f>
      </x:c>
      <x:c r="D166" t="str">
        <x:v>Реанимация</x:v>
      </x:c>
      <x:c r="E166" t="str">
        <x:v>ПРОДАЖИ: Отвалы</x:v>
      </x:c>
      <x:c r="F166" t="str">
        <x:v>Евгений Щемелёв</x:v>
      </x:c>
      <x:c r="G166" t="str">
        <x:v>нет</x:v>
      </x:c>
      <x:c r="H166" t="str">
        <x:v>нет</x:v>
      </x:c>
    </x:row>
    <x:row r="167">
      <x:c r="A167" t="str">
        <x:v>1578</x:v>
      </x:c>
      <x:c r="B167" t="str">
        <x:v>domyland.ru</x:v>
      </x:c>
      <x:c r="C167" t="e">
        <x:f>HYPERLINK("https://belberrycrm.bitrix24.ru/crm/deal/details/1578/","https://belberrycrm.bitrix24.ru/crm/deal/details/1578/")</x:f>
      </x:c>
      <x:c r="D167" t="str">
        <x:v>Реанимация</x:v>
      </x:c>
      <x:c r="E167" t="str">
        <x:v>ПРОДАЖИ: Отвалы</x:v>
      </x:c>
      <x:c r="F167" t="str">
        <x:v>Евгений Щемелёв</x:v>
      </x:c>
      <x:c r="G167" t="str">
        <x:v>нет</x:v>
      </x:c>
      <x:c r="H167" t="str">
        <x:v>нет</x:v>
      </x:c>
    </x:row>
    <x:row r="168">
      <x:c r="A168" t="str">
        <x:v>1586</x:v>
      </x:c>
      <x:c r="B168" t="str">
        <x:v>listratenkov.ru</x:v>
      </x:c>
      <x:c r="C168" t="e">
        <x:f>HYPERLINK("https://belberrycrm.bitrix24.ru/crm/deal/details/1586/","https://belberrycrm.bitrix24.ru/crm/deal/details/1586/")</x:f>
      </x:c>
      <x:c r="D168" t="str">
        <x:v>Реанимация</x:v>
      </x:c>
      <x:c r="E168" t="str">
        <x:v>АРХИВ Общая</x:v>
      </x:c>
      <x:c r="F168" t="str">
        <x:v>Екатерина Апушкина</x:v>
      </x:c>
      <x:c r="G168" t="str">
        <x:v>нет</x:v>
      </x:c>
      <x:c r="H168" t="str">
        <x:v>нет</x:v>
      </x:c>
    </x:row>
    <x:row r="169">
      <x:c r="A169" t="str">
        <x:v>1592</x:v>
      </x:c>
      <x:c r="B169" t="str">
        <x:v>mw-dent.ru</x:v>
      </x:c>
      <x:c r="C169" t="e">
        <x:f>HYPERLINK("https://belberrycrm.bitrix24.ru/crm/deal/details/1592/","https://belberrycrm.bitrix24.ru/crm/deal/details/1592/")</x:f>
      </x:c>
      <x:c r="D169" t="str">
        <x:v>Реанимация</x:v>
      </x:c>
      <x:c r="E169" t="str">
        <x:v>АРХИВ Общая</x:v>
      </x:c>
      <x:c r="F169" t="str">
        <x:v>Екатерина Апушкина</x:v>
      </x:c>
      <x:c r="G169" t="str">
        <x:v>нет</x:v>
      </x:c>
      <x:c r="H169" t="str">
        <x:v>нет</x:v>
      </x:c>
    </x:row>
    <x:row r="170">
      <x:c r="A170" t="str">
        <x:v>1604</x:v>
      </x:c>
      <x:c r="B170" t="str">
        <x:v>crjeunesse.ru</x:v>
      </x:c>
      <x:c r="C170" t="e">
        <x:f>HYPERLINK("https://belberrycrm.bitrix24.ru/crm/deal/details/1604/","https://belberrycrm.bitrix24.ru/crm/deal/details/1604/")</x:f>
      </x:c>
      <x:c r="D170" t="str">
        <x:v>Реанимация</x:v>
      </x:c>
      <x:c r="E170" t="str">
        <x:v>АРХИВ Общая</x:v>
      </x:c>
      <x:c r="F170" t="str">
        <x:v>Екатерина Апушкина</x:v>
      </x:c>
      <x:c r="G170" t="str">
        <x:v>нет</x:v>
      </x:c>
      <x:c r="H170" t="str">
        <x:v>нет</x:v>
      </x:c>
    </x:row>
    <x:row r="171">
      <x:c r="A171" t="str">
        <x:v>1606</x:v>
      </x:c>
      <x:c r="B171" t="str">
        <x:v>stk-clinic.ru</x:v>
      </x:c>
      <x:c r="C171" t="e">
        <x:f>HYPERLINK("https://belberrycrm.bitrix24.ru/crm/deal/details/1606/","https://belberrycrm.bitrix24.ru/crm/deal/details/1606/")</x:f>
      </x:c>
      <x:c r="D171" t="str">
        <x:v>Реанимация</x:v>
      </x:c>
      <x:c r="E171" t="str">
        <x:v>АРХИВ Общая</x:v>
      </x:c>
      <x:c r="F171" t="str">
        <x:v>Екатерина Апушкина</x:v>
      </x:c>
      <x:c r="G171" t="str">
        <x:v>нет</x:v>
      </x:c>
      <x:c r="H171" t="str">
        <x:v>нет</x:v>
      </x:c>
    </x:row>
    <x:row r="172">
      <x:c r="A172" t="str">
        <x:v>1610</x:v>
      </x:c>
      <x:c r="B172" t="str">
        <x:v>interdentos.ru</x:v>
      </x:c>
      <x:c r="C172" t="e">
        <x:f>HYPERLINK("https://belberrycrm.bitrix24.ru/crm/deal/details/1610/","https://belberrycrm.bitrix24.ru/crm/deal/details/1610/")</x:f>
      </x:c>
      <x:c r="D172" t="str">
        <x:v>Реанимация</x:v>
      </x:c>
      <x:c r="E172" t="str">
        <x:v>АРХИВ Общая</x:v>
      </x:c>
      <x:c r="F172" t="str">
        <x:v>Екатерина Апушкина</x:v>
      </x:c>
      <x:c r="G172" t="str">
        <x:v>нет</x:v>
      </x:c>
      <x:c r="H172" t="str">
        <x:v>нет</x:v>
      </x:c>
    </x:row>
    <x:row r="173">
      <x:c r="A173" t="str">
        <x:v>1614</x:v>
      </x:c>
      <x:c r="B173" t="str">
        <x:v>medicalclub.ru</x:v>
      </x:c>
      <x:c r="C173" t="e">
        <x:f>HYPERLINK("https://belberrycrm.bitrix24.ru/crm/deal/details/1614/","https://belberrycrm.bitrix24.ru/crm/deal/details/1614/")</x:f>
      </x:c>
      <x:c r="D173" t="str">
        <x:v>Реанимация</x:v>
      </x:c>
      <x:c r="E173" t="str">
        <x:v>ПРОДАЖИ: Отвалы</x:v>
      </x:c>
      <x:c r="F173" t="str">
        <x:v>Иван Халин</x:v>
      </x:c>
      <x:c r="G173" t="str">
        <x:v>нет</x:v>
      </x:c>
      <x:c r="H173" t="str">
        <x:v>нет</x:v>
      </x:c>
    </x:row>
    <x:row r="174">
      <x:c r="A174" t="str">
        <x:v>1620</x:v>
      </x:c>
      <x:c r="B174" t="str">
        <x:v>kineziterapiya-socolniki.ru</x:v>
      </x:c>
      <x:c r="C174" t="e">
        <x:f>HYPERLINK("https://belberrycrm.bitrix24.ru/crm/deal/details/1620/","https://belberrycrm.bitrix24.ru/crm/deal/details/1620/")</x:f>
      </x:c>
      <x:c r="D174" t="str">
        <x:v>Реанимация</x:v>
      </x:c>
      <x:c r="E174" t="str">
        <x:v>ПРОДАЖИ: Отвалы</x:v>
      </x:c>
      <x:c r="F174" t="str">
        <x:v>Георгий Погосян</x:v>
      </x:c>
      <x:c r="G174" t="str">
        <x:v>нет</x:v>
      </x:c>
      <x:c r="H174" t="str">
        <x:v>нет</x:v>
      </x:c>
    </x:row>
    <x:row r="175">
      <x:c r="A175" t="str">
        <x:v>1624</x:v>
      </x:c>
      <x:c r="B175" t="str">
        <x:v>Колесникова Светлана</x:v>
      </x:c>
      <x:c r="C175" t="e">
        <x:f>HYPERLINK("https://belberrycrm.bitrix24.ru/crm/deal/details/1624/","https://belberrycrm.bitrix24.ru/crm/deal/details/1624/")</x:f>
      </x:c>
      <x:c r="D175" t="str">
        <x:v>Реанимация</x:v>
      </x:c>
      <x:c r="E175" t="str">
        <x:v>ПРОДАЖИ: Отвалы</x:v>
      </x:c>
      <x:c r="F175" t="str">
        <x:v>Георгий Погосян</x:v>
      </x:c>
      <x:c r="G175" t="str">
        <x:v>нет</x:v>
      </x:c>
      <x:c r="H175" t="str">
        <x:v>нет</x:v>
      </x:c>
    </x:row>
    <x:row r="176">
      <x:c r="A176" t="str">
        <x:v>1632</x:v>
      </x:c>
      <x:c r="B176" t="str">
        <x:v>net-alko.ru</x:v>
      </x:c>
      <x:c r="C176" t="e">
        <x:f>HYPERLINK("https://belberrycrm.bitrix24.ru/crm/deal/details/1632/","https://belberrycrm.bitrix24.ru/crm/deal/details/1632/")</x:f>
      </x:c>
      <x:c r="D176" t="str">
        <x:v>Реанимация</x:v>
      </x:c>
      <x:c r="E176" t="str">
        <x:v>ПРОДАЖИ: Отвалы</x:v>
      </x:c>
      <x:c r="F176" t="str">
        <x:v>Екатерина Федоренко</x:v>
      </x:c>
      <x:c r="G176" t="str">
        <x:v>нет</x:v>
      </x:c>
      <x:c r="H176" t="str">
        <x:v>нет</x:v>
      </x:c>
    </x:row>
    <x:row r="177">
      <x:c r="A177" t="str">
        <x:v>1642</x:v>
      </x:c>
      <x:c r="B177" t="str">
        <x:v>mgpol2.ru</x:v>
      </x:c>
      <x:c r="C177" t="e">
        <x:f>HYPERLINK("https://belberrycrm.bitrix24.ru/crm/deal/details/1642/","https://belberrycrm.bitrix24.ru/crm/deal/details/1642/")</x:f>
      </x:c>
      <x:c r="D177" t="str">
        <x:v>Реанимация</x:v>
      </x:c>
      <x:c r="E177" t="str">
        <x:v>ПРОДАЖИ: Отвалы</x:v>
      </x:c>
      <x:c r="F177" t="str">
        <x:v>Георгий Погосян</x:v>
      </x:c>
      <x:c r="G177" t="str">
        <x:v>да</x:v>
      </x:c>
      <x:c r="H177" t="str">
        <x:v>нет</x:v>
      </x:c>
    </x:row>
    <x:row r="178">
      <x:c r="A178" t="str">
        <x:v>1652</x:v>
      </x:c>
      <x:c r="B178" t="str">
        <x:v>dentalcare.spb.ru</x:v>
      </x:c>
      <x:c r="C178" t="e">
        <x:f>HYPERLINK("https://belberrycrm.bitrix24.ru/crm/deal/details/1652/","https://belberrycrm.bitrix24.ru/crm/deal/details/1652/")</x:f>
      </x:c>
      <x:c r="D178" t="str">
        <x:v>Реанимация</x:v>
      </x:c>
      <x:c r="E178" t="str">
        <x:v>ПРОДАЖИ: Отвалы</x:v>
      </x:c>
      <x:c r="F178" t="str">
        <x:v>Иван Халин</x:v>
      </x:c>
      <x:c r="G178" t="str">
        <x:v>да</x:v>
      </x:c>
      <x:c r="H178" t="str">
        <x:v>нет</x:v>
      </x:c>
    </x:row>
    <x:row r="179">
      <x:c r="A179" t="str">
        <x:v>1656</x:v>
      </x:c>
      <x:c r="B179" t="str">
        <x:v>Галина</x:v>
      </x:c>
      <x:c r="C179" t="e">
        <x:f>HYPERLINK("https://belberrycrm.bitrix24.ru/crm/deal/details/1656/","https://belberrycrm.bitrix24.ru/crm/deal/details/1656/")</x:f>
      </x:c>
      <x:c r="D179" t="str">
        <x:v>Реанимация</x:v>
      </x:c>
      <x:c r="E179" t="str">
        <x:v>ПРОДАЖИ: Отвалы</x:v>
      </x:c>
      <x:c r="F179" t="str">
        <x:v>Екатерина Федоренко</x:v>
      </x:c>
      <x:c r="G179" t="str">
        <x:v>нет</x:v>
      </x:c>
      <x:c r="H179" t="str">
        <x:v>нет</x:v>
      </x:c>
    </x:row>
    <x:row r="180">
      <x:c r="A180" t="str">
        <x:v>1662</x:v>
      </x:c>
      <x:c r="B180" t="str">
        <x:v>dr-green.ru</x:v>
      </x:c>
      <x:c r="C180" t="e">
        <x:f>HYPERLINK("https://belberrycrm.bitrix24.ru/crm/deal/details/1662/","https://belberrycrm.bitrix24.ru/crm/deal/details/1662/")</x:f>
      </x:c>
      <x:c r="D180" t="str">
        <x:v>Реанимация</x:v>
      </x:c>
      <x:c r="E180" t="str">
        <x:v>ПРОДАЖИ: Отвалы</x:v>
      </x:c>
      <x:c r="F180" t="str">
        <x:v>Георгий Погосян</x:v>
      </x:c>
      <x:c r="G180" t="str">
        <x:v>нет</x:v>
      </x:c>
      <x:c r="H180" t="str">
        <x:v>нет</x:v>
      </x:c>
    </x:row>
    <x:row r="181">
      <x:c r="A181" t="str">
        <x:v>1670</x:v>
      </x:c>
      <x:c r="B181" t="str">
        <x:v>glaza63.ru</x:v>
      </x:c>
      <x:c r="C181" t="e">
        <x:f>HYPERLINK("https://belberrycrm.bitrix24.ru/crm/deal/details/1670/","https://belberrycrm.bitrix24.ru/crm/deal/details/1670/")</x:f>
      </x:c>
      <x:c r="D181" t="str">
        <x:v>Реанимация</x:v>
      </x:c>
      <x:c r="E181" t="str">
        <x:v>ПРОДАЖИ: Отвалы</x:v>
      </x:c>
      <x:c r="F181" t="str">
        <x:v>Екатерина Федоренко</x:v>
      </x:c>
      <x:c r="G181" t="str">
        <x:v>нет</x:v>
      </x:c>
      <x:c r="H181" t="str">
        <x:v>нет</x:v>
      </x:c>
    </x:row>
    <x:row r="182">
      <x:c r="A182" t="str">
        <x:v>1676</x:v>
      </x:c>
      <x:c r="B182" t="str">
        <x:v>nolplus.ru</x:v>
      </x:c>
      <x:c r="C182" t="e">
        <x:f>HYPERLINK("https://belberrycrm.bitrix24.ru/crm/deal/details/1676/","https://belberrycrm.bitrix24.ru/crm/deal/details/1676/")</x:f>
      </x:c>
      <x:c r="D182" t="str">
        <x:v>Реанимация</x:v>
      </x:c>
      <x:c r="E182" t="str">
        <x:v>ПРОДАЖИ: Отвалы</x:v>
      </x:c>
      <x:c r="F182" t="str">
        <x:v>Евгений Щемелёв</x:v>
      </x:c>
      <x:c r="G182" t="str">
        <x:v>нет</x:v>
      </x:c>
      <x:c r="H182" t="str">
        <x:v>нет</x:v>
      </x:c>
    </x:row>
    <x:row r="183">
      <x:c r="A183" t="str">
        <x:v>1678</x:v>
      </x:c>
      <x:c r="B183" t="str">
        <x:v>cmd-online.ru</x:v>
      </x:c>
      <x:c r="C183" t="e">
        <x:f>HYPERLINK("https://belberrycrm.bitrix24.ru/crm/deal/details/1678/","https://belberrycrm.bitrix24.ru/crm/deal/details/1678/")</x:f>
      </x:c>
      <x:c r="D183" t="str">
        <x:v>Реанимация</x:v>
      </x:c>
      <x:c r="E183" t="str">
        <x:v>ПРОДАЖИ: Отвалы</x:v>
      </x:c>
      <x:c r="F183" t="str">
        <x:v>Иван Халин</x:v>
      </x:c>
      <x:c r="G183" t="str">
        <x:v>нет</x:v>
      </x:c>
      <x:c r="H183" t="str">
        <x:v>нет</x:v>
      </x:c>
    </x:row>
    <x:row r="184">
      <x:c r="A184" t="str">
        <x:v>1686</x:v>
      </x:c>
      <x:c r="B184" t="str">
        <x:v>rgnkc.ru</x:v>
      </x:c>
      <x:c r="C184" t="e">
        <x:f>HYPERLINK("https://belberrycrm.bitrix24.ru/crm/deal/details/1686/","https://belberrycrm.bitrix24.ru/crm/deal/details/1686/")</x:f>
      </x:c>
      <x:c r="D184" t="str">
        <x:v>Реанимация</x:v>
      </x:c>
      <x:c r="E184" t="str">
        <x:v>ПРОДАЖИ: Отвалы</x:v>
      </x:c>
      <x:c r="F184" t="str">
        <x:v>Екатерина Федоренко</x:v>
      </x:c>
      <x:c r="G184" t="str">
        <x:v>нет</x:v>
      </x:c>
      <x:c r="H184" t="str">
        <x:v>нет</x:v>
      </x:c>
    </x:row>
    <x:row r="185">
      <x:c r="A185" t="str">
        <x:v>1688</x:v>
      </x:c>
      <x:c r="B185" t="str">
        <x:v>Игорь</x:v>
      </x:c>
      <x:c r="C185" t="e">
        <x:f>HYPERLINK("https://belberrycrm.bitrix24.ru/crm/deal/details/1688/","https://belberrycrm.bitrix24.ru/crm/deal/details/1688/")</x:f>
      </x:c>
      <x:c r="D185" t="str">
        <x:v>Реанимация</x:v>
      </x:c>
      <x:c r="E185" t="str">
        <x:v>ПРОДАЖИ: Отвалы</x:v>
      </x:c>
      <x:c r="F185" t="str">
        <x:v>Георгий Погосян</x:v>
      </x:c>
      <x:c r="G185" t="str">
        <x:v>нет</x:v>
      </x:c>
      <x:c r="H185" t="str">
        <x:v>нет</x:v>
      </x:c>
    </x:row>
    <x:row r="186">
      <x:c r="A186" t="str">
        <x:v>1696</x:v>
      </x:c>
      <x:c r="B186" t="str">
        <x:v>Анастасия Репина</x:v>
      </x:c>
      <x:c r="C186" t="e">
        <x:f>HYPERLINK("https://belberrycrm.bitrix24.ru/crm/deal/details/1696/","https://belberrycrm.bitrix24.ru/crm/deal/details/1696/")</x:f>
      </x:c>
      <x:c r="D186" t="str">
        <x:v>Реанимация</x:v>
      </x:c>
      <x:c r="E186" t="str">
        <x:v>ПРОДАЖИ: Отвалы</x:v>
      </x:c>
      <x:c r="F186" t="str">
        <x:v>Георгий Погосян</x:v>
      </x:c>
      <x:c r="G186" t="str">
        <x:v>да</x:v>
      </x:c>
      <x:c r="H186" t="str">
        <x:v>нет</x:v>
      </x:c>
    </x:row>
    <x:row r="187">
      <x:c r="A187" t="str">
        <x:v>1700</x:v>
      </x:c>
      <x:c r="B187" t="str">
        <x:v>Косяков Сергей Яковлевич</x:v>
      </x:c>
      <x:c r="C187" t="e">
        <x:f>HYPERLINK("https://belberrycrm.bitrix24.ru/crm/deal/details/1700/","https://belberrycrm.bitrix24.ru/crm/deal/details/1700/")</x:f>
      </x:c>
      <x:c r="D187" t="str">
        <x:v>Реанимация</x:v>
      </x:c>
      <x:c r="E187" t="str">
        <x:v>ПРОДАЖИ: Отвалы</x:v>
      </x:c>
      <x:c r="F187" t="str">
        <x:v>Георгий Погосян</x:v>
      </x:c>
      <x:c r="G187" t="str">
        <x:v>да</x:v>
      </x:c>
      <x:c r="H187" t="str">
        <x:v>нет</x:v>
      </x:c>
    </x:row>
    <x:row r="188">
      <x:c r="A188" t="str">
        <x:v>1708</x:v>
      </x:c>
      <x:c r="B188" t="str">
        <x:v>Александр Николаевич Хван</x:v>
      </x:c>
      <x:c r="C188" t="e">
        <x:f>HYPERLINK("https://belberrycrm.bitrix24.ru/crm/deal/details/1708/","https://belberrycrm.bitrix24.ru/crm/deal/details/1708/")</x:f>
      </x:c>
      <x:c r="D188" t="str">
        <x:v>Реанимация</x:v>
      </x:c>
      <x:c r="E188" t="str">
        <x:v>ПРОДАЖИ: Отвалы</x:v>
      </x:c>
      <x:c r="F188" t="str">
        <x:v>Георгий Погосян</x:v>
      </x:c>
      <x:c r="G188" t="str">
        <x:v>да</x:v>
      </x:c>
      <x:c r="H188" t="str">
        <x:v>нет</x:v>
      </x:c>
    </x:row>
    <x:row r="189">
      <x:c r="A189" t="str">
        <x:v>1712</x:v>
      </x:c>
      <x:c r="B189" t="str">
        <x:v>stom03.ru</x:v>
      </x:c>
      <x:c r="C189" t="e">
        <x:f>HYPERLINK("https://belberrycrm.bitrix24.ru/crm/deal/details/1712/","https://belberrycrm.bitrix24.ru/crm/deal/details/1712/")</x:f>
      </x:c>
      <x:c r="D189" t="str">
        <x:v>Реанимация</x:v>
      </x:c>
      <x:c r="E189" t="str">
        <x:v>ПРОДАЖИ: Отвалы</x:v>
      </x:c>
      <x:c r="F189" t="str">
        <x:v>Георгий Погосян</x:v>
      </x:c>
      <x:c r="G189" t="str">
        <x:v>нет</x:v>
      </x:c>
      <x:c r="H189" t="str">
        <x:v>нет</x:v>
      </x:c>
    </x:row>
    <x:row r="190">
      <x:c r="A190" t="str">
        <x:v>1716</x:v>
      </x:c>
      <x:c r="B190" t="str">
        <x:v>akusherka.pro</x:v>
      </x:c>
      <x:c r="C190" t="e">
        <x:f>HYPERLINK("https://belberrycrm.bitrix24.ru/crm/deal/details/1716/","https://belberrycrm.bitrix24.ru/crm/deal/details/1716/")</x:f>
      </x:c>
      <x:c r="D190" t="str">
        <x:v>Реанимация</x:v>
      </x:c>
      <x:c r="E190" t="str">
        <x:v>ПРОДАЖИ: Отвалы</x:v>
      </x:c>
      <x:c r="F190" t="str">
        <x:v>Екатерина Федоренко</x:v>
      </x:c>
      <x:c r="G190" t="str">
        <x:v>нет</x:v>
      </x:c>
      <x:c r="H190" t="str">
        <x:v>нет</x:v>
      </x:c>
    </x:row>
    <x:row r="191">
      <x:c r="A191" t="str">
        <x:v>1718</x:v>
      </x:c>
      <x:c r="B191" t="str">
        <x:v>sun-clinic.ru</x:v>
      </x:c>
      <x:c r="C191" t="e">
        <x:f>HYPERLINK("https://belberrycrm.bitrix24.ru/crm/deal/details/1718/","https://belberrycrm.bitrix24.ru/crm/deal/details/1718/")</x:f>
      </x:c>
      <x:c r="D191" t="str">
        <x:v>Реанимация</x:v>
      </x:c>
      <x:c r="E191" t="str">
        <x:v>ПРОДАЖИ: Отвалы</x:v>
      </x:c>
      <x:c r="F191" t="str">
        <x:v>Екатерина Федоренко</x:v>
      </x:c>
      <x:c r="G191" t="str">
        <x:v>нет</x:v>
      </x:c>
      <x:c r="H191" t="str">
        <x:v>нет</x:v>
      </x:c>
    </x:row>
    <x:row r="192">
      <x:c r="A192" t="str">
        <x:v>1720</x:v>
      </x:c>
      <x:c r="B192" t="str">
        <x:v>mombabyclinic.ru</x:v>
      </x:c>
      <x:c r="C192" t="e">
        <x:f>HYPERLINK("https://belberrycrm.bitrix24.ru/crm/deal/details/1720/","https://belberrycrm.bitrix24.ru/crm/deal/details/1720/")</x:f>
      </x:c>
      <x:c r="D192" t="str">
        <x:v>Реанимация</x:v>
      </x:c>
      <x:c r="E192" t="str">
        <x:v>АРХИВ Общая</x:v>
      </x:c>
      <x:c r="F192" t="str">
        <x:v>Екатерина Апушкина</x:v>
      </x:c>
      <x:c r="G192" t="str">
        <x:v>нет</x:v>
      </x:c>
      <x:c r="H192" t="str">
        <x:v>нет</x:v>
      </x:c>
    </x:row>
    <x:row r="193">
      <x:c r="A193" t="str">
        <x:v>1738</x:v>
      </x:c>
      <x:c r="B193" t="str">
        <x:v>Анастасия</x:v>
      </x:c>
      <x:c r="C193" t="e">
        <x:f>HYPERLINK("https://belberrycrm.bitrix24.ru/crm/deal/details/1738/","https://belberrycrm.bitrix24.ru/crm/deal/details/1738/")</x:f>
      </x:c>
      <x:c r="D193" t="str">
        <x:v>Реанимация</x:v>
      </x:c>
      <x:c r="E193" t="str">
        <x:v>ПРОДАЖИ: Отвалы</x:v>
      </x:c>
      <x:c r="F193" t="str">
        <x:v>Георгий Погосян</x:v>
      </x:c>
      <x:c r="G193" t="str">
        <x:v>да</x:v>
      </x:c>
      <x:c r="H193" t="str">
        <x:v>нет</x:v>
      </x:c>
    </x:row>
    <x:row r="194">
      <x:c r="A194" t="str">
        <x:v>1744</x:v>
      </x:c>
      <x:c r="B194" t="str">
        <x:v>med-est.ru</x:v>
      </x:c>
      <x:c r="C194" t="e">
        <x:f>HYPERLINK("https://belberrycrm.bitrix24.ru/crm/deal/details/1744/","https://belberrycrm.bitrix24.ru/crm/deal/details/1744/")</x:f>
      </x:c>
      <x:c r="D194" t="str">
        <x:v>Реанимация</x:v>
      </x:c>
      <x:c r="E194" t="str">
        <x:v>АРХИВ Общая</x:v>
      </x:c>
      <x:c r="F194" t="str">
        <x:v>Екатерина Апушкина</x:v>
      </x:c>
      <x:c r="G194" t="str">
        <x:v>нет</x:v>
      </x:c>
      <x:c r="H194" t="str">
        <x:v>нет</x:v>
      </x:c>
    </x:row>
    <x:row r="195">
      <x:c r="A195" t="str">
        <x:v>1748</x:v>
      </x:c>
      <x:c r="B195" t="str">
        <x:v>evrovetonline.ru</x:v>
      </x:c>
      <x:c r="C195" t="e">
        <x:f>HYPERLINK("https://belberrycrm.bitrix24.ru/crm/deal/details/1748/","https://belberrycrm.bitrix24.ru/crm/deal/details/1748/")</x:f>
      </x:c>
      <x:c r="D195" t="str">
        <x:v>Реанимация</x:v>
      </x:c>
      <x:c r="E195" t="str">
        <x:v>ПРОДАЖИ: Отвалы</x:v>
      </x:c>
      <x:c r="F195" t="str">
        <x:v>Георгий Погосян</x:v>
      </x:c>
      <x:c r="G195" t="str">
        <x:v>нет</x:v>
      </x:c>
      <x:c r="H195" t="str">
        <x:v>нет</x:v>
      </x:c>
    </x:row>
    <x:row r="196">
      <x:c r="A196" t="str">
        <x:v>1758</x:v>
      </x:c>
      <x:c r="B196" t="str">
        <x:v>sporttravma.org</x:v>
      </x:c>
      <x:c r="C196" t="e">
        <x:f>HYPERLINK("https://belberrycrm.bitrix24.ru/crm/deal/details/1758/","https://belberrycrm.bitrix24.ru/crm/deal/details/1758/")</x:f>
      </x:c>
      <x:c r="D196" t="str">
        <x:v>Реанимация</x:v>
      </x:c>
      <x:c r="E196" t="str">
        <x:v>ПРОДАЖИ: Отвалы</x:v>
      </x:c>
      <x:c r="F196" t="str">
        <x:v>Георгий Погосян</x:v>
      </x:c>
      <x:c r="G196" t="str">
        <x:v>да</x:v>
      </x:c>
      <x:c r="H196" t="str">
        <x:v>нет</x:v>
      </x:c>
    </x:row>
    <x:row r="197">
      <x:c r="A197" t="str">
        <x:v>1762</x:v>
      </x:c>
      <x:c r="B197" t="str">
        <x:v>Амина</x:v>
      </x:c>
      <x:c r="C197" t="e">
        <x:f>HYPERLINK("https://belberrycrm.bitrix24.ru/crm/deal/details/1762/","https://belberrycrm.bitrix24.ru/crm/deal/details/1762/")</x:f>
      </x:c>
      <x:c r="D197" t="str">
        <x:v>Реанимация</x:v>
      </x:c>
      <x:c r="E197" t="str">
        <x:v>ПРОДАЖИ: Отвалы</x:v>
      </x:c>
      <x:c r="F197" t="str">
        <x:v>Георгий Погосян</x:v>
      </x:c>
      <x:c r="G197" t="str">
        <x:v>нет</x:v>
      </x:c>
      <x:c r="H197" t="str">
        <x:v>нет</x:v>
      </x:c>
    </x:row>
    <x:row r="198">
      <x:c r="A198" t="str">
        <x:v>1764</x:v>
      </x:c>
      <x:c r="B198" t="str">
        <x:v>Анна Макарова</x:v>
      </x:c>
      <x:c r="C198" t="e">
        <x:f>HYPERLINK("https://belberrycrm.bitrix24.ru/crm/deal/details/1764/","https://belberrycrm.bitrix24.ru/crm/deal/details/1764/")</x:f>
      </x:c>
      <x:c r="D198" t="str">
        <x:v>Реанимация</x:v>
      </x:c>
      <x:c r="E198" t="str">
        <x:v>ПРОДАЖИ: Отвалы</x:v>
      </x:c>
      <x:c r="F198" t="str">
        <x:v>Георгий Погосян</x:v>
      </x:c>
      <x:c r="G198" t="str">
        <x:v>нет</x:v>
      </x:c>
      <x:c r="H198" t="str">
        <x:v>нет</x:v>
      </x:c>
    </x:row>
    <x:row r="199">
      <x:c r="A199" t="str">
        <x:v>1766</x:v>
      </x:c>
      <x:c r="B199" t="str">
        <x:v>Анастасия</x:v>
      </x:c>
      <x:c r="C199" t="e">
        <x:f>HYPERLINK("https://belberrycrm.bitrix24.ru/crm/deal/details/1766/","https://belberrycrm.bitrix24.ru/crm/deal/details/1766/")</x:f>
      </x:c>
      <x:c r="D199" t="str">
        <x:v>Реанимация</x:v>
      </x:c>
      <x:c r="E199" t="str">
        <x:v>ПРОДАЖИ: Отвалы</x:v>
      </x:c>
      <x:c r="F199" t="str">
        <x:v>Георгий Погосян</x:v>
      </x:c>
      <x:c r="G199" t="str">
        <x:v>нет</x:v>
      </x:c>
      <x:c r="H199" t="str">
        <x:v>нет</x:v>
      </x:c>
    </x:row>
    <x:row r="200">
      <x:c r="A200" t="str">
        <x:v>1772</x:v>
      </x:c>
      <x:c r="B200" t="str">
        <x:v>Антон Корс</x:v>
      </x:c>
      <x:c r="C200" t="e">
        <x:f>HYPERLINK("https://belberrycrm.bitrix24.ru/crm/deal/details/1772/","https://belberrycrm.bitrix24.ru/crm/deal/details/1772/")</x:f>
      </x:c>
      <x:c r="D200" t="str">
        <x:v>Реанимация</x:v>
      </x:c>
      <x:c r="E200" t="str">
        <x:v>ПРОДАЖИ: Отвалы</x:v>
      </x:c>
      <x:c r="F200" t="str">
        <x:v>Георгий Погосян</x:v>
      </x:c>
      <x:c r="G200" t="str">
        <x:v>нет</x:v>
      </x:c>
      <x:c r="H200" t="str">
        <x:v>нет</x:v>
      </x:c>
    </x:row>
    <x:row r="201">
      <x:c r="A201" t="str">
        <x:v>1774</x:v>
      </x:c>
      <x:c r="B201" t="str">
        <x:v>Жанна</x:v>
      </x:c>
      <x:c r="C201" t="e">
        <x:f>HYPERLINK("https://belberrycrm.bitrix24.ru/crm/deal/details/1774/","https://belberrycrm.bitrix24.ru/crm/deal/details/1774/")</x:f>
      </x:c>
      <x:c r="D201" t="str">
        <x:v>Реанимация</x:v>
      </x:c>
      <x:c r="E201" t="str">
        <x:v>ПРОДАЖИ: Отвалы</x:v>
      </x:c>
      <x:c r="F201" t="str">
        <x:v>Георгий Погосян</x:v>
      </x:c>
      <x:c r="G201" t="str">
        <x:v>нет</x:v>
      </x:c>
      <x:c r="H201" t="str">
        <x:v>нет</x:v>
      </x:c>
    </x:row>
    <x:row r="202">
      <x:c r="A202" t="str">
        <x:v>1775</x:v>
      </x:c>
      <x:c r="B202" t="str">
        <x:v>Эстетика</x:v>
      </x:c>
      <x:c r="C202" t="e">
        <x:f>HYPERLINK("https://belberrycrm.bitrix24.ru/crm/deal/details/1775/","https://belberrycrm.bitrix24.ru/crm/deal/details/1775/")</x:f>
      </x:c>
      <x:c r="D202" t="str">
        <x:v>Реанимация</x:v>
      </x:c>
      <x:c r="E202" t="str">
        <x:v>ПРОДАЖИ: Отвалы</x:v>
      </x:c>
      <x:c r="F202" t="str">
        <x:v>Георгий Погосян</x:v>
      </x:c>
      <x:c r="G202" t="str">
        <x:v>нет</x:v>
      </x:c>
      <x:c r="H202" t="str">
        <x:v>нет</x:v>
      </x:c>
    </x:row>
    <x:row r="203">
      <x:c r="A203" t="str">
        <x:v>1776</x:v>
      </x:c>
      <x:c r="B203" t="str">
        <x:v>nur-03.ru</x:v>
      </x:c>
      <x:c r="C203" t="e">
        <x:f>HYPERLINK("https://belberrycrm.bitrix24.ru/crm/deal/details/1776/","https://belberrycrm.bitrix24.ru/crm/deal/details/1776/")</x:f>
      </x:c>
      <x:c r="D203" t="str">
        <x:v>Реанимация</x:v>
      </x:c>
      <x:c r="E203" t="str">
        <x:v>ПРОДАЖИ: Отвалы</x:v>
      </x:c>
      <x:c r="F203" t="str">
        <x:v>Георгий Погосян</x:v>
      </x:c>
      <x:c r="G203" t="str">
        <x:v>нет</x:v>
      </x:c>
      <x:c r="H203" t="str">
        <x:v>нет</x:v>
      </x:c>
    </x:row>
    <x:row r="204">
      <x:c r="A204" t="str">
        <x:v>1782</x:v>
      </x:c>
      <x:c r="B204" t="str">
        <x:v>Фатимедикал</x:v>
      </x:c>
      <x:c r="C204" t="e">
        <x:f>HYPERLINK("https://belberrycrm.bitrix24.ru/crm/deal/details/1782/","https://belberrycrm.bitrix24.ru/crm/deal/details/1782/")</x:f>
      </x:c>
      <x:c r="D204" t="str">
        <x:v>Реанимация</x:v>
      </x:c>
      <x:c r="E204" t="str">
        <x:v>ПРОДАЖИ: Отвалы</x:v>
      </x:c>
      <x:c r="F204" t="str">
        <x:v>Екатерина Федоренко</x:v>
      </x:c>
      <x:c r="G204" t="str">
        <x:v>нет</x:v>
      </x:c>
      <x:c r="H204" t="str">
        <x:v>нет</x:v>
      </x:c>
    </x:row>
    <x:row r="205">
      <x:c r="A205" t="str">
        <x:v>1800</x:v>
      </x:c>
      <x:c r="B205" t="str">
        <x:v>Елена Альтшулер</x:v>
      </x:c>
      <x:c r="C205" t="e">
        <x:f>HYPERLINK("https://belberrycrm.bitrix24.ru/crm/deal/details/1800/","https://belberrycrm.bitrix24.ru/crm/deal/details/1800/")</x:f>
      </x:c>
      <x:c r="D205" t="str">
        <x:v>Реанимация</x:v>
      </x:c>
      <x:c r="E205" t="str">
        <x:v>ПРОДАЖИ: Отвалы</x:v>
      </x:c>
      <x:c r="F205" t="str">
        <x:v>Георгий Погосян</x:v>
      </x:c>
      <x:c r="G205" t="str">
        <x:v>нет</x:v>
      </x:c>
      <x:c r="H205" t="str">
        <x:v>нет</x:v>
      </x:c>
    </x:row>
    <x:row r="206">
      <x:c r="A206" t="str">
        <x:v>1804</x:v>
      </x:c>
      <x:c r="B206" t="str">
        <x:v>doctorvdom.ru</x:v>
      </x:c>
      <x:c r="C206" t="e">
        <x:f>HYPERLINK("https://belberrycrm.bitrix24.ru/crm/deal/details/1804/","https://belberrycrm.bitrix24.ru/crm/deal/details/1804/")</x:f>
      </x:c>
      <x:c r="D206" t="str">
        <x:v>Реанимация</x:v>
      </x:c>
      <x:c r="E206" t="str">
        <x:v>ПРОДАЖИ: Отвалы</x:v>
      </x:c>
      <x:c r="F206" t="str">
        <x:v>Георгий Погосян</x:v>
      </x:c>
      <x:c r="G206" t="str">
        <x:v>нет</x:v>
      </x:c>
      <x:c r="H206" t="str">
        <x:v>нет</x:v>
      </x:c>
    </x:row>
    <x:row r="207">
      <x:c r="A207" t="str">
        <x:v>1810</x:v>
      </x:c>
      <x:c r="B207" t="str">
        <x:v>Скухторов Андрей Андреевич</x:v>
      </x:c>
      <x:c r="C207" t="e">
        <x:f>HYPERLINK("https://belberrycrm.bitrix24.ru/crm/deal/details/1810/","https://belberrycrm.bitrix24.ru/crm/deal/details/1810/")</x:f>
      </x:c>
      <x:c r="D207" t="str">
        <x:v>Реанимация</x:v>
      </x:c>
      <x:c r="E207" t="str">
        <x:v>ПРОДАЖИ: Отвалы</x:v>
      </x:c>
      <x:c r="F207" t="str">
        <x:v>Георгий Погосян</x:v>
      </x:c>
      <x:c r="G207" t="str">
        <x:v>нет</x:v>
      </x:c>
      <x:c r="H207" t="str">
        <x:v>нет</x:v>
      </x:c>
    </x:row>
    <x:row r="208">
      <x:c r="A208" t="str">
        <x:v>1832</x:v>
      </x:c>
      <x:c r="B208" t="str">
        <x:v>estetclinic.ru</x:v>
      </x:c>
      <x:c r="C208" t="e">
        <x:f>HYPERLINK("https://belberrycrm.bitrix24.ru/crm/deal/details/1832/","https://belberrycrm.bitrix24.ru/crm/deal/details/1832/")</x:f>
      </x:c>
      <x:c r="D208" t="str">
        <x:v>Реанимация</x:v>
      </x:c>
      <x:c r="E208" t="str">
        <x:v>ПРОДАЖИ: Отвалы</x:v>
      </x:c>
      <x:c r="F208" t="str">
        <x:v>Екатерина Федоренко</x:v>
      </x:c>
      <x:c r="G208" t="str">
        <x:v>нет</x:v>
      </x:c>
      <x:c r="H208" t="str">
        <x:v>нет</x:v>
      </x:c>
    </x:row>
    <x:row r="209">
      <x:c r="A209" t="str">
        <x:v>1840</x:v>
      </x:c>
      <x:c r="B209" t="str">
        <x:v>fnkc.ru</x:v>
      </x:c>
      <x:c r="C209" t="e">
        <x:f>HYPERLINK("https://belberrycrm.bitrix24.ru/crm/deal/details/1840/","https://belberrycrm.bitrix24.ru/crm/deal/details/1840/")</x:f>
      </x:c>
      <x:c r="D209" t="str">
        <x:v>Реанимация</x:v>
      </x:c>
      <x:c r="E209" t="str">
        <x:v>ПРОДАЖИ: Отвалы</x:v>
      </x:c>
      <x:c r="F209" t="str">
        <x:v>Екатерина Федоренко</x:v>
      </x:c>
      <x:c r="G209" t="str">
        <x:v>нет</x:v>
      </x:c>
      <x:c r="H209" t="str">
        <x:v>нет</x:v>
      </x:c>
    </x:row>
    <x:row r="210">
      <x:c r="A210" t="str">
        <x:v>1842</x:v>
      </x:c>
      <x:c r="B210" t="str">
        <x:v>jemchug2003.ru</x:v>
      </x:c>
      <x:c r="C210" t="e">
        <x:f>HYPERLINK("https://belberrycrm.bitrix24.ru/crm/deal/details/1842/","https://belberrycrm.bitrix24.ru/crm/deal/details/1842/")</x:f>
      </x:c>
      <x:c r="D210" t="str">
        <x:v>Реанимация</x:v>
      </x:c>
      <x:c r="E210" t="str">
        <x:v>ПРОДАЖИ: Отвалы</x:v>
      </x:c>
      <x:c r="F210" t="str">
        <x:v>Екатерина Федоренко</x:v>
      </x:c>
      <x:c r="G210" t="str">
        <x:v>нет</x:v>
      </x:c>
      <x:c r="H210" t="str">
        <x:v>нет</x:v>
      </x:c>
    </x:row>
    <x:row r="211">
      <x:c r="A211" t="str">
        <x:v>1858</x:v>
      </x:c>
      <x:c r="B211" t="str">
        <x:v>prbmo.ru</x:v>
      </x:c>
      <x:c r="C211" t="e">
        <x:f>HYPERLINK("https://belberrycrm.bitrix24.ru/crm/deal/details/1858/","https://belberrycrm.bitrix24.ru/crm/deal/details/1858/")</x:f>
      </x:c>
      <x:c r="D211" t="str">
        <x:v>Реанимация</x:v>
      </x:c>
      <x:c r="E211" t="str">
        <x:v>ПРОДАЖИ: Отвалы</x:v>
      </x:c>
      <x:c r="F211" t="str">
        <x:v>Георгий Погосян</x:v>
      </x:c>
      <x:c r="G211" t="str">
        <x:v>да</x:v>
      </x:c>
      <x:c r="H211" t="str">
        <x:v>нет</x:v>
      </x:c>
    </x:row>
    <x:row r="212">
      <x:c r="A212" t="str">
        <x:v>1872</x:v>
      </x:c>
      <x:c r="B212" t="str">
        <x:v>homeoptikaoculus.ru</x:v>
      </x:c>
      <x:c r="C212" t="e">
        <x:f>HYPERLINK("https://belberrycrm.bitrix24.ru/crm/deal/details/1872/","https://belberrycrm.bitrix24.ru/crm/deal/details/1872/")</x:f>
      </x:c>
      <x:c r="D212" t="str">
        <x:v>Реанимация</x:v>
      </x:c>
      <x:c r="E212" t="str">
        <x:v>ПРОДАЖИ: Отвалы</x:v>
      </x:c>
      <x:c r="F212" t="str">
        <x:v>Евгений Щемелёв</x:v>
      </x:c>
      <x:c r="G212" t="str">
        <x:v>нет</x:v>
      </x:c>
      <x:c r="H212" t="str">
        <x:v>нет</x:v>
      </x:c>
    </x:row>
    <x:row r="213">
      <x:c r="A213" t="str">
        <x:v>1876</x:v>
      </x:c>
      <x:c r="B213" t="str">
        <x:v>yuga-medikal.ru</x:v>
      </x:c>
      <x:c r="C213" t="e">
        <x:f>HYPERLINK("https://belberrycrm.bitrix24.ru/crm/deal/details/1876/","https://belberrycrm.bitrix24.ru/crm/deal/details/1876/")</x:f>
      </x:c>
      <x:c r="D213" t="str">
        <x:v>Реанимация</x:v>
      </x:c>
      <x:c r="E213" t="str">
        <x:v>ПРОДАЖИ: Отвалы</x:v>
      </x:c>
      <x:c r="F213" t="str">
        <x:v>Георгий Погосян</x:v>
      </x:c>
      <x:c r="G213" t="str">
        <x:v>нет</x:v>
      </x:c>
      <x:c r="H213" t="str">
        <x:v>нет</x:v>
      </x:c>
    </x:row>
    <x:row r="214">
      <x:c r="A214" t="str">
        <x:v>1886</x:v>
      </x:c>
      <x:c r="B214" t="str">
        <x:v>euroinvest-spb.ru</x:v>
      </x:c>
      <x:c r="C214" t="e">
        <x:f>HYPERLINK("https://belberrycrm.bitrix24.ru/crm/deal/details/1886/","https://belberrycrm.bitrix24.ru/crm/deal/details/1886/")</x:f>
      </x:c>
      <x:c r="D214" t="str">
        <x:v>Реанимация</x:v>
      </x:c>
      <x:c r="E214" t="str">
        <x:v>ПРОДАЖИ: Отвалы</x:v>
      </x:c>
      <x:c r="F214" t="str">
        <x:v>Екатерина Федоренко</x:v>
      </x:c>
      <x:c r="G214" t="str">
        <x:v>нет</x:v>
      </x:c>
      <x:c r="H214" t="str">
        <x:v>нет</x:v>
      </x:c>
    </x:row>
    <x:row r="215">
      <x:c r="A215" t="str">
        <x:v>1892</x:v>
      </x:c>
      <x:c r="B215" t="str">
        <x:v>artemida-med.ru</x:v>
      </x:c>
      <x:c r="C215" t="e">
        <x:f>HYPERLINK("https://belberrycrm.bitrix24.ru/crm/deal/details/1892/","https://belberrycrm.bitrix24.ru/crm/deal/details/1892/")</x:f>
      </x:c>
      <x:c r="D215" t="str">
        <x:v>Реанимация</x:v>
      </x:c>
      <x:c r="E215" t="str">
        <x:v>ПРОДАЖИ: Отвалы</x:v>
      </x:c>
      <x:c r="F215" t="str">
        <x:v>Иван Халин</x:v>
      </x:c>
      <x:c r="G215" t="str">
        <x:v>нет</x:v>
      </x:c>
      <x:c r="H215" t="str">
        <x:v>нет</x:v>
      </x:c>
    </x:row>
    <x:row r="216">
      <x:c r="A216" t="str">
        <x:v>1894</x:v>
      </x:c>
      <x:c r="B216" t="str">
        <x:v>Стоматология Возрождение на Лесной улице в Королёве</x:v>
      </x:c>
      <x:c r="C216" t="e">
        <x:f>HYPERLINK("https://belberrycrm.bitrix24.ru/crm/deal/details/1894/","https://belberrycrm.bitrix24.ru/crm/deal/details/1894/")</x:f>
      </x:c>
      <x:c r="D216" t="str">
        <x:v>Реанимация</x:v>
      </x:c>
      <x:c r="E216" t="str">
        <x:v>ПРОДАЖИ: Отвалы</x:v>
      </x:c>
      <x:c r="F216" t="str">
        <x:v>Евгений Щемелёв</x:v>
      </x:c>
      <x:c r="G216" t="str">
        <x:v>нет</x:v>
      </x:c>
      <x:c r="H216" t="str">
        <x:v>нет</x:v>
      </x:c>
    </x:row>
    <x:row r="217">
      <x:c r="A217" t="str">
        <x:v>1900</x:v>
      </x:c>
      <x:c r="B217" t="str">
        <x:v>aquatornado.ru</x:v>
      </x:c>
      <x:c r="C217" t="e">
        <x:f>HYPERLINK("https://belberrycrm.bitrix24.ru/crm/deal/details/1900/","https://belberrycrm.bitrix24.ru/crm/deal/details/1900/")</x:f>
      </x:c>
      <x:c r="D217" t="str">
        <x:v>Реанимация</x:v>
      </x:c>
      <x:c r="E217" t="str">
        <x:v>ПРОДАЖИ: Отвалы</x:v>
      </x:c>
      <x:c r="F217" t="str">
        <x:v>Иван Халин</x:v>
      </x:c>
      <x:c r="G217" t="str">
        <x:v>нет</x:v>
      </x:c>
      <x:c r="H217" t="str">
        <x:v>нет</x:v>
      </x:c>
    </x:row>
    <x:row r="218">
      <x:c r="A218" t="str">
        <x:v>1904</x:v>
      </x:c>
      <x:c r="B218" t="str">
        <x:v>аннакан.рф</x:v>
      </x:c>
      <x:c r="C218" t="e">
        <x:f>HYPERLINK("https://belberrycrm.bitrix24.ru/crm/deal/details/1904/","https://belberrycrm.bitrix24.ru/crm/deal/details/1904/")</x:f>
      </x:c>
      <x:c r="D218" t="str">
        <x:v>Реанимация</x:v>
      </x:c>
      <x:c r="E218" t="str">
        <x:v>ПРОДАЖИ: Отвалы</x:v>
      </x:c>
      <x:c r="F218" t="str">
        <x:v>Иван Халин</x:v>
      </x:c>
      <x:c r="G218" t="str">
        <x:v>нет</x:v>
      </x:c>
      <x:c r="H218" t="str">
        <x:v>нет</x:v>
      </x:c>
    </x:row>
    <x:row r="219">
      <x:c r="A219" t="str">
        <x:v>1910</x:v>
      </x:c>
      <x:c r="B219" t="str">
        <x:v>prezi-dent.ru/frunzenskaya/stomatologiya</x:v>
      </x:c>
      <x:c r="C219" t="e">
        <x:f>HYPERLINK("https://belberrycrm.bitrix24.ru/crm/deal/details/1910/","https://belberrycrm.bitrix24.ru/crm/deal/details/1910/")</x:f>
      </x:c>
      <x:c r="D219" t="str">
        <x:v>Реанимация</x:v>
      </x:c>
      <x:c r="E219" t="str">
        <x:v>ПРОДАЖИ: Отвалы</x:v>
      </x:c>
      <x:c r="F219" t="str">
        <x:v>Евгений Щемелёв</x:v>
      </x:c>
      <x:c r="G219" t="str">
        <x:v>нет</x:v>
      </x:c>
      <x:c r="H219" t="str">
        <x:v>нет</x:v>
      </x:c>
    </x:row>
    <x:row r="220">
      <x:c r="A220" t="str">
        <x:v>1912</x:v>
      </x:c>
      <x:c r="B220" t="str">
        <x:v>vitamax-moscow.ru</x:v>
      </x:c>
      <x:c r="C220" t="e">
        <x:f>HYPERLINK("https://belberrycrm.bitrix24.ru/crm/deal/details/1912/","https://belberrycrm.bitrix24.ru/crm/deal/details/1912/")</x:f>
      </x:c>
      <x:c r="D220" t="str">
        <x:v>Реанимация</x:v>
      </x:c>
      <x:c r="E220" t="str">
        <x:v>ПРОДАЖИ: Отвалы</x:v>
      </x:c>
      <x:c r="F220" t="str">
        <x:v>Иван Халин</x:v>
      </x:c>
      <x:c r="G220" t="str">
        <x:v>нет</x:v>
      </x:c>
      <x:c r="H220" t="str">
        <x:v>нет</x:v>
      </x:c>
    </x:row>
    <x:row r="221">
      <x:c r="A221" t="str">
        <x:v>1916</x:v>
      </x:c>
      <x:c r="B221" t="str">
        <x:v>всересницы.рф</x:v>
      </x:c>
      <x:c r="C221" t="e">
        <x:f>HYPERLINK("https://belberrycrm.bitrix24.ru/crm/deal/details/1916/","https://belberrycrm.bitrix24.ru/crm/deal/details/1916/")</x:f>
      </x:c>
      <x:c r="D221" t="str">
        <x:v>Реанимация</x:v>
      </x:c>
      <x:c r="E221" t="str">
        <x:v>ПРОДАЖИ: Отвалы</x:v>
      </x:c>
      <x:c r="F221" t="str">
        <x:v>Иван Халин</x:v>
      </x:c>
      <x:c r="G221" t="str">
        <x:v>нет</x:v>
      </x:c>
      <x:c r="H221" t="str">
        <x:v>нет</x:v>
      </x:c>
    </x:row>
    <x:row r="222">
      <x:c r="A222" t="str">
        <x:v>1932</x:v>
      </x:c>
      <x:c r="B222" t="str">
        <x:v>proctolog81.ru</x:v>
      </x:c>
      <x:c r="C222" t="e">
        <x:f>HYPERLINK("https://belberrycrm.bitrix24.ru/crm/deal/details/1932/","https://belberrycrm.bitrix24.ru/crm/deal/details/1932/")</x:f>
      </x:c>
      <x:c r="D222" t="str">
        <x:v>Реанимация</x:v>
      </x:c>
      <x:c r="E222" t="str">
        <x:v>ПРОДАЖИ: Отвалы</x:v>
      </x:c>
      <x:c r="F222" t="str">
        <x:v>Иван Халин</x:v>
      </x:c>
      <x:c r="G222" t="str">
        <x:v>нет</x:v>
      </x:c>
      <x:c r="H222" t="str">
        <x:v>нет</x:v>
      </x:c>
    </x:row>
    <x:row r="223">
      <x:c r="A223" t="str">
        <x:v>1934</x:v>
      </x:c>
      <x:c r="B223" t="str">
        <x:v>epihelp.center</x:v>
      </x:c>
      <x:c r="C223" t="e">
        <x:f>HYPERLINK("https://belberrycrm.bitrix24.ru/crm/deal/details/1934/","https://belberrycrm.bitrix24.ru/crm/deal/details/1934/")</x:f>
      </x:c>
      <x:c r="D223" t="str">
        <x:v>Реанимация</x:v>
      </x:c>
      <x:c r="E223" t="str">
        <x:v>ПРОДАЖИ: Отвалы</x:v>
      </x:c>
      <x:c r="F223" t="str">
        <x:v>Иван Халин</x:v>
      </x:c>
      <x:c r="G223" t="str">
        <x:v>нет</x:v>
      </x:c>
      <x:c r="H223" t="str">
        <x:v>нет</x:v>
      </x:c>
    </x:row>
    <x:row r="224">
      <x:c r="A224" t="str">
        <x:v>1936</x:v>
      </x:c>
      <x:c r="B224" t="str">
        <x:v>erviron.ru</x:v>
      </x:c>
      <x:c r="C224" t="e">
        <x:f>HYPERLINK("https://belberrycrm.bitrix24.ru/crm/deal/details/1936/","https://belberrycrm.bitrix24.ru/crm/deal/details/1936/")</x:f>
      </x:c>
      <x:c r="D224" t="str">
        <x:v>Реанимация</x:v>
      </x:c>
      <x:c r="E224" t="str">
        <x:v>ПРОДАЖИ: Отвалы</x:v>
      </x:c>
      <x:c r="F224" t="str">
        <x:v>Иван Халин</x:v>
      </x:c>
      <x:c r="G224" t="str">
        <x:v>нет</x:v>
      </x:c>
      <x:c r="H224" t="str">
        <x:v>нет</x:v>
      </x:c>
    </x:row>
    <x:row r="225">
      <x:c r="A225" t="str">
        <x:v>1942</x:v>
      </x:c>
      <x:c r="B225" t="str">
        <x:v>Виктор</x:v>
      </x:c>
      <x:c r="C225" t="e">
        <x:f>HYPERLINK("https://belberrycrm.bitrix24.ru/crm/deal/details/1942/","https://belberrycrm.bitrix24.ru/crm/deal/details/1942/")</x:f>
      </x:c>
      <x:c r="D225" t="str">
        <x:v>Реанимация</x:v>
      </x:c>
      <x:c r="E225" t="str">
        <x:v>ПРОДАЖИ: Отвалы</x:v>
      </x:c>
      <x:c r="F225" t="str">
        <x:v>Георгий Погосян</x:v>
      </x:c>
      <x:c r="G225" t="str">
        <x:v>нет</x:v>
      </x:c>
      <x:c r="H225" t="str">
        <x:v>нет</x:v>
      </x:c>
    </x:row>
    <x:row r="226">
      <x:c r="A226" t="str">
        <x:v>1946</x:v>
      </x:c>
      <x:c r="B226" t="str">
        <x:v>dental-na-warshawke.ru</x:v>
      </x:c>
      <x:c r="C226" t="e">
        <x:f>HYPERLINK("https://belberrycrm.bitrix24.ru/crm/deal/details/1946/","https://belberrycrm.bitrix24.ru/crm/deal/details/1946/")</x:f>
      </x:c>
      <x:c r="D226" t="str">
        <x:v>Реанимация</x:v>
      </x:c>
      <x:c r="E226" t="str">
        <x:v>ПРОДАЖИ: Отвалы</x:v>
      </x:c>
      <x:c r="F226" t="str">
        <x:v>Иван Халин</x:v>
      </x:c>
      <x:c r="G226" t="str">
        <x:v>нет</x:v>
      </x:c>
      <x:c r="H226" t="str">
        <x:v>нет</x:v>
      </x:c>
    </x:row>
    <x:row r="227">
      <x:c r="A227" t="str">
        <x:v>1958</x:v>
      </x:c>
      <x:c r="B227" t="str">
        <x:v>Роберт Исхаков</x:v>
      </x:c>
      <x:c r="C227" t="e">
        <x:f>HYPERLINK("https://belberrycrm.bitrix24.ru/crm/deal/details/1958/","https://belberrycrm.bitrix24.ru/crm/deal/details/1958/")</x:f>
      </x:c>
      <x:c r="D227" t="str">
        <x:v>Реанимация</x:v>
      </x:c>
      <x:c r="E227" t="str">
        <x:v>ПРОДАЖИ: Отвалы</x:v>
      </x:c>
      <x:c r="F227" t="str">
        <x:v>Георгий Погосян</x:v>
      </x:c>
      <x:c r="G227" t="str">
        <x:v>нет</x:v>
      </x:c>
      <x:c r="H227" t="str">
        <x:v>нет</x:v>
      </x:c>
    </x:row>
    <x:row r="228">
      <x:c r="A228" t="str">
        <x:v>1960</x:v>
      </x:c>
      <x:c r="B228" t="str">
        <x:v>Марина</x:v>
      </x:c>
      <x:c r="C228" t="e">
        <x:f>HYPERLINK("https://belberrycrm.bitrix24.ru/crm/deal/details/1960/","https://belberrycrm.bitrix24.ru/crm/deal/details/1960/")</x:f>
      </x:c>
      <x:c r="D228" t="str">
        <x:v>Реанимация</x:v>
      </x:c>
      <x:c r="E228" t="str">
        <x:v>ПРОДАЖИ: Отвалы</x:v>
      </x:c>
      <x:c r="F228" t="str">
        <x:v>Георгий Погосян</x:v>
      </x:c>
      <x:c r="G228" t="str">
        <x:v>нет</x:v>
      </x:c>
      <x:c r="H228" t="str">
        <x:v>нет</x:v>
      </x:c>
    </x:row>
    <x:row r="229">
      <x:c r="A229" t="str">
        <x:v>1964</x:v>
      </x:c>
      <x:c r="B229" t="str">
        <x:v>arbatgold.ru</x:v>
      </x:c>
      <x:c r="C229" t="e">
        <x:f>HYPERLINK("https://belberrycrm.bitrix24.ru/crm/deal/details/1964/","https://belberrycrm.bitrix24.ru/crm/deal/details/1964/")</x:f>
      </x:c>
      <x:c r="D229" t="str">
        <x:v>Реанимация</x:v>
      </x:c>
      <x:c r="E229" t="str">
        <x:v>ПРОДАЖИ: Отвалы</x:v>
      </x:c>
      <x:c r="F229" t="str">
        <x:v>Иван Халин</x:v>
      </x:c>
      <x:c r="G229" t="str">
        <x:v>нет</x:v>
      </x:c>
      <x:c r="H229" t="str">
        <x:v>нет</x:v>
      </x:c>
    </x:row>
    <x:row r="230">
      <x:c r="A230" t="str">
        <x:v>1966</x:v>
      </x:c>
      <x:c r="B230" t="str">
        <x:v>Сделка #1966</x:v>
      </x:c>
      <x:c r="C230" t="e">
        <x:f>HYPERLINK("https://belberrycrm.bitrix24.ru/crm/deal/details/1966/","https://belberrycrm.bitrix24.ru/crm/deal/details/1966/")</x:f>
      </x:c>
      <x:c r="D230" t="str">
        <x:v>Реанимация</x:v>
      </x:c>
      <x:c r="E230" t="str">
        <x:v>ПРОДАЖИ: Отвалы</x:v>
      </x:c>
      <x:c r="F230" t="str">
        <x:v>Иван Халин</x:v>
      </x:c>
      <x:c r="G230" t="str">
        <x:v>нет</x:v>
      </x:c>
      <x:c r="H230" t="str">
        <x:v>нет</x:v>
      </x:c>
    </x:row>
    <x:row r="231">
      <x:c r="A231" t="str">
        <x:v>1974</x:v>
      </x:c>
      <x:c r="B231" t="str">
        <x:v>smilelike.ru</x:v>
      </x:c>
      <x:c r="C231" t="e">
        <x:f>HYPERLINK("https://belberrycrm.bitrix24.ru/crm/deal/details/1974/","https://belberrycrm.bitrix24.ru/crm/deal/details/1974/")</x:f>
      </x:c>
      <x:c r="D231" t="str">
        <x:v>Реанимация</x:v>
      </x:c>
      <x:c r="E231" t="str">
        <x:v>ПРОДАЖИ: Отвалы</x:v>
      </x:c>
      <x:c r="F231" t="str">
        <x:v>Иван Халин</x:v>
      </x:c>
      <x:c r="G231" t="str">
        <x:v>нет</x:v>
      </x:c>
      <x:c r="H231" t="str">
        <x:v>нет</x:v>
      </x:c>
    </x:row>
    <x:row r="232">
      <x:c r="A232" t="str">
        <x:v>1976</x:v>
      </x:c>
      <x:c r="B232" t="str">
        <x:v>www.au-dental.ru</x:v>
      </x:c>
      <x:c r="C232" t="e">
        <x:f>HYPERLINK("https://belberrycrm.bitrix24.ru/crm/deal/details/1976/","https://belberrycrm.bitrix24.ru/crm/deal/details/1976/")</x:f>
      </x:c>
      <x:c r="D232" t="str">
        <x:v>Реанимация</x:v>
      </x:c>
      <x:c r="E232" t="str">
        <x:v>ПРОДАЖИ: Отвалы</x:v>
      </x:c>
      <x:c r="F232" t="str">
        <x:v>Иван Халин</x:v>
      </x:c>
      <x:c r="G232" t="str">
        <x:v>нет</x:v>
      </x:c>
      <x:c r="H232" t="str">
        <x:v>нет</x:v>
      </x:c>
    </x:row>
    <x:row r="233">
      <x:c r="A233" t="str">
        <x:v>1978</x:v>
      </x:c>
      <x:c r="B233" t="str">
        <x:v>smileatelier.ru</x:v>
      </x:c>
      <x:c r="C233" t="e">
        <x:f>HYPERLINK("https://belberrycrm.bitrix24.ru/crm/deal/details/1978/","https://belberrycrm.bitrix24.ru/crm/deal/details/1978/")</x:f>
      </x:c>
      <x:c r="D233" t="str">
        <x:v>Реанимация</x:v>
      </x:c>
      <x:c r="E233" t="str">
        <x:v>ПРОДАЖИ: Отвалы</x:v>
      </x:c>
      <x:c r="F233" t="str">
        <x:v>Иван Халин</x:v>
      </x:c>
      <x:c r="G233" t="str">
        <x:v>нет</x:v>
      </x:c>
      <x:c r="H233" t="str">
        <x:v>нет</x:v>
      </x:c>
    </x:row>
    <x:row r="234">
      <x:c r="A234" t="str">
        <x:v>1980</x:v>
      </x:c>
      <x:c r="B234" t="str">
        <x:v>torson.ru</x:v>
      </x:c>
      <x:c r="C234" t="e">
        <x:f>HYPERLINK("https://belberrycrm.bitrix24.ru/crm/deal/details/1980/","https://belberrycrm.bitrix24.ru/crm/deal/details/1980/")</x:f>
      </x:c>
      <x:c r="D234" t="str">
        <x:v>Реанимация</x:v>
      </x:c>
      <x:c r="E234" t="str">
        <x:v>ПРОДАЖИ: Отвалы</x:v>
      </x:c>
      <x:c r="F234" t="str">
        <x:v>Иван Халин</x:v>
      </x:c>
      <x:c r="G234" t="str">
        <x:v>нет</x:v>
      </x:c>
      <x:c r="H234" t="str">
        <x:v>нет</x:v>
      </x:c>
    </x:row>
    <x:row r="235">
      <x:c r="A235" t="str">
        <x:v>1982</x:v>
      </x:c>
      <x:c r="B235" t="str">
        <x:v>Алпацкий Дмитрий Валерьевич</x:v>
      </x:c>
      <x:c r="C235" t="e">
        <x:f>HYPERLINK("https://belberrycrm.bitrix24.ru/crm/deal/details/1982/","https://belberrycrm.bitrix24.ru/crm/deal/details/1982/")</x:f>
      </x:c>
      <x:c r="D235" t="str">
        <x:v>Реанимация</x:v>
      </x:c>
      <x:c r="E235" t="str">
        <x:v>ПРОДАЖИ: Отвалы</x:v>
      </x:c>
      <x:c r="F235" t="str">
        <x:v>Георгий Погосян</x:v>
      </x:c>
      <x:c r="G235" t="str">
        <x:v>нет</x:v>
      </x:c>
      <x:c r="H235" t="str">
        <x:v>нет</x:v>
      </x:c>
    </x:row>
    <x:row r="236">
      <x:c r="A236" t="str">
        <x:v>1994</x:v>
      </x:c>
      <x:c r="B236" t="str">
        <x:v>dindent.ru</x:v>
      </x:c>
      <x:c r="C236" t="e">
        <x:f>HYPERLINK("https://belberrycrm.bitrix24.ru/crm/deal/details/1994/","https://belberrycrm.bitrix24.ru/crm/deal/details/1994/")</x:f>
      </x:c>
      <x:c r="D236" t="str">
        <x:v>Реанимация</x:v>
      </x:c>
      <x:c r="E236" t="str">
        <x:v>ПРОДАЖИ: Отвалы</x:v>
      </x:c>
      <x:c r="F236" t="str">
        <x:v>Екатерина Федоренко</x:v>
      </x:c>
      <x:c r="G236" t="str">
        <x:v>да</x:v>
      </x:c>
      <x:c r="H236" t="str">
        <x:v>нет</x:v>
      </x:c>
    </x:row>
    <x:row r="237">
      <x:c r="A237" t="str">
        <x:v>1996</x:v>
      </x:c>
      <x:c r="B237" t="str">
        <x:v>mentolstom.ru</x:v>
      </x:c>
      <x:c r="C237" t="e">
        <x:f>HYPERLINK("https://belberrycrm.bitrix24.ru/crm/deal/details/1996/","https://belberrycrm.bitrix24.ru/crm/deal/details/1996/")</x:f>
      </x:c>
      <x:c r="D237" t="str">
        <x:v>Реанимация</x:v>
      </x:c>
      <x:c r="E237" t="str">
        <x:v>ПРОДАЖИ: Отвалы</x:v>
      </x:c>
      <x:c r="F237" t="str">
        <x:v>Георгий Погосян</x:v>
      </x:c>
      <x:c r="G237" t="str">
        <x:v>нет</x:v>
      </x:c>
      <x:c r="H237" t="str">
        <x:v>нет</x:v>
      </x:c>
    </x:row>
    <x:row r="238">
      <x:c r="A238" t="str">
        <x:v>2002</x:v>
      </x:c>
      <x:c r="B238" t="str">
        <x:v>aval-clinic.ru</x:v>
      </x:c>
      <x:c r="C238" t="e">
        <x:f>HYPERLINK("https://belberrycrm.bitrix24.ru/crm/deal/details/2002/","https://belberrycrm.bitrix24.ru/crm/deal/details/2002/")</x:f>
      </x:c>
      <x:c r="D238" t="str">
        <x:v>Реанимация</x:v>
      </x:c>
      <x:c r="E238" t="str">
        <x:v>ПРОДАЖИ: Отвалы</x:v>
      </x:c>
      <x:c r="F238" t="str">
        <x:v>Даниил Касаткин</x:v>
      </x:c>
      <x:c r="G238" t="str">
        <x:v>нет</x:v>
      </x:c>
      <x:c r="H238" t="str">
        <x:v>нет</x:v>
      </x:c>
    </x:row>
    <x:row r="239">
      <x:c r="A239" t="str">
        <x:v>2004</x:v>
      </x:c>
      <x:c r="B239" t="str">
        <x:v>ecstom.ru</x:v>
      </x:c>
      <x:c r="C239" t="e">
        <x:f>HYPERLINK("https://belberrycrm.bitrix24.ru/crm/deal/details/2004/","https://belberrycrm.bitrix24.ru/crm/deal/details/2004/")</x:f>
      </x:c>
      <x:c r="D239" t="str">
        <x:v>Реанимация</x:v>
      </x:c>
      <x:c r="E239" t="str">
        <x:v>ПРОДАЖИ: Отвалы</x:v>
      </x:c>
      <x:c r="F239" t="str">
        <x:v>Иван Халин</x:v>
      </x:c>
      <x:c r="G239" t="str">
        <x:v>да</x:v>
      </x:c>
      <x:c r="H239" t="str">
        <x:v>нет</x:v>
      </x:c>
    </x:row>
    <x:row r="240">
      <x:c r="A240" t="str">
        <x:v>2006</x:v>
      </x:c>
      <x:c r="B240" t="str">
        <x:v>zubhelp.ru</x:v>
      </x:c>
      <x:c r="C240" t="e">
        <x:f>HYPERLINK("https://belberrycrm.bitrix24.ru/crm/deal/details/2006/","https://belberrycrm.bitrix24.ru/crm/deal/details/2006/")</x:f>
      </x:c>
      <x:c r="D240" t="str">
        <x:v>Реанимация</x:v>
      </x:c>
      <x:c r="E240" t="str">
        <x:v>ПРОДАЖИ: Отвалы</x:v>
      </x:c>
      <x:c r="F240" t="str">
        <x:v>Иван Халин</x:v>
      </x:c>
      <x:c r="G240" t="str">
        <x:v>нет</x:v>
      </x:c>
      <x:c r="H240" t="str">
        <x:v>нет</x:v>
      </x:c>
    </x:row>
    <x:row r="241">
      <x:c r="A241" t="str">
        <x:v>2008</x:v>
      </x:c>
      <x:c r="B241" t="str">
        <x:v>zurus.org</x:v>
      </x:c>
      <x:c r="C241" t="e">
        <x:f>HYPERLINK("https://belberrycrm.bitrix24.ru/crm/deal/details/2008/","https://belberrycrm.bitrix24.ru/crm/deal/details/2008/")</x:f>
      </x:c>
      <x:c r="D241" t="str">
        <x:v>Реанимация</x:v>
      </x:c>
      <x:c r="E241" t="str">
        <x:v>ПРОДАЖИ: Отвалы</x:v>
      </x:c>
      <x:c r="F241" t="str">
        <x:v>Иван Халин</x:v>
      </x:c>
      <x:c r="G241" t="str">
        <x:v>нет</x:v>
      </x:c>
      <x:c r="H241" t="str">
        <x:v>нет</x:v>
      </x:c>
    </x:row>
    <x:row r="242">
      <x:c r="A242" t="str">
        <x:v>2010</x:v>
      </x:c>
      <x:c r="B242" t="str">
        <x:v>lenarshaidullin.ru</x:v>
      </x:c>
      <x:c r="C242" t="e">
        <x:f>HYPERLINK("https://belberrycrm.bitrix24.ru/crm/deal/details/2010/","https://belberrycrm.bitrix24.ru/crm/deal/details/2010/")</x:f>
      </x:c>
      <x:c r="D242" t="str">
        <x:v>Реанимация</x:v>
      </x:c>
      <x:c r="E242" t="str">
        <x:v>ПРОДАЖИ: Отвалы</x:v>
      </x:c>
      <x:c r="F242" t="str">
        <x:v>Георгий Погосян</x:v>
      </x:c>
      <x:c r="G242" t="str">
        <x:v>нет</x:v>
      </x:c>
      <x:c r="H242" t="str">
        <x:v>нет</x:v>
      </x:c>
    </x:row>
    <x:row r="243">
      <x:c r="A243" t="str">
        <x:v>2012</x:v>
      </x:c>
      <x:c r="B243" t="str">
        <x:v>Стоматология Элайнеры</x:v>
      </x:c>
      <x:c r="C243" t="e">
        <x:f>HYPERLINK("https://belberrycrm.bitrix24.ru/crm/deal/details/2012/","https://belberrycrm.bitrix24.ru/crm/deal/details/2012/")</x:f>
      </x:c>
      <x:c r="D243" t="str">
        <x:v>Реанимация</x:v>
      </x:c>
      <x:c r="E243" t="str">
        <x:v>ПРОДАЖИ: Отвалы</x:v>
      </x:c>
      <x:c r="F243" t="str">
        <x:v>Георгий Погосян</x:v>
      </x:c>
      <x:c r="G243" t="str">
        <x:v>нет</x:v>
      </x:c>
      <x:c r="H243" t="str">
        <x:v>нет</x:v>
      </x:c>
    </x:row>
    <x:row r="244">
      <x:c r="A244" t="str">
        <x:v>2014</x:v>
      </x:c>
      <x:c r="B244" t="str">
        <x:v>cvclinic.ru/o-clean-view-clinic</x:v>
      </x:c>
      <x:c r="C244" t="e">
        <x:f>HYPERLINK("https://belberrycrm.bitrix24.ru/crm/deal/details/2014/","https://belberrycrm.bitrix24.ru/crm/deal/details/2014/")</x:f>
      </x:c>
      <x:c r="D244" t="str">
        <x:v>Реанимация</x:v>
      </x:c>
      <x:c r="E244" t="str">
        <x:v>ПРОДАЖИ: Отвалы</x:v>
      </x:c>
      <x:c r="F244" t="str">
        <x:v>Иван Халин</x:v>
      </x:c>
      <x:c r="G244" t="str">
        <x:v>нет</x:v>
      </x:c>
      <x:c r="H244" t="str">
        <x:v>нет</x:v>
      </x:c>
    </x:row>
    <x:row r="245">
      <x:c r="A245" t="str">
        <x:v>2020</x:v>
      </x:c>
      <x:c r="B245" t="str">
        <x:v>medeo-mmc.ru</x:v>
      </x:c>
      <x:c r="C245" t="e">
        <x:f>HYPERLINK("https://belberrycrm.bitrix24.ru/crm/deal/details/2020/","https://belberrycrm.bitrix24.ru/crm/deal/details/2020/")</x:f>
      </x:c>
      <x:c r="D245" t="str">
        <x:v>Реанимация</x:v>
      </x:c>
      <x:c r="E245" t="str">
        <x:v>ПРОДАЖИ: Отвалы</x:v>
      </x:c>
      <x:c r="F245" t="str">
        <x:v>Иван Халин</x:v>
      </x:c>
      <x:c r="G245" t="str">
        <x:v>да</x:v>
      </x:c>
      <x:c r="H245" t="str">
        <x:v>нет</x:v>
      </x:c>
    </x:row>
    <x:row r="246">
      <x:c r="A246" t="str">
        <x:v>2026</x:v>
      </x:c>
      <x:c r="B246" t="str">
        <x:v>romanov-stom.ru</x:v>
      </x:c>
      <x:c r="C246" t="e">
        <x:f>HYPERLINK("https://belberrycrm.bitrix24.ru/crm/deal/details/2026/","https://belberrycrm.bitrix24.ru/crm/deal/details/2026/")</x:f>
      </x:c>
      <x:c r="D246" t="str">
        <x:v>Реанимация</x:v>
      </x:c>
      <x:c r="E246" t="str">
        <x:v>ПРОДАЖИ: Отвалы</x:v>
      </x:c>
      <x:c r="F246" t="str">
        <x:v>Георгий Погосян</x:v>
      </x:c>
      <x:c r="G246" t="str">
        <x:v>нет</x:v>
      </x:c>
      <x:c r="H246" t="str">
        <x:v>нет</x:v>
      </x:c>
    </x:row>
    <x:row r="247">
      <x:c r="A247" t="str">
        <x:v>2028</x:v>
      </x:c>
      <x:c r="B247" t="str">
        <x:v>antica-stom.ru</x:v>
      </x:c>
      <x:c r="C247" t="e">
        <x:f>HYPERLINK("https://belberrycrm.bitrix24.ru/crm/deal/details/2028/","https://belberrycrm.bitrix24.ru/crm/deal/details/2028/")</x:f>
      </x:c>
      <x:c r="D247" t="str">
        <x:v>Реанимация</x:v>
      </x:c>
      <x:c r="E247" t="str">
        <x:v>ПРОДАЖИ: Отвалы</x:v>
      </x:c>
      <x:c r="F247" t="str">
        <x:v>Иван Халин</x:v>
      </x:c>
      <x:c r="G247" t="str">
        <x:v>нет</x:v>
      </x:c>
      <x:c r="H247" t="str">
        <x:v>нет</x:v>
      </x:c>
    </x:row>
    <x:row r="248">
      <x:c r="A248" t="str">
        <x:v>2034</x:v>
      </x:c>
      <x:c r="B248" t="str">
        <x:v>dental-studia.ru</x:v>
      </x:c>
      <x:c r="C248" t="e">
        <x:f>HYPERLINK("https://belberrycrm.bitrix24.ru/crm/deal/details/2034/","https://belberrycrm.bitrix24.ru/crm/deal/details/2034/")</x:f>
      </x:c>
      <x:c r="D248" t="str">
        <x:v>Реанимация</x:v>
      </x:c>
      <x:c r="E248" t="str">
        <x:v>ПРОДАЖИ: Отвалы</x:v>
      </x:c>
      <x:c r="F248" t="str">
        <x:v>Даниил Касаткин</x:v>
      </x:c>
      <x:c r="G248" t="str">
        <x:v>нет</x:v>
      </x:c>
      <x:c r="H248" t="str">
        <x:v>нет</x:v>
      </x:c>
    </x:row>
    <x:row r="249">
      <x:c r="A249" t="str">
        <x:v>2038</x:v>
      </x:c>
      <x:c r="B249" t="str">
        <x:v>farmastock.ru</x:v>
      </x:c>
      <x:c r="C249" t="e">
        <x:f>HYPERLINK("https://belberrycrm.bitrix24.ru/crm/deal/details/2038/","https://belberrycrm.bitrix24.ru/crm/deal/details/2038/")</x:f>
      </x:c>
      <x:c r="D249" t="str">
        <x:v>Реанимация</x:v>
      </x:c>
      <x:c r="E249" t="str">
        <x:v>ПРОДАЖИ: Отвалы</x:v>
      </x:c>
      <x:c r="F249" t="str">
        <x:v>Иван Халин</x:v>
      </x:c>
      <x:c r="G249" t="str">
        <x:v>нет</x:v>
      </x:c>
      <x:c r="H249" t="str">
        <x:v>нет</x:v>
      </x:c>
    </x:row>
    <x:row r="250">
      <x:c r="A250" t="str">
        <x:v>2040</x:v>
      </x:c>
      <x:c r="B250" t="str">
        <x:v>happydoctorclinik.ru</x:v>
      </x:c>
      <x:c r="C250" t="e">
        <x:f>HYPERLINK("https://belberrycrm.bitrix24.ru/crm/deal/details/2040/","https://belberrycrm.bitrix24.ru/crm/deal/details/2040/")</x:f>
      </x:c>
      <x:c r="D250" t="str">
        <x:v>Реанимация</x:v>
      </x:c>
      <x:c r="E250" t="str">
        <x:v>ПРОДАЖИ: Отвалы</x:v>
      </x:c>
      <x:c r="F250" t="str">
        <x:v>Иван Халин</x:v>
      </x:c>
      <x:c r="G250" t="str">
        <x:v>нет</x:v>
      </x:c>
      <x:c r="H250" t="str">
        <x:v>нет</x:v>
      </x:c>
    </x:row>
    <x:row r="251">
      <x:c r="A251" t="str">
        <x:v>2042</x:v>
      </x:c>
      <x:c r="B251" t="str">
        <x:v>divo-med.com</x:v>
      </x:c>
      <x:c r="C251" t="e">
        <x:f>HYPERLINK("https://belberrycrm.bitrix24.ru/crm/deal/details/2042/","https://belberrycrm.bitrix24.ru/crm/deal/details/2042/")</x:f>
      </x:c>
      <x:c r="D251" t="str">
        <x:v>Реанимация</x:v>
      </x:c>
      <x:c r="E251" t="str">
        <x:v>ПРОДАЖИ: Отвалы</x:v>
      </x:c>
      <x:c r="F251" t="str">
        <x:v>Екатерина Федоренко</x:v>
      </x:c>
      <x:c r="G251" t="str">
        <x:v>нет</x:v>
      </x:c>
      <x:c r="H251" t="str">
        <x:v>нет</x:v>
      </x:c>
    </x:row>
    <x:row r="252">
      <x:c r="A252" t="str">
        <x:v>2044</x:v>
      </x:c>
      <x:c r="B252" t="str">
        <x:v>medpoima.ru</x:v>
      </x:c>
      <x:c r="C252" t="e">
        <x:f>HYPERLINK("https://belberrycrm.bitrix24.ru/crm/deal/details/2044/","https://belberrycrm.bitrix24.ru/crm/deal/details/2044/")</x:f>
      </x:c>
      <x:c r="D252" t="str">
        <x:v>Реанимация</x:v>
      </x:c>
      <x:c r="E252" t="str">
        <x:v>ПРОДАЖИ: Отвалы</x:v>
      </x:c>
      <x:c r="F252" t="str">
        <x:v>Иван Халин</x:v>
      </x:c>
      <x:c r="G252" t="str">
        <x:v>нет</x:v>
      </x:c>
      <x:c r="H252" t="str">
        <x:v>нет</x:v>
      </x:c>
    </x:row>
    <x:row r="253">
      <x:c r="A253" t="str">
        <x:v>2052</x:v>
      </x:c>
      <x:c r="B253" t="str">
        <x:v>zubiki.ru</x:v>
      </x:c>
      <x:c r="C253" t="e">
        <x:f>HYPERLINK("https://belberrycrm.bitrix24.ru/crm/deal/details/2052/","https://belberrycrm.bitrix24.ru/crm/deal/details/2052/")</x:f>
      </x:c>
      <x:c r="D253" t="str">
        <x:v>Реанимация</x:v>
      </x:c>
      <x:c r="E253" t="str">
        <x:v>ПРОДАЖИ: Отвалы</x:v>
      </x:c>
      <x:c r="F253" t="str">
        <x:v>Иван Халин</x:v>
      </x:c>
      <x:c r="G253" t="str">
        <x:v>нет</x:v>
      </x:c>
      <x:c r="H253" t="str">
        <x:v>нет</x:v>
      </x:c>
    </x:row>
    <x:row r="254">
      <x:c r="A254" t="str">
        <x:v>2054</x:v>
      </x:c>
      <x:c r="B254" t="str">
        <x:v>wdc-dent.ru</x:v>
      </x:c>
      <x:c r="C254" t="e">
        <x:f>HYPERLINK("https://belberrycrm.bitrix24.ru/crm/deal/details/2054/","https://belberrycrm.bitrix24.ru/crm/deal/details/2054/")</x:f>
      </x:c>
      <x:c r="D254" t="str">
        <x:v>Реанимация</x:v>
      </x:c>
      <x:c r="E254" t="str">
        <x:v>ПРОДАЖИ: Отвалы</x:v>
      </x:c>
      <x:c r="F254" t="str">
        <x:v>Иван Халин</x:v>
      </x:c>
      <x:c r="G254" t="str">
        <x:v>нет</x:v>
      </x:c>
      <x:c r="H254" t="str">
        <x:v>нет</x:v>
      </x:c>
    </x:row>
    <x:row r="255">
      <x:c r="A255" t="str">
        <x:v>2056</x:v>
      </x:c>
      <x:c r="B255" t="str">
        <x:v>olga-moroz.ru</x:v>
      </x:c>
      <x:c r="C255" t="e">
        <x:f>HYPERLINK("https://belberrycrm.bitrix24.ru/crm/deal/details/2056/","https://belberrycrm.bitrix24.ru/crm/deal/details/2056/")</x:f>
      </x:c>
      <x:c r="D255" t="str">
        <x:v>Реанимация</x:v>
      </x:c>
      <x:c r="E255" t="str">
        <x:v>ПРОДАЖИ: Отвалы</x:v>
      </x:c>
      <x:c r="F255" t="str">
        <x:v>Иван Халин</x:v>
      </x:c>
      <x:c r="G255" t="str">
        <x:v>нет</x:v>
      </x:c>
      <x:c r="H255" t="str">
        <x:v>нет</x:v>
      </x:c>
    </x:row>
    <x:row r="256">
      <x:c r="A256" t="str">
        <x:v>2058</x:v>
      </x:c>
      <x:c r="B256" t="str">
        <x:v>dentastayl.ru</x:v>
      </x:c>
      <x:c r="C256" t="e">
        <x:f>HYPERLINK("https://belberrycrm.bitrix24.ru/crm/deal/details/2058/","https://belberrycrm.bitrix24.ru/crm/deal/details/2058/")</x:f>
      </x:c>
      <x:c r="D256" t="str">
        <x:v>Реанимация</x:v>
      </x:c>
      <x:c r="E256" t="str">
        <x:v>ПРОДАЖИ: Отвалы</x:v>
      </x:c>
      <x:c r="F256" t="str">
        <x:v>Иван Халин</x:v>
      </x:c>
      <x:c r="G256" t="str">
        <x:v>нет</x:v>
      </x:c>
      <x:c r="H256" t="str">
        <x:v>нет</x:v>
      </x:c>
    </x:row>
    <x:row r="257">
      <x:c r="A257" t="str">
        <x:v>2072</x:v>
      </x:c>
      <x:c r="B257" t="str">
        <x:v>stomcroc.ru</x:v>
      </x:c>
      <x:c r="C257" t="e">
        <x:f>HYPERLINK("https://belberrycrm.bitrix24.ru/crm/deal/details/2072/","https://belberrycrm.bitrix24.ru/crm/deal/details/2072/")</x:f>
      </x:c>
      <x:c r="D257" t="str">
        <x:v>Реанимация</x:v>
      </x:c>
      <x:c r="E257" t="str">
        <x:v>ПРОДАЖИ: Отвалы</x:v>
      </x:c>
      <x:c r="F257" t="str">
        <x:v>Иван Халин</x:v>
      </x:c>
      <x:c r="G257" t="str">
        <x:v>нет</x:v>
      </x:c>
      <x:c r="H257" t="str">
        <x:v>нет</x:v>
      </x:c>
    </x:row>
    <x:row r="258">
      <x:c r="A258" t="str">
        <x:v>2074</x:v>
      </x:c>
      <x:c r="B258" t="str">
        <x:v>www.medkras.com</x:v>
      </x:c>
      <x:c r="C258" t="e">
        <x:f>HYPERLINK("https://belberrycrm.bitrix24.ru/crm/deal/details/2074/","https://belberrycrm.bitrix24.ru/crm/deal/details/2074/")</x:f>
      </x:c>
      <x:c r="D258" t="str">
        <x:v>Реанимация</x:v>
      </x:c>
      <x:c r="E258" t="str">
        <x:v>ПРОДАЖИ: Отвалы</x:v>
      </x:c>
      <x:c r="F258" t="str">
        <x:v>Иван Халин</x:v>
      </x:c>
      <x:c r="G258" t="str">
        <x:v>нет</x:v>
      </x:c>
      <x:c r="H258" t="str">
        <x:v>нет</x:v>
      </x:c>
    </x:row>
    <x:row r="259">
      <x:c r="A259" t="str">
        <x:v>2078</x:v>
      </x:c>
      <x:c r="B259" t="str">
        <x:v>medestetic.moscow</x:v>
      </x:c>
      <x:c r="C259" t="e">
        <x:f>HYPERLINK("https://belberrycrm.bitrix24.ru/crm/deal/details/2078/","https://belberrycrm.bitrix24.ru/crm/deal/details/2078/")</x:f>
      </x:c>
      <x:c r="D259" t="str">
        <x:v>Реанимация</x:v>
      </x:c>
      <x:c r="E259" t="str">
        <x:v>ПРОДАЖИ: Отвалы</x:v>
      </x:c>
      <x:c r="F259" t="str">
        <x:v>Иван Халин</x:v>
      </x:c>
      <x:c r="G259" t="str">
        <x:v>нет</x:v>
      </x:c>
      <x:c r="H259" t="str">
        <x:v>нет</x:v>
      </x:c>
    </x:row>
    <x:row r="260">
      <x:c r="A260" t="str">
        <x:v>2082</x:v>
      </x:c>
      <x:c r="B260" t="str">
        <x:v>vita-stom.ru</x:v>
      </x:c>
      <x:c r="C260" t="e">
        <x:f>HYPERLINK("https://belberrycrm.bitrix24.ru/crm/deal/details/2082/","https://belberrycrm.bitrix24.ru/crm/deal/details/2082/")</x:f>
      </x:c>
      <x:c r="D260" t="str">
        <x:v>Реанимация</x:v>
      </x:c>
      <x:c r="E260" t="str">
        <x:v>ПРОДАЖИ: Отвалы</x:v>
      </x:c>
      <x:c r="F260" t="str">
        <x:v>Иван Халин</x:v>
      </x:c>
      <x:c r="G260" t="str">
        <x:v>да</x:v>
      </x:c>
      <x:c r="H260" t="str">
        <x:v>нет</x:v>
      </x:c>
    </x:row>
    <x:row r="261">
      <x:c r="A261" t="str">
        <x:v>2084</x:v>
      </x:c>
      <x:c r="B261" t="str">
        <x:v>klinika-natali.ru</x:v>
      </x:c>
      <x:c r="C261" t="e">
        <x:f>HYPERLINK("https://belberrycrm.bitrix24.ru/crm/deal/details/2084/","https://belberrycrm.bitrix24.ru/crm/deal/details/2084/")</x:f>
      </x:c>
      <x:c r="D261" t="str">
        <x:v>Реанимация</x:v>
      </x:c>
      <x:c r="E261" t="str">
        <x:v>ПРОДАЖИ: Отвалы</x:v>
      </x:c>
      <x:c r="F261" t="str">
        <x:v>Георгий Погосян</x:v>
      </x:c>
      <x:c r="G261" t="str">
        <x:v>нет</x:v>
      </x:c>
      <x:c r="H261" t="str">
        <x:v>нет</x:v>
      </x:c>
    </x:row>
    <x:row r="262">
      <x:c r="A262" t="str">
        <x:v>2088</x:v>
      </x:c>
      <x:c r="B262" t="str">
        <x:v>vovse32.ru</x:v>
      </x:c>
      <x:c r="C262" t="e">
        <x:f>HYPERLINK("https://belberrycrm.bitrix24.ru/crm/deal/details/2088/","https://belberrycrm.bitrix24.ru/crm/deal/details/2088/")</x:f>
      </x:c>
      <x:c r="D262" t="str">
        <x:v>Реанимация</x:v>
      </x:c>
      <x:c r="E262" t="str">
        <x:v>ПРОДАЖИ: Отвалы</x:v>
      </x:c>
      <x:c r="F262" t="str">
        <x:v>Иван Халин</x:v>
      </x:c>
      <x:c r="G262" t="str">
        <x:v>нет</x:v>
      </x:c>
      <x:c r="H262" t="str">
        <x:v>нет</x:v>
      </x:c>
    </x:row>
    <x:row r="263">
      <x:c r="A263" t="str">
        <x:v>2090</x:v>
      </x:c>
      <x:c r="B263" t="str">
        <x:v>www.icedent-stom.ru</x:v>
      </x:c>
      <x:c r="C263" t="e">
        <x:f>HYPERLINK("https://belberrycrm.bitrix24.ru/crm/deal/details/2090/","https://belberrycrm.bitrix24.ru/crm/deal/details/2090/")</x:f>
      </x:c>
      <x:c r="D263" t="str">
        <x:v>Реанимация</x:v>
      </x:c>
      <x:c r="E263" t="str">
        <x:v>ПРОДАЖИ: Отвалы</x:v>
      </x:c>
      <x:c r="F263" t="str">
        <x:v>Иван Халин</x:v>
      </x:c>
      <x:c r="G263" t="str">
        <x:v>нет</x:v>
      </x:c>
      <x:c r="H263" t="str">
        <x:v>нет</x:v>
      </x:c>
    </x:row>
    <x:row r="264">
      <x:c r="A264" t="str">
        <x:v>2096</x:v>
      </x:c>
      <x:c r="B264" t="str">
        <x:v>l-clinic.ru</x:v>
      </x:c>
      <x:c r="C264" t="e">
        <x:f>HYPERLINK("https://belberrycrm.bitrix24.ru/crm/deal/details/2096/","https://belberrycrm.bitrix24.ru/crm/deal/details/2096/")</x:f>
      </x:c>
      <x:c r="D264" t="str">
        <x:v>Реанимация</x:v>
      </x:c>
      <x:c r="E264" t="str">
        <x:v>ПРОДАЖИ: Отвалы</x:v>
      </x:c>
      <x:c r="F264" t="str">
        <x:v>Иван Халин</x:v>
      </x:c>
      <x:c r="G264" t="str">
        <x:v>нет</x:v>
      </x:c>
      <x:c r="H264" t="str">
        <x:v>нет</x:v>
      </x:c>
    </x:row>
    <x:row r="265">
      <x:c r="A265" t="str">
        <x:v>2098</x:v>
      </x:c>
      <x:c r="B265" t="str">
        <x:v>mioclinic.ru</x:v>
      </x:c>
      <x:c r="C265" t="e">
        <x:f>HYPERLINK("https://belberrycrm.bitrix24.ru/crm/deal/details/2098/","https://belberrycrm.bitrix24.ru/crm/deal/details/2098/")</x:f>
      </x:c>
      <x:c r="D265" t="str">
        <x:v>Реанимация</x:v>
      </x:c>
      <x:c r="E265" t="str">
        <x:v>ПРОДАЖИ: Отвалы</x:v>
      </x:c>
      <x:c r="F265" t="str">
        <x:v>Иван Халин</x:v>
      </x:c>
      <x:c r="G265" t="str">
        <x:v>нет</x:v>
      </x:c>
      <x:c r="H265" t="str">
        <x:v>нет</x:v>
      </x:c>
    </x:row>
    <x:row r="266">
      <x:c r="A266" t="str">
        <x:v>2100</x:v>
      </x:c>
      <x:c r="B266" t="str">
        <x:v>www.astoria-med.ru</x:v>
      </x:c>
      <x:c r="C266" t="e">
        <x:f>HYPERLINK("https://belberrycrm.bitrix24.ru/crm/deal/details/2100/","https://belberrycrm.bitrix24.ru/crm/deal/details/2100/")</x:f>
      </x:c>
      <x:c r="D266" t="str">
        <x:v>Реанимация</x:v>
      </x:c>
      <x:c r="E266" t="str">
        <x:v>ПРОДАЖИ: Отвалы</x:v>
      </x:c>
      <x:c r="F266" t="str">
        <x:v>Иван Халин</x:v>
      </x:c>
      <x:c r="G266" t="str">
        <x:v>нет</x:v>
      </x:c>
      <x:c r="H266" t="str">
        <x:v>нет</x:v>
      </x:c>
    </x:row>
    <x:row r="267">
      <x:c r="A267" t="str">
        <x:v>2102</x:v>
      </x:c>
      <x:c r="B267" t="str">
        <x:v>servantesmsk.ru</x:v>
      </x:c>
      <x:c r="C267" t="e">
        <x:f>HYPERLINK("https://belberrycrm.bitrix24.ru/crm/deal/details/2102/","https://belberrycrm.bitrix24.ru/crm/deal/details/2102/")</x:f>
      </x:c>
      <x:c r="D267" t="str">
        <x:v>Реанимация</x:v>
      </x:c>
      <x:c r="E267" t="str">
        <x:v>ПРОДАЖИ: Отвалы</x:v>
      </x:c>
      <x:c r="F267" t="str">
        <x:v>Иван Халин</x:v>
      </x:c>
      <x:c r="G267" t="str">
        <x:v>нет</x:v>
      </x:c>
      <x:c r="H267" t="str">
        <x:v>нет</x:v>
      </x:c>
    </x:row>
    <x:row r="268">
      <x:c r="A268" t="str">
        <x:v>2104</x:v>
      </x:c>
      <x:c r="B268" t="str">
        <x:v>stomatkristall.ru</x:v>
      </x:c>
      <x:c r="C268" t="e">
        <x:f>HYPERLINK("https://belberrycrm.bitrix24.ru/crm/deal/details/2104/","https://belberrycrm.bitrix24.ru/crm/deal/details/2104/")</x:f>
      </x:c>
      <x:c r="D268" t="str">
        <x:v>Реанимация</x:v>
      </x:c>
      <x:c r="E268" t="str">
        <x:v>ПРОДАЖИ: Отвалы</x:v>
      </x:c>
      <x:c r="F268" t="str">
        <x:v>Иван Халин</x:v>
      </x:c>
      <x:c r="G268" t="str">
        <x:v>нет</x:v>
      </x:c>
      <x:c r="H268" t="str">
        <x:v>нет</x:v>
      </x:c>
    </x:row>
    <x:row r="269">
      <x:c r="A269" t="str">
        <x:v>2110</x:v>
      </x:c>
      <x:c r="B269" t="str">
        <x:v>www.verastom.ru</x:v>
      </x:c>
      <x:c r="C269" t="e">
        <x:f>HYPERLINK("https://belberrycrm.bitrix24.ru/crm/deal/details/2110/","https://belberrycrm.bitrix24.ru/crm/deal/details/2110/")</x:f>
      </x:c>
      <x:c r="D269" t="str">
        <x:v>Реанимация</x:v>
      </x:c>
      <x:c r="E269" t="str">
        <x:v>ПРОДАЖИ: Отвалы</x:v>
      </x:c>
      <x:c r="F269" t="str">
        <x:v>Иван Халин</x:v>
      </x:c>
      <x:c r="G269" t="str">
        <x:v>нет</x:v>
      </x:c>
      <x:c r="H269" t="str">
        <x:v>нет</x:v>
      </x:c>
    </x:row>
    <x:row r="270">
      <x:c r="A270" t="str">
        <x:v>2112</x:v>
      </x:c>
      <x:c r="B270" t="str">
        <x:v>plasmapriority.ru</x:v>
      </x:c>
      <x:c r="C270" t="e">
        <x:f>HYPERLINK("https://belberrycrm.bitrix24.ru/crm/deal/details/2112/","https://belberrycrm.bitrix24.ru/crm/deal/details/2112/")</x:f>
      </x:c>
      <x:c r="D270" t="str">
        <x:v>Реанимация</x:v>
      </x:c>
      <x:c r="E270" t="str">
        <x:v>ПРОДАЖИ: Отвалы</x:v>
      </x:c>
      <x:c r="F270" t="str">
        <x:v>Иван Халин</x:v>
      </x:c>
      <x:c r="G270" t="str">
        <x:v>нет</x:v>
      </x:c>
      <x:c r="H270" t="str">
        <x:v>нет</x:v>
      </x:c>
    </x:row>
    <x:row r="271">
      <x:c r="A271" t="str">
        <x:v>2116</x:v>
      </x:c>
      <x:c r="B271" t="str">
        <x:v>вера-мед.рф</x:v>
      </x:c>
      <x:c r="C271" t="e">
        <x:f>HYPERLINK("https://belberrycrm.bitrix24.ru/crm/deal/details/2116/","https://belberrycrm.bitrix24.ru/crm/deal/details/2116/")</x:f>
      </x:c>
      <x:c r="D271" t="str">
        <x:v>Реанимация</x:v>
      </x:c>
      <x:c r="E271" t="str">
        <x:v>ПРОДАЖИ: Отвалы</x:v>
      </x:c>
      <x:c r="F271" t="str">
        <x:v>Иван Халин</x:v>
      </x:c>
      <x:c r="G271" t="str">
        <x:v>нет</x:v>
      </x:c>
      <x:c r="H271" t="str">
        <x:v>нет</x:v>
      </x:c>
    </x:row>
    <x:row r="272">
      <x:c r="A272" t="str">
        <x:v>2120</x:v>
      </x:c>
      <x:c r="B272" t="str">
        <x:v>эстетика.com</x:v>
      </x:c>
      <x:c r="C272" t="e">
        <x:f>HYPERLINK("https://belberrycrm.bitrix24.ru/crm/deal/details/2120/","https://belberrycrm.bitrix24.ru/crm/deal/details/2120/")</x:f>
      </x:c>
      <x:c r="D272" t="str">
        <x:v>Реанимация</x:v>
      </x:c>
      <x:c r="E272" t="str">
        <x:v>ПРОДАЖИ: Отвалы</x:v>
      </x:c>
      <x:c r="F272" t="str">
        <x:v>Иван Халин</x:v>
      </x:c>
      <x:c r="G272" t="str">
        <x:v>нет</x:v>
      </x:c>
      <x:c r="H272" t="str">
        <x:v>нет</x:v>
      </x:c>
    </x:row>
    <x:row r="273">
      <x:c r="A273" t="str">
        <x:v>2124</x:v>
      </x:c>
      <x:c r="B273" t="str">
        <x:v>doctor-glazov.ru</x:v>
      </x:c>
      <x:c r="C273" t="e">
        <x:f>HYPERLINK("https://belberrycrm.bitrix24.ru/crm/deal/details/2124/","https://belberrycrm.bitrix24.ru/crm/deal/details/2124/")</x:f>
      </x:c>
      <x:c r="D273" t="str">
        <x:v>Реанимация</x:v>
      </x:c>
      <x:c r="E273" t="str">
        <x:v>ПРОДАЖИ: Отвалы</x:v>
      </x:c>
      <x:c r="F273" t="str">
        <x:v>Иван Халин</x:v>
      </x:c>
      <x:c r="G273" t="str">
        <x:v>нет</x:v>
      </x:c>
      <x:c r="H273" t="str">
        <x:v>нет</x:v>
      </x:c>
    </x:row>
    <x:row r="274">
      <x:c r="A274" t="str">
        <x:v>2126</x:v>
      </x:c>
      <x:c r="B274" t="str">
        <x:v>dental-park.ru</x:v>
      </x:c>
      <x:c r="C274" t="e">
        <x:f>HYPERLINK("https://belberrycrm.bitrix24.ru/crm/deal/details/2126/","https://belberrycrm.bitrix24.ru/crm/deal/details/2126/")</x:f>
      </x:c>
      <x:c r="D274" t="str">
        <x:v>Реанимация</x:v>
      </x:c>
      <x:c r="E274" t="str">
        <x:v>ПРОДАЖИ: Отвалы</x:v>
      </x:c>
      <x:c r="F274" t="str">
        <x:v>Иван Халин</x:v>
      </x:c>
      <x:c r="G274" t="str">
        <x:v>нет</x:v>
      </x:c>
      <x:c r="H274" t="str">
        <x:v>нет</x:v>
      </x:c>
    </x:row>
    <x:row r="275">
      <x:c r="A275" t="str">
        <x:v>2128</x:v>
      </x:c>
      <x:c r="B275" t="str">
        <x:v>stomatologia.moscow</x:v>
      </x:c>
      <x:c r="C275" t="e">
        <x:f>HYPERLINK("https://belberrycrm.bitrix24.ru/crm/deal/details/2128/","https://belberrycrm.bitrix24.ru/crm/deal/details/2128/")</x:f>
      </x:c>
      <x:c r="D275" t="str">
        <x:v>Реанимация</x:v>
      </x:c>
      <x:c r="E275" t="str">
        <x:v>ПРОДАЖИ: Отвалы</x:v>
      </x:c>
      <x:c r="F275" t="str">
        <x:v>Иван Халин</x:v>
      </x:c>
      <x:c r="G275" t="str">
        <x:v>нет</x:v>
      </x:c>
      <x:c r="H275" t="str">
        <x:v>нет</x:v>
      </x:c>
    </x:row>
    <x:row r="276">
      <x:c r="A276" t="str">
        <x:v>2132</x:v>
      </x:c>
      <x:c r="B276" t="str">
        <x:v>hgclinic.ru</x:v>
      </x:c>
      <x:c r="C276" t="e">
        <x:f>HYPERLINK("https://belberrycrm.bitrix24.ru/crm/deal/details/2132/","https://belberrycrm.bitrix24.ru/crm/deal/details/2132/")</x:f>
      </x:c>
      <x:c r="D276" t="str">
        <x:v>Реанимация</x:v>
      </x:c>
      <x:c r="E276" t="str">
        <x:v>ПРОДАЖИ: Отвалы</x:v>
      </x:c>
      <x:c r="F276" t="str">
        <x:v>Иван Халин</x:v>
      </x:c>
      <x:c r="G276" t="str">
        <x:v>нет</x:v>
      </x:c>
      <x:c r="H276" t="str">
        <x:v>нет</x:v>
      </x:c>
    </x:row>
    <x:row r="277">
      <x:c r="A277" t="str">
        <x:v>2134</x:v>
      </x:c>
      <x:c r="B277" t="str">
        <x:v>mgp1.ru</x:v>
      </x:c>
      <x:c r="C277" t="e">
        <x:f>HYPERLINK("https://belberrycrm.bitrix24.ru/crm/deal/details/2134/","https://belberrycrm.bitrix24.ru/crm/deal/details/2134/")</x:f>
      </x:c>
      <x:c r="D277" t="str">
        <x:v>Реанимация</x:v>
      </x:c>
      <x:c r="E277" t="str">
        <x:v>ПРОДАЖИ: Отвалы</x:v>
      </x:c>
      <x:c r="F277" t="str">
        <x:v>Георгий Погосян</x:v>
      </x:c>
      <x:c r="G277" t="str">
        <x:v>нет</x:v>
      </x:c>
      <x:c r="H277" t="str">
        <x:v>нет</x:v>
      </x:c>
    </x:row>
    <x:row r="278">
      <x:c r="A278" t="str">
        <x:v>2136</x:v>
      </x:c>
      <x:c r="B278" t="str">
        <x:v>stomit.ru</x:v>
      </x:c>
      <x:c r="C278" t="e">
        <x:f>HYPERLINK("https://belberrycrm.bitrix24.ru/crm/deal/details/2136/","https://belberrycrm.bitrix24.ru/crm/deal/details/2136/")</x:f>
      </x:c>
      <x:c r="D278" t="str">
        <x:v>Реанимация</x:v>
      </x:c>
      <x:c r="E278" t="str">
        <x:v>ПРОДАЖИ: Отвалы</x:v>
      </x:c>
      <x:c r="F278" t="str">
        <x:v>Георгий Погосян</x:v>
      </x:c>
      <x:c r="G278" t="str">
        <x:v>нет</x:v>
      </x:c>
      <x:c r="H278" t="str">
        <x:v>нет</x:v>
      </x:c>
    </x:row>
    <x:row r="279">
      <x:c r="A279" t="str">
        <x:v>2140</x:v>
      </x:c>
      <x:c r="B279" t="str">
        <x:v>Сергей</x:v>
      </x:c>
      <x:c r="C279" t="e">
        <x:f>HYPERLINK("https://belberrycrm.bitrix24.ru/crm/deal/details/2140/","https://belberrycrm.bitrix24.ru/crm/deal/details/2140/")</x:f>
      </x:c>
      <x:c r="D279" t="str">
        <x:v>Реанимация</x:v>
      </x:c>
      <x:c r="E279" t="str">
        <x:v>ПРОДАЖИ: Отвалы</x:v>
      </x:c>
      <x:c r="F279" t="str">
        <x:v>Георгий Погосян</x:v>
      </x:c>
      <x:c r="G279" t="str">
        <x:v>нет</x:v>
      </x:c>
      <x:c r="H279" t="str">
        <x:v>нет</x:v>
      </x:c>
    </x:row>
    <x:row r="280">
      <x:c r="A280" t="str">
        <x:v>2148</x:v>
      </x:c>
      <x:c r="B280" t="str">
        <x:v>pndnur89.ru</x:v>
      </x:c>
      <x:c r="C280" t="e">
        <x:f>HYPERLINK("https://belberrycrm.bitrix24.ru/crm/deal/details/2148/","https://belberrycrm.bitrix24.ru/crm/deal/details/2148/")</x:f>
      </x:c>
      <x:c r="D280" t="str">
        <x:v>Реанимация</x:v>
      </x:c>
      <x:c r="E280" t="str">
        <x:v>ПРОДАЖИ: Отвалы</x:v>
      </x:c>
      <x:c r="F280" t="str">
        <x:v>Георгий Погосян</x:v>
      </x:c>
      <x:c r="G280" t="str">
        <x:v>да</x:v>
      </x:c>
      <x:c r="H280" t="str">
        <x:v>нет</x:v>
      </x:c>
    </x:row>
    <x:row r="281">
      <x:c r="A281" t="str">
        <x:v>2152</x:v>
      </x:c>
      <x:c r="B281" t="str">
        <x:v>Иван</x:v>
      </x:c>
      <x:c r="C281" t="e">
        <x:f>HYPERLINK("https://belberrycrm.bitrix24.ru/crm/deal/details/2152/","https://belberrycrm.bitrix24.ru/crm/deal/details/2152/")</x:f>
      </x:c>
      <x:c r="D281" t="str">
        <x:v>Реанимация</x:v>
      </x:c>
      <x:c r="E281" t="str">
        <x:v>ПРОДАЖИ: Отвалы</x:v>
      </x:c>
      <x:c r="F281" t="str">
        <x:v>Георгий Погосян</x:v>
      </x:c>
      <x:c r="G281" t="str">
        <x:v>нет</x:v>
      </x:c>
      <x:c r="H281" t="str">
        <x:v>нет</x:v>
      </x:c>
    </x:row>
    <x:row r="282">
      <x:c r="A282" t="str">
        <x:v>2154</x:v>
      </x:c>
      <x:c r="B282" t="str">
        <x:v>Сергей</x:v>
      </x:c>
      <x:c r="C282" t="e">
        <x:f>HYPERLINK("https://belberrycrm.bitrix24.ru/crm/deal/details/2154/","https://belberrycrm.bitrix24.ru/crm/deal/details/2154/")</x:f>
      </x:c>
      <x:c r="D282" t="str">
        <x:v>Реанимация</x:v>
      </x:c>
      <x:c r="E282" t="str">
        <x:v>ПРОДАЖИ: Отвалы</x:v>
      </x:c>
      <x:c r="F282" t="str">
        <x:v>Иван Халин</x:v>
      </x:c>
      <x:c r="G282" t="str">
        <x:v>нет</x:v>
      </x:c>
      <x:c r="H282" t="str">
        <x:v>нет</x:v>
      </x:c>
    </x:row>
    <x:row r="283">
      <x:c r="A283" t="str">
        <x:v>2162</x:v>
      </x:c>
      <x:c r="B283" t="str">
        <x:v>www.stolica-dent.ru</x:v>
      </x:c>
      <x:c r="C283" t="e">
        <x:f>HYPERLINK("https://belberrycrm.bitrix24.ru/crm/deal/details/2162/","https://belberrycrm.bitrix24.ru/crm/deal/details/2162/")</x:f>
      </x:c>
      <x:c r="D283" t="str">
        <x:v>Реанимация</x:v>
      </x:c>
      <x:c r="E283" t="str">
        <x:v>ПРОДАЖИ: Отвалы</x:v>
      </x:c>
      <x:c r="F283" t="str">
        <x:v>Иван Халин</x:v>
      </x:c>
      <x:c r="G283" t="str">
        <x:v>нет</x:v>
      </x:c>
      <x:c r="H283" t="str">
        <x:v>нет</x:v>
      </x:c>
    </x:row>
    <x:row r="284">
      <x:c r="A284" t="str">
        <x:v>2164</x:v>
      </x:c>
      <x:c r="B284" t="str">
        <x:v>beautypractice.ru</x:v>
      </x:c>
      <x:c r="C284" t="e">
        <x:f>HYPERLINK("https://belberrycrm.bitrix24.ru/crm/deal/details/2164/","https://belberrycrm.bitrix24.ru/crm/deal/details/2164/")</x:f>
      </x:c>
      <x:c r="D284" t="str">
        <x:v>Реанимация</x:v>
      </x:c>
      <x:c r="E284" t="str">
        <x:v>ПРОДАЖИ: Отвалы</x:v>
      </x:c>
      <x:c r="F284" t="str">
        <x:v>Иван Халин</x:v>
      </x:c>
      <x:c r="G284" t="str">
        <x:v>нет</x:v>
      </x:c>
      <x:c r="H284" t="str">
        <x:v>нет</x:v>
      </x:c>
    </x:row>
    <x:row r="285">
      <x:c r="A285" t="str">
        <x:v>2166</x:v>
      </x:c>
      <x:c r="B285" t="str">
        <x:v>www.zdorovie-klinika.ru</x:v>
      </x:c>
      <x:c r="C285" t="e">
        <x:f>HYPERLINK("https://belberrycrm.bitrix24.ru/crm/deal/details/2166/","https://belberrycrm.bitrix24.ru/crm/deal/details/2166/")</x:f>
      </x:c>
      <x:c r="D285" t="str">
        <x:v>Реанимация</x:v>
      </x:c>
      <x:c r="E285" t="str">
        <x:v>ПРОДАЖИ: Отвалы</x:v>
      </x:c>
      <x:c r="F285" t="str">
        <x:v>Иван Халин</x:v>
      </x:c>
      <x:c r="G285" t="str">
        <x:v>нет</x:v>
      </x:c>
      <x:c r="H285" t="str">
        <x:v>нет</x:v>
      </x:c>
    </x:row>
    <x:row r="286">
      <x:c r="A286" t="str">
        <x:v>2168</x:v>
      </x:c>
      <x:c r="B286" t="str">
        <x:v>gor-dent.com</x:v>
      </x:c>
      <x:c r="C286" t="e">
        <x:f>HYPERLINK("https://belberrycrm.bitrix24.ru/crm/deal/details/2168/","https://belberrycrm.bitrix24.ru/crm/deal/details/2168/")</x:f>
      </x:c>
      <x:c r="D286" t="str">
        <x:v>Реанимация</x:v>
      </x:c>
      <x:c r="E286" t="str">
        <x:v>ПРОДАЖИ: Отвалы</x:v>
      </x:c>
      <x:c r="F286" t="str">
        <x:v>Иван Халин</x:v>
      </x:c>
      <x:c r="G286" t="str">
        <x:v>нет</x:v>
      </x:c>
      <x:c r="H286" t="str">
        <x:v>нет</x:v>
      </x:c>
    </x:row>
    <x:row r="287">
      <x:c r="A287" t="str">
        <x:v>2170</x:v>
      </x:c>
      <x:c r="B287" t="str">
        <x:v>doctor-sevak.ru</x:v>
      </x:c>
      <x:c r="C287" t="e">
        <x:f>HYPERLINK("https://belberrycrm.bitrix24.ru/crm/deal/details/2170/","https://belberrycrm.bitrix24.ru/crm/deal/details/2170/")</x:f>
      </x:c>
      <x:c r="D287" t="str">
        <x:v>Реанимация</x:v>
      </x:c>
      <x:c r="E287" t="str">
        <x:v>ПРОДАЖИ: Отвалы</x:v>
      </x:c>
      <x:c r="F287" t="str">
        <x:v>Иван Халин</x:v>
      </x:c>
      <x:c r="G287" t="str">
        <x:v>нет</x:v>
      </x:c>
      <x:c r="H287" t="str">
        <x:v>нет</x:v>
      </x:c>
    </x:row>
    <x:row r="288">
      <x:c r="A288" t="str">
        <x:v>2172</x:v>
      </x:c>
      <x:c r="B288" t="str">
        <x:v>trika-dent.ru</x:v>
      </x:c>
      <x:c r="C288" t="e">
        <x:f>HYPERLINK("https://belberrycrm.bitrix24.ru/crm/deal/details/2172/","https://belberrycrm.bitrix24.ru/crm/deal/details/2172/")</x:f>
      </x:c>
      <x:c r="D288" t="str">
        <x:v>Реанимация</x:v>
      </x:c>
      <x:c r="E288" t="str">
        <x:v>ПРОДАЖИ: Отвалы</x:v>
      </x:c>
      <x:c r="F288" t="str">
        <x:v>Иван Халин</x:v>
      </x:c>
      <x:c r="G288" t="str">
        <x:v>нет</x:v>
      </x:c>
      <x:c r="H288" t="str">
        <x:v>нет</x:v>
      </x:c>
    </x:row>
    <x:row r="289">
      <x:c r="A289" t="str">
        <x:v>2176</x:v>
      </x:c>
      <x:c r="B289" t="str">
        <x:v>prof.ncagp.ru</x:v>
      </x:c>
      <x:c r="C289" t="e">
        <x:f>HYPERLINK("https://belberrycrm.bitrix24.ru/crm/deal/details/2176/","https://belberrycrm.bitrix24.ru/crm/deal/details/2176/")</x:f>
      </x:c>
      <x:c r="D289" t="str">
        <x:v>Реанимация</x:v>
      </x:c>
      <x:c r="E289" t="str">
        <x:v>ПРОДАЖИ: Отвалы</x:v>
      </x:c>
      <x:c r="F289" t="str">
        <x:v>Иван Халин</x:v>
      </x:c>
      <x:c r="G289" t="str">
        <x:v>нет</x:v>
      </x:c>
      <x:c r="H289" t="str">
        <x:v>нет</x:v>
      </x:c>
    </x:row>
    <x:row r="290">
      <x:c r="A290" t="str">
        <x:v>2178</x:v>
      </x:c>
      <x:c r="B290" t="str">
        <x:v>odpclinic.ru</x:v>
      </x:c>
      <x:c r="C290" t="e">
        <x:f>HYPERLINK("https://belberrycrm.bitrix24.ru/crm/deal/details/2178/","https://belberrycrm.bitrix24.ru/crm/deal/details/2178/")</x:f>
      </x:c>
      <x:c r="D290" t="str">
        <x:v>Реанимация</x:v>
      </x:c>
      <x:c r="E290" t="str">
        <x:v>ПРОДАЖИ: Отвалы</x:v>
      </x:c>
      <x:c r="F290" t="str">
        <x:v>Иван Халин</x:v>
      </x:c>
      <x:c r="G290" t="str">
        <x:v>нет</x:v>
      </x:c>
      <x:c r="H290" t="str">
        <x:v>нет</x:v>
      </x:c>
    </x:row>
    <x:row r="291">
      <x:c r="A291" t="str">
        <x:v>2182</x:v>
      </x:c>
      <x:c r="B291" t="str">
        <x:v>www.dentalain.ru</x:v>
      </x:c>
      <x:c r="C291" t="e">
        <x:f>HYPERLINK("https://belberrycrm.bitrix24.ru/crm/deal/details/2182/","https://belberrycrm.bitrix24.ru/crm/deal/details/2182/")</x:f>
      </x:c>
      <x:c r="D291" t="str">
        <x:v>Реанимация</x:v>
      </x:c>
      <x:c r="E291" t="str">
        <x:v>ПРОДАЖИ: Отвалы</x:v>
      </x:c>
      <x:c r="F291" t="str">
        <x:v>Иван Халин</x:v>
      </x:c>
      <x:c r="G291" t="str">
        <x:v>нет</x:v>
      </x:c>
      <x:c r="H291" t="str">
        <x:v>нет</x:v>
      </x:c>
    </x:row>
    <x:row r="292">
      <x:c r="A292" t="str">
        <x:v>2184</x:v>
      </x:c>
      <x:c r="B292" t="str">
        <x:v>seline.ru</x:v>
      </x:c>
      <x:c r="C292" t="e">
        <x:f>HYPERLINK("https://belberrycrm.bitrix24.ru/crm/deal/details/2184/","https://belberrycrm.bitrix24.ru/crm/deal/details/2184/")</x:f>
      </x:c>
      <x:c r="D292" t="str">
        <x:v>Реанимация</x:v>
      </x:c>
      <x:c r="E292" t="str">
        <x:v>ПРОДАЖИ: Отвалы</x:v>
      </x:c>
      <x:c r="F292" t="str">
        <x:v>Иван Халин</x:v>
      </x:c>
      <x:c r="G292" t="str">
        <x:v>нет</x:v>
      </x:c>
      <x:c r="H292" t="str">
        <x:v>нет</x:v>
      </x:c>
    </x:row>
    <x:row r="293">
      <x:c r="A293" t="str">
        <x:v>2188</x:v>
      </x:c>
      <x:c r="B293" t="str">
        <x:v>www.stomos.ru</x:v>
      </x:c>
      <x:c r="C293" t="e">
        <x:f>HYPERLINK("https://belberrycrm.bitrix24.ru/crm/deal/details/2188/","https://belberrycrm.bitrix24.ru/crm/deal/details/2188/")</x:f>
      </x:c>
      <x:c r="D293" t="str">
        <x:v>Реанимация</x:v>
      </x:c>
      <x:c r="E293" t="str">
        <x:v>ПРОДАЖИ: Отвалы</x:v>
      </x:c>
      <x:c r="F293" t="str">
        <x:v>Иван Халин</x:v>
      </x:c>
      <x:c r="G293" t="str">
        <x:v>нет</x:v>
      </x:c>
      <x:c r="H293" t="str">
        <x:v>нет</x:v>
      </x:c>
    </x:row>
    <x:row r="294">
      <x:c r="A294" t="str">
        <x:v>2192</x:v>
      </x:c>
      <x:c r="B294" t="str">
        <x:v>dent100.ru</x:v>
      </x:c>
      <x:c r="C294" t="e">
        <x:f>HYPERLINK("https://belberrycrm.bitrix24.ru/crm/deal/details/2192/","https://belberrycrm.bitrix24.ru/crm/deal/details/2192/")</x:f>
      </x:c>
      <x:c r="D294" t="str">
        <x:v>Реанимация</x:v>
      </x:c>
      <x:c r="E294" t="str">
        <x:v>ПРОДАЖИ: Отвалы</x:v>
      </x:c>
      <x:c r="F294" t="str">
        <x:v>Иван Халин</x:v>
      </x:c>
      <x:c r="G294" t="str">
        <x:v>нет</x:v>
      </x:c>
      <x:c r="H294" t="str">
        <x:v>нет</x:v>
      </x:c>
    </x:row>
    <x:row r="295">
      <x:c r="A295" t="str">
        <x:v>2196</x:v>
      </x:c>
      <x:c r="B295" t="str">
        <x:v>ludent.ru</x:v>
      </x:c>
      <x:c r="C295" t="e">
        <x:f>HYPERLINK("https://belberrycrm.bitrix24.ru/crm/deal/details/2196/","https://belberrycrm.bitrix24.ru/crm/deal/details/2196/")</x:f>
      </x:c>
      <x:c r="D295" t="str">
        <x:v>Реанимация</x:v>
      </x:c>
      <x:c r="E295" t="str">
        <x:v>ПРОДАЖИ: Отвалы</x:v>
      </x:c>
      <x:c r="F295" t="str">
        <x:v>Иван Халин</x:v>
      </x:c>
      <x:c r="G295" t="str">
        <x:v>нет</x:v>
      </x:c>
      <x:c r="H295" t="str">
        <x:v>нет</x:v>
      </x:c>
    </x:row>
    <x:row r="296">
      <x:c r="A296" t="str">
        <x:v>2198</x:v>
      </x:c>
      <x:c r="B296" t="str">
        <x:v>Сергей Леонов</x:v>
      </x:c>
      <x:c r="C296" t="e">
        <x:f>HYPERLINK("https://belberrycrm.bitrix24.ru/crm/deal/details/2198/","https://belberrycrm.bitrix24.ru/crm/deal/details/2198/")</x:f>
      </x:c>
      <x:c r="D296" t="str">
        <x:v>Реанимация</x:v>
      </x:c>
      <x:c r="E296" t="str">
        <x:v>ПРОДАЖИ: Отвалы</x:v>
      </x:c>
      <x:c r="F296" t="str">
        <x:v>Иван Халин</x:v>
      </x:c>
      <x:c r="G296" t="str">
        <x:v>нет</x:v>
      </x:c>
      <x:c r="H296" t="str">
        <x:v>нет</x:v>
      </x:c>
    </x:row>
    <x:row r="297">
      <x:c r="A297" t="str">
        <x:v>2202</x:v>
      </x:c>
      <x:c r="B297" t="str">
        <x:v>stomvill.ru</x:v>
      </x:c>
      <x:c r="C297" t="e">
        <x:f>HYPERLINK("https://belberrycrm.bitrix24.ru/crm/deal/details/2202/","https://belberrycrm.bitrix24.ru/crm/deal/details/2202/")</x:f>
      </x:c>
      <x:c r="D297" t="str">
        <x:v>Реанимация</x:v>
      </x:c>
      <x:c r="E297" t="str">
        <x:v>ПРОДАЖИ: Отвалы</x:v>
      </x:c>
      <x:c r="F297" t="str">
        <x:v>Иван Халин</x:v>
      </x:c>
      <x:c r="G297" t="str">
        <x:v>нет</x:v>
      </x:c>
      <x:c r="H297" t="str">
        <x:v>нет</x:v>
      </x:c>
    </x:row>
    <x:row r="298">
      <x:c r="A298" t="str">
        <x:v>2212</x:v>
      </x:c>
      <x:c r="B298" t="str">
        <x:v>happydents.ru</x:v>
      </x:c>
      <x:c r="C298" t="e">
        <x:f>HYPERLINK("https://belberrycrm.bitrix24.ru/crm/deal/details/2212/","https://belberrycrm.bitrix24.ru/crm/deal/details/2212/")</x:f>
      </x:c>
      <x:c r="D298" t="str">
        <x:v>Реанимация</x:v>
      </x:c>
      <x:c r="E298" t="str">
        <x:v>ПРОДАЖИ: Отвалы</x:v>
      </x:c>
      <x:c r="F298" t="str">
        <x:v>Иван Халин</x:v>
      </x:c>
      <x:c r="G298" t="str">
        <x:v>нет</x:v>
      </x:c>
      <x:c r="H298" t="str">
        <x:v>нет</x:v>
      </x:c>
    </x:row>
    <x:row r="299">
      <x:c r="A299" t="str">
        <x:v>2216</x:v>
      </x:c>
      <x:c r="B299" t="str">
        <x:v>vimontale.ru</x:v>
      </x:c>
      <x:c r="C299" t="e">
        <x:f>HYPERLINK("https://belberrycrm.bitrix24.ru/crm/deal/details/2216/","https://belberrycrm.bitrix24.ru/crm/deal/details/2216/")</x:f>
      </x:c>
      <x:c r="D299" t="str">
        <x:v>Реанимация</x:v>
      </x:c>
      <x:c r="E299" t="str">
        <x:v>ПРОДАЖИ: Отвалы</x:v>
      </x:c>
      <x:c r="F299" t="str">
        <x:v>Иван Халин</x:v>
      </x:c>
      <x:c r="G299" t="str">
        <x:v>нет</x:v>
      </x:c>
      <x:c r="H299" t="str">
        <x:v>нет</x:v>
      </x:c>
    </x:row>
    <x:row r="300">
      <x:c r="A300" t="str">
        <x:v>2226</x:v>
      </x:c>
      <x:c r="B300" t="str">
        <x:v>zuub.ru</x:v>
      </x:c>
      <x:c r="C300" t="e">
        <x:f>HYPERLINK("https://belberrycrm.bitrix24.ru/crm/deal/details/2226/","https://belberrycrm.bitrix24.ru/crm/deal/details/2226/")</x:f>
      </x:c>
      <x:c r="D300" t="str">
        <x:v>Реанимация</x:v>
      </x:c>
      <x:c r="E300" t="str">
        <x:v>ПРОДАЖИ: Отвалы</x:v>
      </x:c>
      <x:c r="F300" t="str">
        <x:v>Иван Халин</x:v>
      </x:c>
      <x:c r="G300" t="str">
        <x:v>нет</x:v>
      </x:c>
      <x:c r="H300" t="str">
        <x:v>нет</x:v>
      </x:c>
    </x:row>
    <x:row r="301">
      <x:c r="A301" t="str">
        <x:v>2232</x:v>
      </x:c>
      <x:c r="B301" t="str">
        <x:v>moz10.ru</x:v>
      </x:c>
      <x:c r="C301" t="e">
        <x:f>HYPERLINK("https://belberrycrm.bitrix24.ru/crm/deal/details/2232/","https://belberrycrm.bitrix24.ru/crm/deal/details/2232/")</x:f>
      </x:c>
      <x:c r="D301" t="str">
        <x:v>Реанимация</x:v>
      </x:c>
      <x:c r="E301" t="str">
        <x:v>ПРОДАЖИ: Отвалы</x:v>
      </x:c>
      <x:c r="F301" t="str">
        <x:v>Иван Халин</x:v>
      </x:c>
      <x:c r="G301" t="str">
        <x:v>нет</x:v>
      </x:c>
      <x:c r="H301" t="str">
        <x:v>нет</x:v>
      </x:c>
    </x:row>
    <x:row r="302">
      <x:c r="A302" t="str">
        <x:v>2234</x:v>
      </x:c>
      <x:c r="B302" t="str">
        <x:v>sanabilis.ru</x:v>
      </x:c>
      <x:c r="C302" t="e">
        <x:f>HYPERLINK("https://belberrycrm.bitrix24.ru/crm/deal/details/2234/","https://belberrycrm.bitrix24.ru/crm/deal/details/2234/")</x:f>
      </x:c>
      <x:c r="D302" t="str">
        <x:v>Реанимация</x:v>
      </x:c>
      <x:c r="E302" t="str">
        <x:v>ПРОДАЖИ: Отвалы</x:v>
      </x:c>
      <x:c r="F302" t="str">
        <x:v>Иван Халин</x:v>
      </x:c>
      <x:c r="G302" t="str">
        <x:v>нет</x:v>
      </x:c>
      <x:c r="H302" t="str">
        <x:v>нет</x:v>
      </x:c>
    </x:row>
    <x:row r="303">
      <x:c r="A303" t="str">
        <x:v>2236</x:v>
      </x:c>
      <x:c r="B303" t="str">
        <x:v>estelight.ru</x:v>
      </x:c>
      <x:c r="C303" t="e">
        <x:f>HYPERLINK("https://belberrycrm.bitrix24.ru/crm/deal/details/2236/","https://belberrycrm.bitrix24.ru/crm/deal/details/2236/")</x:f>
      </x:c>
      <x:c r="D303" t="str">
        <x:v>Реанимация</x:v>
      </x:c>
      <x:c r="E303" t="str">
        <x:v>ПРОДАЖИ: Отвалы</x:v>
      </x:c>
      <x:c r="F303" t="str">
        <x:v>Иван Халин</x:v>
      </x:c>
      <x:c r="G303" t="str">
        <x:v>нет</x:v>
      </x:c>
      <x:c r="H303" t="str">
        <x:v>нет</x:v>
      </x:c>
    </x:row>
    <x:row r="304">
      <x:c r="A304" t="str">
        <x:v>2238</x:v>
      </x:c>
      <x:c r="B304" t="str">
        <x:v>drbaranov.ru</x:v>
      </x:c>
      <x:c r="C304" t="e">
        <x:f>HYPERLINK("https://belberrycrm.bitrix24.ru/crm/deal/details/2238/","https://belberrycrm.bitrix24.ru/crm/deal/details/2238/")</x:f>
      </x:c>
      <x:c r="D304" t="str">
        <x:v>Реанимация</x:v>
      </x:c>
      <x:c r="E304" t="str">
        <x:v>ПРОДАЖИ: Отвалы</x:v>
      </x:c>
      <x:c r="F304" t="str">
        <x:v>Иван Халин</x:v>
      </x:c>
      <x:c r="G304" t="str">
        <x:v>нет</x:v>
      </x:c>
      <x:c r="H304" t="str">
        <x:v>нет</x:v>
      </x:c>
    </x:row>
    <x:row r="305">
      <x:c r="A305" t="str">
        <x:v>2244</x:v>
      </x:c>
      <x:c r="B305" t="str">
        <x:v>dent-o-care.ru</x:v>
      </x:c>
      <x:c r="C305" t="e">
        <x:f>HYPERLINK("https://belberrycrm.bitrix24.ru/crm/deal/details/2244/","https://belberrycrm.bitrix24.ru/crm/deal/details/2244/")</x:f>
      </x:c>
      <x:c r="D305" t="str">
        <x:v>Реанимация</x:v>
      </x:c>
      <x:c r="E305" t="str">
        <x:v>ПРОДАЖИ: Отвалы</x:v>
      </x:c>
      <x:c r="F305" t="str">
        <x:v>Иван Халин</x:v>
      </x:c>
      <x:c r="G305" t="str">
        <x:v>нет</x:v>
      </x:c>
      <x:c r="H305" t="str">
        <x:v>нет</x:v>
      </x:c>
    </x:row>
    <x:row r="306">
      <x:c r="A306" t="str">
        <x:v>2246</x:v>
      </x:c>
      <x:c r="B306" t="str">
        <x:v>maxistom.ru</x:v>
      </x:c>
      <x:c r="C306" t="e">
        <x:f>HYPERLINK("https://belberrycrm.bitrix24.ru/crm/deal/details/2246/","https://belberrycrm.bitrix24.ru/crm/deal/details/2246/")</x:f>
      </x:c>
      <x:c r="D306" t="str">
        <x:v>Реанимация</x:v>
      </x:c>
      <x:c r="E306" t="str">
        <x:v>ПРОДАЖИ: Отвалы</x:v>
      </x:c>
      <x:c r="F306" t="str">
        <x:v>Иван Халин</x:v>
      </x:c>
      <x:c r="G306" t="str">
        <x:v>нет</x:v>
      </x:c>
      <x:c r="H306" t="str">
        <x:v>нет</x:v>
      </x:c>
    </x:row>
    <x:row r="307">
      <x:c r="A307" t="str">
        <x:v>2252</x:v>
      </x:c>
      <x:c r="B307" t="str">
        <x:v>dentaklad.ru</x:v>
      </x:c>
      <x:c r="C307" t="e">
        <x:f>HYPERLINK("https://belberrycrm.bitrix24.ru/crm/deal/details/2252/","https://belberrycrm.bitrix24.ru/crm/deal/details/2252/")</x:f>
      </x:c>
      <x:c r="D307" t="str">
        <x:v>Реанимация</x:v>
      </x:c>
      <x:c r="E307" t="str">
        <x:v>ПРОДАЖИ: Отвалы</x:v>
      </x:c>
      <x:c r="F307" t="str">
        <x:v>Иван Халин</x:v>
      </x:c>
      <x:c r="G307" t="str">
        <x:v>нет</x:v>
      </x:c>
      <x:c r="H307" t="str">
        <x:v>нет</x:v>
      </x:c>
    </x:row>
    <x:row r="308">
      <x:c r="A308" t="str">
        <x:v>2254</x:v>
      </x:c>
      <x:c r="B308" t="str">
        <x:v>www.stomatolog-77.ru</x:v>
      </x:c>
      <x:c r="C308" t="e">
        <x:f>HYPERLINK("https://belberrycrm.bitrix24.ru/crm/deal/details/2254/","https://belberrycrm.bitrix24.ru/crm/deal/details/2254/")</x:f>
      </x:c>
      <x:c r="D308" t="str">
        <x:v>Реанимация</x:v>
      </x:c>
      <x:c r="E308" t="str">
        <x:v>ПРОДАЖИ: Отвалы</x:v>
      </x:c>
      <x:c r="F308" t="str">
        <x:v>Иван Халин</x:v>
      </x:c>
      <x:c r="G308" t="str">
        <x:v>нет</x:v>
      </x:c>
      <x:c r="H308" t="str">
        <x:v>нет</x:v>
      </x:c>
    </x:row>
    <x:row r="309">
      <x:c r="A309" t="str">
        <x:v>2260</x:v>
      </x:c>
      <x:c r="B309" t="str">
        <x:v>www.inpromed.ru</x:v>
      </x:c>
      <x:c r="C309" t="e">
        <x:f>HYPERLINK("https://belberrycrm.bitrix24.ru/crm/deal/details/2260/","https://belberrycrm.bitrix24.ru/crm/deal/details/2260/")</x:f>
      </x:c>
      <x:c r="D309" t="str">
        <x:v>Реанимация</x:v>
      </x:c>
      <x:c r="E309" t="str">
        <x:v>ПРОДАЖИ: Отвалы</x:v>
      </x:c>
      <x:c r="F309" t="str">
        <x:v>Иван Халин</x:v>
      </x:c>
      <x:c r="G309" t="str">
        <x:v>нет</x:v>
      </x:c>
      <x:c r="H309" t="str">
        <x:v>нет</x:v>
      </x:c>
    </x:row>
    <x:row r="310">
      <x:c r="A310" t="str">
        <x:v>2264</x:v>
      </x:c>
      <x:c r="B310" t="str">
        <x:v>famdental.ru</x:v>
      </x:c>
      <x:c r="C310" t="e">
        <x:f>HYPERLINK("https://belberrycrm.bitrix24.ru/crm/deal/details/2264/","https://belberrycrm.bitrix24.ru/crm/deal/details/2264/")</x:f>
      </x:c>
      <x:c r="D310" t="str">
        <x:v>Реанимация</x:v>
      </x:c>
      <x:c r="E310" t="str">
        <x:v>ПРОДАЖИ: Отвалы</x:v>
      </x:c>
      <x:c r="F310" t="str">
        <x:v>Иван Халин</x:v>
      </x:c>
      <x:c r="G310" t="str">
        <x:v>нет</x:v>
      </x:c>
      <x:c r="H310" t="str">
        <x:v>нет</x:v>
      </x:c>
    </x:row>
    <x:row r="311">
      <x:c r="A311" t="str">
        <x:v>2272</x:v>
      </x:c>
      <x:c r="B311" t="str">
        <x:v>irinazaitseva.ru</x:v>
      </x:c>
      <x:c r="C311" t="e">
        <x:f>HYPERLINK("https://belberrycrm.bitrix24.ru/crm/deal/details/2272/","https://belberrycrm.bitrix24.ru/crm/deal/details/2272/")</x:f>
      </x:c>
      <x:c r="D311" t="str">
        <x:v>Реанимация</x:v>
      </x:c>
      <x:c r="E311" t="str">
        <x:v>ПРОДАЖИ: Отвалы</x:v>
      </x:c>
      <x:c r="F311" t="str">
        <x:v>Иван Халин</x:v>
      </x:c>
      <x:c r="G311" t="str">
        <x:v>нет</x:v>
      </x:c>
      <x:c r="H311" t="str">
        <x:v>нет</x:v>
      </x:c>
    </x:row>
    <x:row r="312">
      <x:c r="A312" t="str">
        <x:v>2276</x:v>
      </x:c>
      <x:c r="B312" t="str">
        <x:v>dentdoktor.ru</x:v>
      </x:c>
      <x:c r="C312" t="e">
        <x:f>HYPERLINK("https://belberrycrm.bitrix24.ru/crm/deal/details/2276/","https://belberrycrm.bitrix24.ru/crm/deal/details/2276/")</x:f>
      </x:c>
      <x:c r="D312" t="str">
        <x:v>Реанимация</x:v>
      </x:c>
      <x:c r="E312" t="str">
        <x:v>ПРОДАЖИ: Отвалы</x:v>
      </x:c>
      <x:c r="F312" t="str">
        <x:v>Иван Халин</x:v>
      </x:c>
      <x:c r="G312" t="str">
        <x:v>нет</x:v>
      </x:c>
      <x:c r="H312" t="str">
        <x:v>нет</x:v>
      </x:c>
    </x:row>
    <x:row r="313">
      <x:c r="A313" t="str">
        <x:v>2278</x:v>
      </x:c>
      <x:c r="B313" t="str">
        <x:v>Сделка #2278</x:v>
      </x:c>
      <x:c r="C313" t="e">
        <x:f>HYPERLINK("https://belberrycrm.bitrix24.ru/crm/deal/details/2278/","https://belberrycrm.bitrix24.ru/crm/deal/details/2278/")</x:f>
      </x:c>
      <x:c r="D313" t="str">
        <x:v>Реанимация</x:v>
      </x:c>
      <x:c r="E313" t="str">
        <x:v>ПРОДАЖИ: Отвалы</x:v>
      </x:c>
      <x:c r="F313" t="str">
        <x:v>Иван Халин</x:v>
      </x:c>
      <x:c r="G313" t="str">
        <x:v>нет</x:v>
      </x:c>
      <x:c r="H313" t="str">
        <x:v>нет</x:v>
      </x:c>
    </x:row>
    <x:row r="314">
      <x:c r="A314" t="str">
        <x:v>2280</x:v>
      </x:c>
      <x:c r="B314" t="str">
        <x:v>Сергей</x:v>
      </x:c>
      <x:c r="C314" t="e">
        <x:f>HYPERLINK("https://belberrycrm.bitrix24.ru/crm/deal/details/2280/","https://belberrycrm.bitrix24.ru/crm/deal/details/2280/")</x:f>
      </x:c>
      <x:c r="D314" t="str">
        <x:v>Реанимация</x:v>
      </x:c>
      <x:c r="E314" t="str">
        <x:v>ПРОДАЖИ: Отвалы</x:v>
      </x:c>
      <x:c r="F314" t="str">
        <x:v>Иван Халин</x:v>
      </x:c>
      <x:c r="G314" t="str">
        <x:v>нет</x:v>
      </x:c>
      <x:c r="H314" t="str">
        <x:v>нет</x:v>
      </x:c>
    </x:row>
    <x:row r="315">
      <x:c r="A315" t="str">
        <x:v>2282</x:v>
      </x:c>
      <x:c r="B315" t="str">
        <x:v>Татьяна Владимировна</x:v>
      </x:c>
      <x:c r="C315" t="e">
        <x:f>HYPERLINK("https://belberrycrm.bitrix24.ru/crm/deal/details/2282/","https://belberrycrm.bitrix24.ru/crm/deal/details/2282/")</x:f>
      </x:c>
      <x:c r="D315" t="str">
        <x:v>Реанимация</x:v>
      </x:c>
      <x:c r="E315" t="str">
        <x:v>ПРОДАЖИ: Отвалы</x:v>
      </x:c>
      <x:c r="F315" t="str">
        <x:v>Иван Халин</x:v>
      </x:c>
      <x:c r="G315" t="str">
        <x:v>нет</x:v>
      </x:c>
      <x:c r="H315" t="str">
        <x:v>нет</x:v>
      </x:c>
    </x:row>
    <x:row r="316">
      <x:c r="A316" t="str">
        <x:v>2290</x:v>
      </x:c>
      <x:c r="B316" t="str">
        <x:v>Екатерина</x:v>
      </x:c>
      <x:c r="C316" t="e">
        <x:f>HYPERLINK("https://belberrycrm.bitrix24.ru/crm/deal/details/2290/","https://belberrycrm.bitrix24.ru/crm/deal/details/2290/")</x:f>
      </x:c>
      <x:c r="D316" t="str">
        <x:v>Реанимация</x:v>
      </x:c>
      <x:c r="E316" t="str">
        <x:v>ПРОДАЖИ: Отвалы</x:v>
      </x:c>
      <x:c r="F316" t="str">
        <x:v>Иван Халин</x:v>
      </x:c>
      <x:c r="G316" t="str">
        <x:v>нет</x:v>
      </x:c>
      <x:c r="H316" t="str">
        <x:v>нет</x:v>
      </x:c>
    </x:row>
    <x:row r="317">
      <x:c r="A317" t="str">
        <x:v>2292</x:v>
      </x:c>
      <x:c r="B317" t="str">
        <x:v>Жимбуева Светлана Васильевна</x:v>
      </x:c>
      <x:c r="C317" t="e">
        <x:f>HYPERLINK("https://belberrycrm.bitrix24.ru/crm/deal/details/2292/","https://belberrycrm.bitrix24.ru/crm/deal/details/2292/")</x:f>
      </x:c>
      <x:c r="D317" t="str">
        <x:v>Реанимация</x:v>
      </x:c>
      <x:c r="E317" t="str">
        <x:v>ПРОДАЖИ: Отвалы</x:v>
      </x:c>
      <x:c r="F317" t="str">
        <x:v>Иван Халин</x:v>
      </x:c>
      <x:c r="G317" t="str">
        <x:v>нет</x:v>
      </x:c>
      <x:c r="H317" t="str">
        <x:v>нет</x:v>
      </x:c>
    </x:row>
    <x:row r="318">
      <x:c r="A318" t="str">
        <x:v>2298</x:v>
      </x:c>
      <x:c r="B318" t="str">
        <x:v>Стеблецов Сергей Васильевич</x:v>
      </x:c>
      <x:c r="C318" t="e">
        <x:f>HYPERLINK("https://belberrycrm.bitrix24.ru/crm/deal/details/2298/","https://belberrycrm.bitrix24.ru/crm/deal/details/2298/")</x:f>
      </x:c>
      <x:c r="D318" t="str">
        <x:v>Реанимация</x:v>
      </x:c>
      <x:c r="E318" t="str">
        <x:v>ПРОДАЖИ: Отвалы</x:v>
      </x:c>
      <x:c r="F318" t="str">
        <x:v>Георгий Погосян</x:v>
      </x:c>
      <x:c r="G318" t="str">
        <x:v>нет</x:v>
      </x:c>
      <x:c r="H318" t="str">
        <x:v>нет</x:v>
      </x:c>
    </x:row>
    <x:row r="319">
      <x:c r="A319" t="str">
        <x:v>2304</x:v>
      </x:c>
      <x:c r="B319" t="str">
        <x:v>i-smiles.ru</x:v>
      </x:c>
      <x:c r="C319" t="e">
        <x:f>HYPERLINK("https://belberrycrm.bitrix24.ru/crm/deal/details/2304/","https://belberrycrm.bitrix24.ru/crm/deal/details/2304/")</x:f>
      </x:c>
      <x:c r="D319" t="str">
        <x:v>Реанимация</x:v>
      </x:c>
      <x:c r="E319" t="str">
        <x:v>ПРОДАЖИ: Отвалы</x:v>
      </x:c>
      <x:c r="F319" t="str">
        <x:v>Иван Халин</x:v>
      </x:c>
      <x:c r="G319" t="str">
        <x:v>нет</x:v>
      </x:c>
      <x:c r="H319" t="str">
        <x:v>нет</x:v>
      </x:c>
    </x:row>
    <x:row r="320">
      <x:c r="A320" t="str">
        <x:v>2306</x:v>
      </x:c>
      <x:c r="B320" t="str">
        <x:v>Александра</x:v>
      </x:c>
      <x:c r="C320" t="e">
        <x:f>HYPERLINK("https://belberrycrm.bitrix24.ru/crm/deal/details/2306/","https://belberrycrm.bitrix24.ru/crm/deal/details/2306/")</x:f>
      </x:c>
      <x:c r="D320" t="str">
        <x:v>Реанимация</x:v>
      </x:c>
      <x:c r="E320" t="str">
        <x:v>ПРОДАЖИ: Отвалы</x:v>
      </x:c>
      <x:c r="F320" t="str">
        <x:v>Иван Халин</x:v>
      </x:c>
      <x:c r="G320" t="str">
        <x:v>нет</x:v>
      </x:c>
      <x:c r="H320" t="str">
        <x:v>нет</x:v>
      </x:c>
    </x:row>
    <x:row r="321">
      <x:c r="A321" t="str">
        <x:v>2308</x:v>
      </x:c>
      <x:c r="B321" t="str">
        <x:v>Стоматология</x:v>
      </x:c>
      <x:c r="C321" t="e">
        <x:f>HYPERLINK("https://belberrycrm.bitrix24.ru/crm/deal/details/2308/","https://belberrycrm.bitrix24.ru/crm/deal/details/2308/")</x:f>
      </x:c>
      <x:c r="D321" t="str">
        <x:v>Реанимация</x:v>
      </x:c>
      <x:c r="E321" t="str">
        <x:v>ПРОДАЖИ: Отвалы</x:v>
      </x:c>
      <x:c r="F321" t="str">
        <x:v>Иван Халин</x:v>
      </x:c>
      <x:c r="G321" t="str">
        <x:v>нет</x:v>
      </x:c>
      <x:c r="H321" t="str">
        <x:v>нет</x:v>
      </x:c>
    </x:row>
    <x:row r="322">
      <x:c r="A322" t="str">
        <x:v>2316</x:v>
      </x:c>
      <x:c r="B322" t="str">
        <x:v>kredo-dent.ru</x:v>
      </x:c>
      <x:c r="C322" t="e">
        <x:f>HYPERLINK("https://belberrycrm.bitrix24.ru/crm/deal/details/2316/","https://belberrycrm.bitrix24.ru/crm/deal/details/2316/")</x:f>
      </x:c>
      <x:c r="D322" t="str">
        <x:v>Реанимация</x:v>
      </x:c>
      <x:c r="E322" t="str">
        <x:v>ПРОДАЖИ: Отвалы</x:v>
      </x:c>
      <x:c r="F322" t="str">
        <x:v>Иван Халин</x:v>
      </x:c>
      <x:c r="G322" t="str">
        <x:v>нет</x:v>
      </x:c>
      <x:c r="H322" t="str">
        <x:v>нет</x:v>
      </x:c>
    </x:row>
    <x:row r="323">
      <x:c r="A323" t="str">
        <x:v>2322</x:v>
      </x:c>
      <x:c r="B323" t="str">
        <x:v>Стоматологическая клиника Даф-мед на Дубнинской улице</x:v>
      </x:c>
      <x:c r="C323" t="e">
        <x:f>HYPERLINK("https://belberrycrm.bitrix24.ru/crm/deal/details/2322/","https://belberrycrm.bitrix24.ru/crm/deal/details/2322/")</x:f>
      </x:c>
      <x:c r="D323" t="str">
        <x:v>Реанимация</x:v>
      </x:c>
      <x:c r="E323" t="str">
        <x:v>ПРОДАЖИ: Отвалы</x:v>
      </x:c>
      <x:c r="F323" t="str">
        <x:v>Иван Халин</x:v>
      </x:c>
      <x:c r="G323" t="str">
        <x:v>нет</x:v>
      </x:c>
      <x:c r="H323" t="str">
        <x:v>нет</x:v>
      </x:c>
    </x:row>
    <x:row r="324">
      <x:c r="A324" t="str">
        <x:v>2324</x:v>
      </x:c>
      <x:c r="B324" t="str">
        <x:v>varicozu.net</x:v>
      </x:c>
      <x:c r="C324" t="e">
        <x:f>HYPERLINK("https://belberrycrm.bitrix24.ru/crm/deal/details/2324/","https://belberrycrm.bitrix24.ru/crm/deal/details/2324/")</x:f>
      </x:c>
      <x:c r="D324" t="str">
        <x:v>Реанимация</x:v>
      </x:c>
      <x:c r="E324" t="str">
        <x:v>ПРОДАЖИ: Отвалы</x:v>
      </x:c>
      <x:c r="F324" t="str">
        <x:v>Иван Халин</x:v>
      </x:c>
      <x:c r="G324" t="str">
        <x:v>нет</x:v>
      </x:c>
      <x:c r="H324" t="str">
        <x:v>нет</x:v>
      </x:c>
    </x:row>
    <x:row r="325">
      <x:c r="A325" t="str">
        <x:v>2326</x:v>
      </x:c>
      <x:c r="B325" t="str">
        <x:v>maxistom32.ru</x:v>
      </x:c>
      <x:c r="C325" t="e">
        <x:f>HYPERLINK("https://belberrycrm.bitrix24.ru/crm/deal/details/2326/","https://belberrycrm.bitrix24.ru/crm/deal/details/2326/")</x:f>
      </x:c>
      <x:c r="D325" t="str">
        <x:v>Реанимация</x:v>
      </x:c>
      <x:c r="E325" t="str">
        <x:v>ПРОДАЖИ: Отвалы</x:v>
      </x:c>
      <x:c r="F325" t="str">
        <x:v>Иван Халин</x:v>
      </x:c>
      <x:c r="G325" t="str">
        <x:v>нет</x:v>
      </x:c>
      <x:c r="H325" t="str">
        <x:v>нет</x:v>
      </x:c>
    </x:row>
    <x:row r="326">
      <x:c r="A326" t="str">
        <x:v>2328</x:v>
      </x:c>
      <x:c r="B326" t="str">
        <x:v>Алена</x:v>
      </x:c>
      <x:c r="C326" t="e">
        <x:f>HYPERLINK("https://belberrycrm.bitrix24.ru/crm/deal/details/2328/","https://belberrycrm.bitrix24.ru/crm/deal/details/2328/")</x:f>
      </x:c>
      <x:c r="D326" t="str">
        <x:v>Реанимация</x:v>
      </x:c>
      <x:c r="E326" t="str">
        <x:v>ПРОДАЖИ: Отвалы</x:v>
      </x:c>
      <x:c r="F326" t="str">
        <x:v>Иван Халин</x:v>
      </x:c>
      <x:c r="G326" t="str">
        <x:v>нет</x:v>
      </x:c>
      <x:c r="H326" t="str">
        <x:v>нет</x:v>
      </x:c>
    </x:row>
    <x:row r="327">
      <x:c r="A327" t="str">
        <x:v>2338</x:v>
      </x:c>
      <x:c r="B327" t="str">
        <x:v>go-med.ru</x:v>
      </x:c>
      <x:c r="C327" t="e">
        <x:f>HYPERLINK("https://belberrycrm.bitrix24.ru/crm/deal/details/2338/","https://belberrycrm.bitrix24.ru/crm/deal/details/2338/")</x:f>
      </x:c>
      <x:c r="D327" t="str">
        <x:v>Реанимация</x:v>
      </x:c>
      <x:c r="E327" t="str">
        <x:v>ПРОДАЖИ: Отвалы</x:v>
      </x:c>
      <x:c r="F327" t="str">
        <x:v>Георгий Погосян</x:v>
      </x:c>
      <x:c r="G327" t="str">
        <x:v>да</x:v>
      </x:c>
      <x:c r="H327" t="str">
        <x:v>нет</x:v>
      </x:c>
    </x:row>
    <x:row r="328">
      <x:c r="A328" t="str">
        <x:v>2342</x:v>
      </x:c>
      <x:c r="B328" t="str">
        <x:v>Нина</x:v>
      </x:c>
      <x:c r="C328" t="e">
        <x:f>HYPERLINK("https://belberrycrm.bitrix24.ru/crm/deal/details/2342/","https://belberrycrm.bitrix24.ru/crm/deal/details/2342/")</x:f>
      </x:c>
      <x:c r="D328" t="str">
        <x:v>Реанимация</x:v>
      </x:c>
      <x:c r="E328" t="str">
        <x:v>ПРОДАЖИ: Отвалы</x:v>
      </x:c>
      <x:c r="F328" t="str">
        <x:v>Георгий Погосян</x:v>
      </x:c>
      <x:c r="G328" t="str">
        <x:v>нет</x:v>
      </x:c>
      <x:c r="H328" t="str">
        <x:v>нет</x:v>
      </x:c>
    </x:row>
    <x:row r="329">
      <x:c r="A329" t="str">
        <x:v>2344</x:v>
      </x:c>
      <x:c r="B329" t="str">
        <x:v>www.studiobl.ru</x:v>
      </x:c>
      <x:c r="C329" t="e">
        <x:f>HYPERLINK("https://belberrycrm.bitrix24.ru/crm/deal/details/2344/","https://belberrycrm.bitrix24.ru/crm/deal/details/2344/")</x:f>
      </x:c>
      <x:c r="D329" t="str">
        <x:v>Реанимация</x:v>
      </x:c>
      <x:c r="E329" t="str">
        <x:v>ПРОДАЖИ: Отвалы</x:v>
      </x:c>
      <x:c r="F329" t="str">
        <x:v>Иван Халин</x:v>
      </x:c>
      <x:c r="G329" t="str">
        <x:v>да</x:v>
      </x:c>
      <x:c r="H329" t="str">
        <x:v>нет</x:v>
      </x:c>
    </x:row>
    <x:row r="330">
      <x:c r="A330" t="str">
        <x:v>2346</x:v>
      </x:c>
      <x:c r="B330" t="str">
        <x:v>Анастасия Сведенцова</x:v>
      </x:c>
      <x:c r="C330" t="e">
        <x:f>HYPERLINK("https://belberrycrm.bitrix24.ru/crm/deal/details/2346/","https://belberrycrm.bitrix24.ru/crm/deal/details/2346/")</x:f>
      </x:c>
      <x:c r="D330" t="str">
        <x:v>Реанимация</x:v>
      </x:c>
      <x:c r="E330" t="str">
        <x:v>ПРОДАЖИ: Отвалы</x:v>
      </x:c>
      <x:c r="F330" t="str">
        <x:v>Георгий Погосян</x:v>
      </x:c>
      <x:c r="G330" t="str">
        <x:v>нет</x:v>
      </x:c>
      <x:c r="H330" t="str">
        <x:v>нет</x:v>
      </x:c>
    </x:row>
    <x:row r="331">
      <x:c r="A331" t="str">
        <x:v>2348</x:v>
      </x:c>
      <x:c r="B331" t="str">
        <x:v>www.praga.clinic</x:v>
      </x:c>
      <x:c r="C331" t="e">
        <x:f>HYPERLINK("https://belberrycrm.bitrix24.ru/crm/deal/details/2348/","https://belberrycrm.bitrix24.ru/crm/deal/details/2348/")</x:f>
      </x:c>
      <x:c r="D331" t="str">
        <x:v>Реанимация</x:v>
      </x:c>
      <x:c r="E331" t="str">
        <x:v>ПРОДАЖИ: Отвалы</x:v>
      </x:c>
      <x:c r="F331" t="str">
        <x:v>Иван Халин</x:v>
      </x:c>
      <x:c r="G331" t="str">
        <x:v>нет</x:v>
      </x:c>
      <x:c r="H331" t="str">
        <x:v>нет</x:v>
      </x:c>
    </x:row>
    <x:row r="332">
      <x:c r="A332" t="str">
        <x:v>2350</x:v>
      </x:c>
      <x:c r="B332" t="str">
        <x:v>имплантациявмоскве.рф</x:v>
      </x:c>
      <x:c r="C332" t="e">
        <x:f>HYPERLINK("https://belberrycrm.bitrix24.ru/crm/deal/details/2350/","https://belberrycrm.bitrix24.ru/crm/deal/details/2350/")</x:f>
      </x:c>
      <x:c r="D332" t="str">
        <x:v>Реанимация</x:v>
      </x:c>
      <x:c r="E332" t="str">
        <x:v>ПРОДАЖИ: Отвалы</x:v>
      </x:c>
      <x:c r="F332" t="str">
        <x:v>Иван Халин</x:v>
      </x:c>
      <x:c r="G332" t="str">
        <x:v>нет</x:v>
      </x:c>
      <x:c r="H332" t="str">
        <x:v>нет</x:v>
      </x:c>
    </x:row>
    <x:row r="333">
      <x:c r="A333" t="str">
        <x:v>2352</x:v>
      </x:c>
      <x:c r="B333" t="str">
        <x:v>Клиника ЭКО</x:v>
      </x:c>
      <x:c r="C333" t="e">
        <x:f>HYPERLINK("https://belberrycrm.bitrix24.ru/crm/deal/details/2352/","https://belberrycrm.bitrix24.ru/crm/deal/details/2352/")</x:f>
      </x:c>
      <x:c r="D333" t="str">
        <x:v>Реанимация</x:v>
      </x:c>
      <x:c r="E333" t="str">
        <x:v>ПРОДАЖИ: Отвалы</x:v>
      </x:c>
      <x:c r="F333" t="str">
        <x:v>Евгений Щемелёв</x:v>
      </x:c>
      <x:c r="G333" t="str">
        <x:v>нет</x:v>
      </x:c>
      <x:c r="H333" t="str">
        <x:v>нет</x:v>
      </x:c>
    </x:row>
    <x:row r="334">
      <x:c r="A334" t="str">
        <x:v>2354</x:v>
      </x:c>
      <x:c r="B334" t="str">
        <x:v>altair-clinic.ru</x:v>
      </x:c>
      <x:c r="C334" t="e">
        <x:f>HYPERLINK("https://belberrycrm.bitrix24.ru/crm/deal/details/2354/","https://belberrycrm.bitrix24.ru/crm/deal/details/2354/")</x:f>
      </x:c>
      <x:c r="D334" t="str">
        <x:v>Реанимация</x:v>
      </x:c>
      <x:c r="E334" t="str">
        <x:v>ПРОДАЖИ: Отвалы</x:v>
      </x:c>
      <x:c r="F334" t="str">
        <x:v>Георгий Погосян</x:v>
      </x:c>
      <x:c r="G334" t="str">
        <x:v>нет</x:v>
      </x:c>
      <x:c r="H334" t="str">
        <x:v>нет</x:v>
      </x:c>
    </x:row>
    <x:row r="335">
      <x:c r="A335" t="str">
        <x:v>2356</x:v>
      </x:c>
      <x:c r="B335" t="str">
        <x:v>www.russmile.ru</x:v>
      </x:c>
      <x:c r="C335" t="e">
        <x:f>HYPERLINK("https://belberrycrm.bitrix24.ru/crm/deal/details/2356/","https://belberrycrm.bitrix24.ru/crm/deal/details/2356/")</x:f>
      </x:c>
      <x:c r="D335" t="str">
        <x:v>Реанимация</x:v>
      </x:c>
      <x:c r="E335" t="str">
        <x:v>ПРОДАЖИ: Отвалы</x:v>
      </x:c>
      <x:c r="F335" t="str">
        <x:v>Иван Халин</x:v>
      </x:c>
      <x:c r="G335" t="str">
        <x:v>нет</x:v>
      </x:c>
      <x:c r="H335" t="str">
        <x:v>нет</x:v>
      </x:c>
    </x:row>
    <x:row r="336">
      <x:c r="A336" t="str">
        <x:v>2358</x:v>
      </x:c>
      <x:c r="B336" t="str">
        <x:v>doctor-em.ru</x:v>
      </x:c>
      <x:c r="C336" t="e">
        <x:f>HYPERLINK("https://belberrycrm.bitrix24.ru/crm/deal/details/2358/","https://belberrycrm.bitrix24.ru/crm/deal/details/2358/")</x:f>
      </x:c>
      <x:c r="D336" t="str">
        <x:v>Реанимация</x:v>
      </x:c>
      <x:c r="E336" t="str">
        <x:v>ПРОДАЖИ: Отвалы</x:v>
      </x:c>
      <x:c r="F336" t="str">
        <x:v>Иван Халин</x:v>
      </x:c>
      <x:c r="G336" t="str">
        <x:v>нет</x:v>
      </x:c>
      <x:c r="H336" t="str">
        <x:v>нет</x:v>
      </x:c>
    </x:row>
    <x:row r="337">
      <x:c r="A337" t="str">
        <x:v>2360</x:v>
      </x:c>
      <x:c r="B337" t="str">
        <x:v>magiaulibki.ru</x:v>
      </x:c>
      <x:c r="C337" t="e">
        <x:f>HYPERLINK("https://belberrycrm.bitrix24.ru/crm/deal/details/2360/","https://belberrycrm.bitrix24.ru/crm/deal/details/2360/")</x:f>
      </x:c>
      <x:c r="D337" t="str">
        <x:v>Реанимация</x:v>
      </x:c>
      <x:c r="E337" t="str">
        <x:v>ПРОДАЖИ: Отвалы</x:v>
      </x:c>
      <x:c r="F337" t="str">
        <x:v>Иван Халин</x:v>
      </x:c>
      <x:c r="G337" t="str">
        <x:v>нет</x:v>
      </x:c>
      <x:c r="H337" t="str">
        <x:v>нет</x:v>
      </x:c>
    </x:row>
    <x:row r="338">
      <x:c r="A338" t="str">
        <x:v>2364</x:v>
      </x:c>
      <x:c r="B338" t="str">
        <x:v>dr-kerimov.ru</x:v>
      </x:c>
      <x:c r="C338" t="e">
        <x:f>HYPERLINK("https://belberrycrm.bitrix24.ru/crm/deal/details/2364/","https://belberrycrm.bitrix24.ru/crm/deal/details/2364/")</x:f>
      </x:c>
      <x:c r="D338" t="str">
        <x:v>Реанимация</x:v>
      </x:c>
      <x:c r="E338" t="str">
        <x:v>ПРОДАЖИ: Отвалы</x:v>
      </x:c>
      <x:c r="F338" t="str">
        <x:v>Иван Халин</x:v>
      </x:c>
      <x:c r="G338" t="str">
        <x:v>нет</x:v>
      </x:c>
      <x:c r="H338" t="str">
        <x:v>нет</x:v>
      </x:c>
    </x:row>
    <x:row r="339">
      <x:c r="A339" t="str">
        <x:v>2370</x:v>
      </x:c>
      <x:c r="B339" t="str">
        <x:v>clinika1.ru</x:v>
      </x:c>
      <x:c r="C339" t="e">
        <x:f>HYPERLINK("https://belberrycrm.bitrix24.ru/crm/deal/details/2370/","https://belberrycrm.bitrix24.ru/crm/deal/details/2370/")</x:f>
      </x:c>
      <x:c r="D339" t="str">
        <x:v>Реанимация</x:v>
      </x:c>
      <x:c r="E339" t="str">
        <x:v>ПРОДАЖИ: Отвалы</x:v>
      </x:c>
      <x:c r="F339" t="str">
        <x:v>Екатерина Федоренко</x:v>
      </x:c>
      <x:c r="G339" t="str">
        <x:v>нет</x:v>
      </x:c>
      <x:c r="H339" t="str">
        <x:v>нет</x:v>
      </x:c>
    </x:row>
    <x:row r="340">
      <x:c r="A340" t="str">
        <x:v>2372</x:v>
      </x:c>
      <x:c r="B340" t="str">
        <x:v>oncoart.ru</x:v>
      </x:c>
      <x:c r="C340" t="e">
        <x:f>HYPERLINK("https://belberrycrm.bitrix24.ru/crm/deal/details/2372/","https://belberrycrm.bitrix24.ru/crm/deal/details/2372/")</x:f>
      </x:c>
      <x:c r="D340" t="str">
        <x:v>Реанимация</x:v>
      </x:c>
      <x:c r="E340" t="str">
        <x:v>ПРОДАЖИ: Отвалы</x:v>
      </x:c>
      <x:c r="F340" t="str">
        <x:v>Иван Халин</x:v>
      </x:c>
      <x:c r="G340" t="str">
        <x:v>нет</x:v>
      </x:c>
      <x:c r="H340" t="str">
        <x:v>нет</x:v>
      </x:c>
    </x:row>
    <x:row r="341">
      <x:c r="A341" t="str">
        <x:v>2382</x:v>
      </x:c>
      <x:c r="B341" t="str">
        <x:v>med-expres.ru</x:v>
      </x:c>
      <x:c r="C341" t="e">
        <x:f>HYPERLINK("https://belberrycrm.bitrix24.ru/crm/deal/details/2382/","https://belberrycrm.bitrix24.ru/crm/deal/details/2382/")</x:f>
      </x:c>
      <x:c r="D341" t="str">
        <x:v>Реанимация</x:v>
      </x:c>
      <x:c r="E341" t="str">
        <x:v>ПРОДАЖИ: Отвалы</x:v>
      </x:c>
      <x:c r="F341" t="str">
        <x:v>Иван Халин</x:v>
      </x:c>
      <x:c r="G341" t="str">
        <x:v>нет</x:v>
      </x:c>
      <x:c r="H341" t="str">
        <x:v>нет</x:v>
      </x:c>
    </x:row>
    <x:row r="342">
      <x:c r="A342" t="str">
        <x:v>2384</x:v>
      </x:c>
      <x:c r="B342" t="str">
        <x:v>yusupovs.com</x:v>
      </x:c>
      <x:c r="C342" t="e">
        <x:f>HYPERLINK("https://belberrycrm.bitrix24.ru/crm/deal/details/2384/","https://belberrycrm.bitrix24.ru/crm/deal/details/2384/")</x:f>
      </x:c>
      <x:c r="D342" t="str">
        <x:v>Реанимация</x:v>
      </x:c>
      <x:c r="E342" t="str">
        <x:v>ПРОДАЖИ: Отвалы</x:v>
      </x:c>
      <x:c r="F342" t="str">
        <x:v>Иван Халин</x:v>
      </x:c>
      <x:c r="G342" t="str">
        <x:v>нет</x:v>
      </x:c>
      <x:c r="H342" t="str">
        <x:v>нет</x:v>
      </x:c>
    </x:row>
    <x:row r="343">
      <x:c r="A343" t="str">
        <x:v>2386</x:v>
      </x:c>
      <x:c r="B343" t="str">
        <x:v>moa-clinic.ru</x:v>
      </x:c>
      <x:c r="C343" t="e">
        <x:f>HYPERLINK("https://belberrycrm.bitrix24.ru/crm/deal/details/2386/","https://belberrycrm.bitrix24.ru/crm/deal/details/2386/")</x:f>
      </x:c>
      <x:c r="D343" t="str">
        <x:v>Реанимация</x:v>
      </x:c>
      <x:c r="E343" t="str">
        <x:v>ПРОДАЖИ: Отвалы</x:v>
      </x:c>
      <x:c r="F343" t="str">
        <x:v>Иван Халин</x:v>
      </x:c>
      <x:c r="G343" t="str">
        <x:v>нет</x:v>
      </x:c>
      <x:c r="H343" t="str">
        <x:v>нет</x:v>
      </x:c>
    </x:row>
    <x:row r="344">
      <x:c r="A344" t="str">
        <x:v>2388</x:v>
      </x:c>
      <x:c r="B344" t="str">
        <x:v>medongroup-msk.ru</x:v>
      </x:c>
      <x:c r="C344" t="e">
        <x:f>HYPERLINK("https://belberrycrm.bitrix24.ru/crm/deal/details/2388/","https://belberrycrm.bitrix24.ru/crm/deal/details/2388/")</x:f>
      </x:c>
      <x:c r="D344" t="str">
        <x:v>Реанимация</x:v>
      </x:c>
      <x:c r="E344" t="str">
        <x:v>ПРОДАЖИ: Отвалы</x:v>
      </x:c>
      <x:c r="F344" t="str">
        <x:v>Иван Халин</x:v>
      </x:c>
      <x:c r="G344" t="str">
        <x:v>нет</x:v>
      </x:c>
      <x:c r="H344" t="str">
        <x:v>нет</x:v>
      </x:c>
    </x:row>
    <x:row r="345">
      <x:c r="A345" t="str">
        <x:v>2390</x:v>
      </x:c>
      <x:c r="B345" t="str">
        <x:v>oncostop.su</x:v>
      </x:c>
      <x:c r="C345" t="e">
        <x:f>HYPERLINK("https://belberrycrm.bitrix24.ru/crm/deal/details/2390/","https://belberrycrm.bitrix24.ru/crm/deal/details/2390/")</x:f>
      </x:c>
      <x:c r="D345" t="str">
        <x:v>Реанимация</x:v>
      </x:c>
      <x:c r="E345" t="str">
        <x:v>ПРОДАЖИ: Отвалы</x:v>
      </x:c>
      <x:c r="F345" t="str">
        <x:v>Иван Халин</x:v>
      </x:c>
      <x:c r="G345" t="str">
        <x:v>нет</x:v>
      </x:c>
      <x:c r="H345" t="str">
        <x:v>нет</x:v>
      </x:c>
    </x:row>
    <x:row r="346">
      <x:c r="A346" t="str">
        <x:v>2394</x:v>
      </x:c>
      <x:c r="B346" t="str">
        <x:v>atreya-ayurveda.ru</x:v>
      </x:c>
      <x:c r="C346" t="e">
        <x:f>HYPERLINK("https://belberrycrm.bitrix24.ru/crm/deal/details/2394/","https://belberrycrm.bitrix24.ru/crm/deal/details/2394/")</x:f>
      </x:c>
      <x:c r="D346" t="str">
        <x:v>Реанимация</x:v>
      </x:c>
      <x:c r="E346" t="str">
        <x:v>ПРОДАЖИ: Отвалы</x:v>
      </x:c>
      <x:c r="F346" t="str">
        <x:v>Иван Халин</x:v>
      </x:c>
      <x:c r="G346" t="str">
        <x:v>нет</x:v>
      </x:c>
      <x:c r="H346" t="str">
        <x:v>нет</x:v>
      </x:c>
    </x:row>
    <x:row r="347">
      <x:c r="A347" t="str">
        <x:v>2398</x:v>
      </x:c>
      <x:c r="B347" t="str">
        <x:v>kdc.clinic</x:v>
      </x:c>
      <x:c r="C347" t="e">
        <x:f>HYPERLINK("https://belberrycrm.bitrix24.ru/crm/deal/details/2398/","https://belberrycrm.bitrix24.ru/crm/deal/details/2398/")</x:f>
      </x:c>
      <x:c r="D347" t="str">
        <x:v>Реанимация</x:v>
      </x:c>
      <x:c r="E347" t="str">
        <x:v>ПРОДАЖИ: Отвалы</x:v>
      </x:c>
      <x:c r="F347" t="str">
        <x:v>Иван Халин</x:v>
      </x:c>
      <x:c r="G347" t="str">
        <x:v>нет</x:v>
      </x:c>
      <x:c r="H347" t="str">
        <x:v>нет</x:v>
      </x:c>
    </x:row>
    <x:row r="348">
      <x:c r="A348" t="str">
        <x:v>2402</x:v>
      </x:c>
      <x:c r="B348" t="str">
        <x:v>elen-clinic.ru</x:v>
      </x:c>
      <x:c r="C348" t="e">
        <x:f>HYPERLINK("https://belberrycrm.bitrix24.ru/crm/deal/details/2402/","https://belberrycrm.bitrix24.ru/crm/deal/details/2402/")</x:f>
      </x:c>
      <x:c r="D348" t="str">
        <x:v>Реанимация</x:v>
      </x:c>
      <x:c r="E348" t="str">
        <x:v>ПРОДАЖИ: Отвалы</x:v>
      </x:c>
      <x:c r="F348" t="str">
        <x:v>Иван Халин</x:v>
      </x:c>
      <x:c r="G348" t="str">
        <x:v>нет</x:v>
      </x:c>
      <x:c r="H348" t="str">
        <x:v>нет</x:v>
      </x:c>
    </x:row>
    <x:row r="349">
      <x:c r="A349" t="str">
        <x:v>2404</x:v>
      </x:c>
      <x:c r="B349" t="str">
        <x:v>www.onmed.ru</x:v>
      </x:c>
      <x:c r="C349" t="e">
        <x:f>HYPERLINK("https://belberrycrm.bitrix24.ru/crm/deal/details/2404/","https://belberrycrm.bitrix24.ru/crm/deal/details/2404/")</x:f>
      </x:c>
      <x:c r="D349" t="str">
        <x:v>Реанимация</x:v>
      </x:c>
      <x:c r="E349" t="str">
        <x:v>ПРОДАЖИ: Отвалы</x:v>
      </x:c>
      <x:c r="F349" t="str">
        <x:v>Иван Халин</x:v>
      </x:c>
      <x:c r="G349" t="str">
        <x:v>нет</x:v>
      </x:c>
      <x:c r="H349" t="str">
        <x:v>нет</x:v>
      </x:c>
    </x:row>
    <x:row r="350">
      <x:c r="A350" t="str">
        <x:v>2412</x:v>
      </x:c>
      <x:c r="B350" t="str">
        <x:v>altea.clinic</x:v>
      </x:c>
      <x:c r="C350" t="e">
        <x:f>HYPERLINK("https://belberrycrm.bitrix24.ru/crm/deal/details/2412/","https://belberrycrm.bitrix24.ru/crm/deal/details/2412/")</x:f>
      </x:c>
      <x:c r="D350" t="str">
        <x:v>Реанимация</x:v>
      </x:c>
      <x:c r="E350" t="str">
        <x:v>ПРОДАЖИ: Отвалы</x:v>
      </x:c>
      <x:c r="F350" t="str">
        <x:v>Иван Халин</x:v>
      </x:c>
      <x:c r="G350" t="str">
        <x:v>нет</x:v>
      </x:c>
      <x:c r="H350" t="str">
        <x:v>нет</x:v>
      </x:c>
    </x:row>
    <x:row r="351">
      <x:c r="A351" t="str">
        <x:v>2418</x:v>
      </x:c>
      <x:c r="B351" t="str">
        <x:v>clinic-nail.ru</x:v>
      </x:c>
      <x:c r="C351" t="e">
        <x:f>HYPERLINK("https://belberrycrm.bitrix24.ru/crm/deal/details/2418/","https://belberrycrm.bitrix24.ru/crm/deal/details/2418/")</x:f>
      </x:c>
      <x:c r="D351" t="str">
        <x:v>Реанимация</x:v>
      </x:c>
      <x:c r="E351" t="str">
        <x:v>ПРОДАЖИ: Отвалы</x:v>
      </x:c>
      <x:c r="F351" t="str">
        <x:v>Иван Халин</x:v>
      </x:c>
      <x:c r="G351" t="str">
        <x:v>нет</x:v>
      </x:c>
      <x:c r="H351" t="str">
        <x:v>нет</x:v>
      </x:c>
    </x:row>
    <x:row r="352">
      <x:c r="A352" t="str">
        <x:v>2420</x:v>
      </x:c>
      <x:c r="B352" t="str">
        <x:v>migona.msk.ru</x:v>
      </x:c>
      <x:c r="C352" t="e">
        <x:f>HYPERLINK("https://belberrycrm.bitrix24.ru/crm/deal/details/2420/","https://belberrycrm.bitrix24.ru/crm/deal/details/2420/")</x:f>
      </x:c>
      <x:c r="D352" t="str">
        <x:v>Реанимация</x:v>
      </x:c>
      <x:c r="E352" t="str">
        <x:v>ПРОДАЖИ: Отвалы</x:v>
      </x:c>
      <x:c r="F352" t="str">
        <x:v>Иван Халин</x:v>
      </x:c>
      <x:c r="G352" t="str">
        <x:v>нет</x:v>
      </x:c>
      <x:c r="H352" t="str">
        <x:v>нет</x:v>
      </x:c>
    </x:row>
    <x:row r="353">
      <x:c r="A353" t="str">
        <x:v>2422</x:v>
      </x:c>
      <x:c r="B353" t="str">
        <x:v>amgclinica.ru</x:v>
      </x:c>
      <x:c r="C353" t="e">
        <x:f>HYPERLINK("https://belberrycrm.bitrix24.ru/crm/deal/details/2422/","https://belberrycrm.bitrix24.ru/crm/deal/details/2422/")</x:f>
      </x:c>
      <x:c r="D353" t="str">
        <x:v>Реанимация</x:v>
      </x:c>
      <x:c r="E353" t="str">
        <x:v>ПРОДАЖИ: Отвалы</x:v>
      </x:c>
      <x:c r="F353" t="str">
        <x:v>Иван Халин</x:v>
      </x:c>
      <x:c r="G353" t="str">
        <x:v>нет</x:v>
      </x:c>
      <x:c r="H353" t="str">
        <x:v>нет</x:v>
      </x:c>
    </x:row>
    <x:row r="354">
      <x:c r="A354" t="str">
        <x:v>2424</x:v>
      </x:c>
      <x:c r="B354" t="str">
        <x:v>ZMStudio.ru</x:v>
      </x:c>
      <x:c r="C354" t="e">
        <x:f>HYPERLINK("https://belberrycrm.bitrix24.ru/crm/deal/details/2424/","https://belberrycrm.bitrix24.ru/crm/deal/details/2424/")</x:f>
      </x:c>
      <x:c r="D354" t="str">
        <x:v>Реанимация</x:v>
      </x:c>
      <x:c r="E354" t="str">
        <x:v>ПРОДАЖИ: Отвалы</x:v>
      </x:c>
      <x:c r="F354" t="str">
        <x:v>Иван Халин</x:v>
      </x:c>
      <x:c r="G354" t="str">
        <x:v>нет</x:v>
      </x:c>
      <x:c r="H354" t="str">
        <x:v>нет</x:v>
      </x:c>
    </x:row>
    <x:row r="355">
      <x:c r="A355" t="str">
        <x:v>2428</x:v>
      </x:c>
      <x:c r="B355" t="str">
        <x:v>мирзубов.рф</x:v>
      </x:c>
      <x:c r="C355" t="e">
        <x:f>HYPERLINK("https://belberrycrm.bitrix24.ru/crm/deal/details/2428/","https://belberrycrm.bitrix24.ru/crm/deal/details/2428/")</x:f>
      </x:c>
      <x:c r="D355" t="str">
        <x:v>Реанимация</x:v>
      </x:c>
      <x:c r="E355" t="str">
        <x:v>ПРОДАЖИ: Отвалы</x:v>
      </x:c>
      <x:c r="F355" t="str">
        <x:v>Иван Халин</x:v>
      </x:c>
      <x:c r="G355" t="str">
        <x:v>нет</x:v>
      </x:c>
      <x:c r="H355" t="str">
        <x:v>нет</x:v>
      </x:c>
    </x:row>
    <x:row r="356">
      <x:c r="A356" t="str">
        <x:v>2434</x:v>
      </x:c>
      <x:c r="B356" t="str">
        <x:v>smilebureau.ru</x:v>
      </x:c>
      <x:c r="C356" t="e">
        <x:f>HYPERLINK("https://belberrycrm.bitrix24.ru/crm/deal/details/2434/","https://belberrycrm.bitrix24.ru/crm/deal/details/2434/")</x:f>
      </x:c>
      <x:c r="D356" t="str">
        <x:v>Реанимация</x:v>
      </x:c>
      <x:c r="E356" t="str">
        <x:v>ПРОДАЖИ: Отвалы</x:v>
      </x:c>
      <x:c r="F356" t="str">
        <x:v>Георгий Погосян</x:v>
      </x:c>
      <x:c r="G356" t="str">
        <x:v>нет</x:v>
      </x:c>
      <x:c r="H356" t="str">
        <x:v>нет</x:v>
      </x:c>
    </x:row>
    <x:row r="357">
      <x:c r="A357" t="str">
        <x:v>2436</x:v>
      </x:c>
      <x:c r="B357" t="str">
        <x:v>stomaserviss.ru</x:v>
      </x:c>
      <x:c r="C357" t="e">
        <x:f>HYPERLINK("https://belberrycrm.bitrix24.ru/crm/deal/details/2436/","https://belberrycrm.bitrix24.ru/crm/deal/details/2436/")</x:f>
      </x:c>
      <x:c r="D357" t="str">
        <x:v>Реанимация</x:v>
      </x:c>
      <x:c r="E357" t="str">
        <x:v>ПРОДАЖИ: Отвалы</x:v>
      </x:c>
      <x:c r="F357" t="str">
        <x:v>Иван Халин</x:v>
      </x:c>
      <x:c r="G357" t="str">
        <x:v>нет</x:v>
      </x:c>
      <x:c r="H357" t="str">
        <x:v>нет</x:v>
      </x:c>
    </x:row>
    <x:row r="358">
      <x:c r="A358" t="str">
        <x:v>2442</x:v>
      </x:c>
      <x:c r="B358" t="str">
        <x:v>www.sfe.ru</x:v>
      </x:c>
      <x:c r="C358" t="e">
        <x:f>HYPERLINK("https://belberrycrm.bitrix24.ru/crm/deal/details/2442/","https://belberrycrm.bitrix24.ru/crm/deal/details/2442/")</x:f>
      </x:c>
      <x:c r="D358" t="str">
        <x:v>Реанимация</x:v>
      </x:c>
      <x:c r="E358" t="str">
        <x:v>ПРОДАЖИ: Отвалы</x:v>
      </x:c>
      <x:c r="F358" t="str">
        <x:v>Иван Халин</x:v>
      </x:c>
      <x:c r="G358" t="str">
        <x:v>нет</x:v>
      </x:c>
      <x:c r="H358" t="str">
        <x:v>нет</x:v>
      </x:c>
    </x:row>
    <x:row r="359">
      <x:c r="A359" t="str">
        <x:v>2444</x:v>
      </x:c>
      <x:c r="B359" t="str">
        <x:v>dent-ist.ru</x:v>
      </x:c>
      <x:c r="C359" t="e">
        <x:f>HYPERLINK("https://belberrycrm.bitrix24.ru/crm/deal/details/2444/","https://belberrycrm.bitrix24.ru/crm/deal/details/2444/")</x:f>
      </x:c>
      <x:c r="D359" t="str">
        <x:v>Реанимация</x:v>
      </x:c>
      <x:c r="E359" t="str">
        <x:v>ПРОДАЖИ: Отвалы</x:v>
      </x:c>
      <x:c r="F359" t="str">
        <x:v>Иван Халин</x:v>
      </x:c>
      <x:c r="G359" t="str">
        <x:v>нет</x:v>
      </x:c>
      <x:c r="H359" t="str">
        <x:v>нет</x:v>
      </x:c>
    </x:row>
    <x:row r="360">
      <x:c r="A360" t="str">
        <x:v>2446</x:v>
      </x:c>
      <x:c r="B360" t="str">
        <x:v>everesthetic.ru</x:v>
      </x:c>
      <x:c r="C360" t="e">
        <x:f>HYPERLINK("https://belberrycrm.bitrix24.ru/crm/deal/details/2446/","https://belberrycrm.bitrix24.ru/crm/deal/details/2446/")</x:f>
      </x:c>
      <x:c r="D360" t="str">
        <x:v>Реанимация</x:v>
      </x:c>
      <x:c r="E360" t="str">
        <x:v>ПРОДАЖИ: Отвалы</x:v>
      </x:c>
      <x:c r="F360" t="str">
        <x:v>Иван Халин</x:v>
      </x:c>
      <x:c r="G360" t="str">
        <x:v>нет</x:v>
      </x:c>
      <x:c r="H360" t="str">
        <x:v>нет</x:v>
      </x:c>
    </x:row>
    <x:row r="361">
      <x:c r="A361" t="str">
        <x:v>2450</x:v>
      </x:c>
      <x:c r="B361" t="str">
        <x:v>moscowclinic.ru</x:v>
      </x:c>
      <x:c r="C361" t="e">
        <x:f>HYPERLINK("https://belberrycrm.bitrix24.ru/crm/deal/details/2450/","https://belberrycrm.bitrix24.ru/crm/deal/details/2450/")</x:f>
      </x:c>
      <x:c r="D361" t="str">
        <x:v>Реанимация</x:v>
      </x:c>
      <x:c r="E361" t="str">
        <x:v>ПРОДАЖИ: Отвалы</x:v>
      </x:c>
      <x:c r="F361" t="str">
        <x:v>Иван Халин</x:v>
      </x:c>
      <x:c r="G361" t="str">
        <x:v>нет</x:v>
      </x:c>
      <x:c r="H361" t="str">
        <x:v>нет</x:v>
      </x:c>
    </x:row>
    <x:row r="362">
      <x:c r="A362" t="str">
        <x:v>2452</x:v>
      </x:c>
      <x:c r="B362" t="str">
        <x:v>ws-dent.com</x:v>
      </x:c>
      <x:c r="C362" t="e">
        <x:f>HYPERLINK("https://belberrycrm.bitrix24.ru/crm/deal/details/2452/","https://belberrycrm.bitrix24.ru/crm/deal/details/2452/")</x:f>
      </x:c>
      <x:c r="D362" t="str">
        <x:v>Реанимация</x:v>
      </x:c>
      <x:c r="E362" t="str">
        <x:v>ПРОДАЖИ: Отвалы</x:v>
      </x:c>
      <x:c r="F362" t="str">
        <x:v>Иван Халин</x:v>
      </x:c>
      <x:c r="G362" t="str">
        <x:v>нет</x:v>
      </x:c>
      <x:c r="H362" t="str">
        <x:v>нет</x:v>
      </x:c>
    </x:row>
    <x:row r="363">
      <x:c r="A363" t="str">
        <x:v>2454</x:v>
      </x:c>
      <x:c r="B363" t="str">
        <x:v>doktora-lazareva-med.obiz.ru</x:v>
      </x:c>
      <x:c r="C363" t="e">
        <x:f>HYPERLINK("https://belberrycrm.bitrix24.ru/crm/deal/details/2454/","https://belberrycrm.bitrix24.ru/crm/deal/details/2454/")</x:f>
      </x:c>
      <x:c r="D363" t="str">
        <x:v>Реанимация</x:v>
      </x:c>
      <x:c r="E363" t="str">
        <x:v>ПРОДАЖИ: Отвалы</x:v>
      </x:c>
      <x:c r="F363" t="str">
        <x:v>Иван Халин</x:v>
      </x:c>
      <x:c r="G363" t="str">
        <x:v>нет</x:v>
      </x:c>
      <x:c r="H363" t="str">
        <x:v>нет</x:v>
      </x:c>
    </x:row>
    <x:row r="364">
      <x:c r="A364" t="str">
        <x:v>2462</x:v>
      </x:c>
      <x:c r="B364" t="str">
        <x:v>imma.ru</x:v>
      </x:c>
      <x:c r="C364" t="e">
        <x:f>HYPERLINK("https://belberrycrm.bitrix24.ru/crm/deal/details/2462/","https://belberrycrm.bitrix24.ru/crm/deal/details/2462/")</x:f>
      </x:c>
      <x:c r="D364" t="str">
        <x:v>Реанимация</x:v>
      </x:c>
      <x:c r="E364" t="str">
        <x:v>ПРОДАЖИ: Отвалы</x:v>
      </x:c>
      <x:c r="F364" t="str">
        <x:v>Иван Халин</x:v>
      </x:c>
      <x:c r="G364" t="str">
        <x:v>нет</x:v>
      </x:c>
      <x:c r="H364" t="str">
        <x:v>нет</x:v>
      </x:c>
    </x:row>
    <x:row r="365">
      <x:c r="A365" t="str">
        <x:v>2464</x:v>
      </x:c>
      <x:c r="B365" t="str">
        <x:v>medkvadrat.ru</x:v>
      </x:c>
      <x:c r="C365" t="e">
        <x:f>HYPERLINK("https://belberrycrm.bitrix24.ru/crm/deal/details/2464/","https://belberrycrm.bitrix24.ru/crm/deal/details/2464/")</x:f>
      </x:c>
      <x:c r="D365" t="str">
        <x:v>Реанимация</x:v>
      </x:c>
      <x:c r="E365" t="str">
        <x:v>ПРОДАЖИ: Отвалы</x:v>
      </x:c>
      <x:c r="F365" t="str">
        <x:v>Иван Халин</x:v>
      </x:c>
      <x:c r="G365" t="str">
        <x:v>нет</x:v>
      </x:c>
      <x:c r="H365" t="str">
        <x:v>нет</x:v>
      </x:c>
    </x:row>
    <x:row r="366">
      <x:c r="A366" t="str">
        <x:v>2468</x:v>
      </x:c>
      <x:c r="B366" t="str">
        <x:v>Наталья</x:v>
      </x:c>
      <x:c r="C366" t="e">
        <x:f>HYPERLINK("https://belberrycrm.bitrix24.ru/crm/deal/details/2468/","https://belberrycrm.bitrix24.ru/crm/deal/details/2468/")</x:f>
      </x:c>
      <x:c r="D366" t="str">
        <x:v>Реанимация</x:v>
      </x:c>
      <x:c r="E366" t="str">
        <x:v>ПРОДАЖИ: Отвалы</x:v>
      </x:c>
      <x:c r="F366" t="str">
        <x:v>Георгий Погосян</x:v>
      </x:c>
      <x:c r="G366" t="str">
        <x:v>нет</x:v>
      </x:c>
      <x:c r="H366" t="str">
        <x:v>нет</x:v>
      </x:c>
    </x:row>
    <x:row r="367">
      <x:c r="A367" t="str">
        <x:v>2472</x:v>
      </x:c>
      <x:c r="B367" t="str">
        <x:v>fdclinics.ru</x:v>
      </x:c>
      <x:c r="C367" t="e">
        <x:f>HYPERLINK("https://belberrycrm.bitrix24.ru/crm/deal/details/2472/","https://belberrycrm.bitrix24.ru/crm/deal/details/2472/")</x:f>
      </x:c>
      <x:c r="D367" t="str">
        <x:v>Реанимация</x:v>
      </x:c>
      <x:c r="E367" t="str">
        <x:v>ПРОДАЖИ: Отвалы</x:v>
      </x:c>
      <x:c r="F367" t="str">
        <x:v>Иван Халин</x:v>
      </x:c>
      <x:c r="G367" t="str">
        <x:v>нет</x:v>
      </x:c>
      <x:c r="H367" t="str">
        <x:v>нет</x:v>
      </x:c>
    </x:row>
    <x:row r="368">
      <x:c r="A368" t="str">
        <x:v>2478</x:v>
      </x:c>
      <x:c r="B368" t="str">
        <x:v>medinef.ru</x:v>
      </x:c>
      <x:c r="C368" t="e">
        <x:f>HYPERLINK("https://belberrycrm.bitrix24.ru/crm/deal/details/2478/","https://belberrycrm.bitrix24.ru/crm/deal/details/2478/")</x:f>
      </x:c>
      <x:c r="D368" t="str">
        <x:v>Реанимация</x:v>
      </x:c>
      <x:c r="E368" t="str">
        <x:v>ПРОДАЖИ: Отвалы</x:v>
      </x:c>
      <x:c r="F368" t="str">
        <x:v>Иван Халин</x:v>
      </x:c>
      <x:c r="G368" t="str">
        <x:v>нет</x:v>
      </x:c>
      <x:c r="H368" t="str">
        <x:v>нет</x:v>
      </x:c>
    </x:row>
    <x:row r="369">
      <x:c r="A369" t="str">
        <x:v>2484</x:v>
      </x:c>
      <x:c r="B369" t="str">
        <x:v>prezi-dent.ru/novogireevo/stomatologiya</x:v>
      </x:c>
      <x:c r="C369" t="e">
        <x:f>HYPERLINK("https://belberrycrm.bitrix24.ru/crm/deal/details/2484/","https://belberrycrm.bitrix24.ru/crm/deal/details/2484/")</x:f>
      </x:c>
      <x:c r="D369" t="str">
        <x:v>Реанимация</x:v>
      </x:c>
      <x:c r="E369" t="str">
        <x:v>ПРОДАЖИ: Отвалы</x:v>
      </x:c>
      <x:c r="F369" t="str">
        <x:v>Владислав Ткачук</x:v>
      </x:c>
      <x:c r="G369" t="str">
        <x:v>нет</x:v>
      </x:c>
      <x:c r="H369" t="str">
        <x:v>нет</x:v>
      </x:c>
    </x:row>
    <x:row r="370">
      <x:c r="A370" t="str">
        <x:v>2488</x:v>
      </x:c>
      <x:c r="B370" t="str">
        <x:v>pravlech.ru</x:v>
      </x:c>
      <x:c r="C370" t="e">
        <x:f>HYPERLINK("https://belberrycrm.bitrix24.ru/crm/deal/details/2488/","https://belberrycrm.bitrix24.ru/crm/deal/details/2488/")</x:f>
      </x:c>
      <x:c r="D370" t="str">
        <x:v>Реанимация</x:v>
      </x:c>
      <x:c r="E370" t="str">
        <x:v>ПРОДАЖИ: Отвалы</x:v>
      </x:c>
      <x:c r="F370" t="str">
        <x:v>Иван Халин</x:v>
      </x:c>
      <x:c r="G370" t="str">
        <x:v>нет</x:v>
      </x:c>
      <x:c r="H370" t="str">
        <x:v>нет</x:v>
      </x:c>
    </x:row>
    <x:row r="371">
      <x:c r="A371" t="str">
        <x:v>2498</x:v>
      </x:c>
      <x:c r="B371" t="str">
        <x:v>парикмахерская-виктория.рф</x:v>
      </x:c>
      <x:c r="C371" t="e">
        <x:f>HYPERLINK("https://belberrycrm.bitrix24.ru/crm/deal/details/2498/","https://belberrycrm.bitrix24.ru/crm/deal/details/2498/")</x:f>
      </x:c>
      <x:c r="D371" t="str">
        <x:v>Реанимация</x:v>
      </x:c>
      <x:c r="E371" t="str">
        <x:v>ПРОДАЖИ: Отвалы</x:v>
      </x:c>
      <x:c r="F371" t="str">
        <x:v>Владислав Ткачук</x:v>
      </x:c>
      <x:c r="G371" t="str">
        <x:v>нет</x:v>
      </x:c>
      <x:c r="H371" t="str">
        <x:v>нет</x:v>
      </x:c>
    </x:row>
    <x:row r="372">
      <x:c r="A372" t="str">
        <x:v>2504</x:v>
      </x:c>
      <x:c r="B372" t="str">
        <x:v>doctorlemberg.ru</x:v>
      </x:c>
      <x:c r="C372" t="e">
        <x:f>HYPERLINK("https://belberrycrm.bitrix24.ru/crm/deal/details/2504/","https://belberrycrm.bitrix24.ru/crm/deal/details/2504/")</x:f>
      </x:c>
      <x:c r="D372" t="str">
        <x:v>Реанимация</x:v>
      </x:c>
      <x:c r="E372" t="str">
        <x:v>ПРОДАЖИ: Отвалы</x:v>
      </x:c>
      <x:c r="F372" t="str">
        <x:v>Иван Халин</x:v>
      </x:c>
      <x:c r="G372" t="str">
        <x:v>нет</x:v>
      </x:c>
      <x:c r="H372" t="str">
        <x:v>нет</x:v>
      </x:c>
    </x:row>
    <x:row r="373">
      <x:c r="A373" t="str">
        <x:v>2506</x:v>
      </x:c>
      <x:c r="B373" t="str">
        <x:v>Евгений из Еката</x:v>
      </x:c>
      <x:c r="C373" t="e">
        <x:f>HYPERLINK("https://belberrycrm.bitrix24.ru/crm/deal/details/2506/","https://belberrycrm.bitrix24.ru/crm/deal/details/2506/")</x:f>
      </x:c>
      <x:c r="D373" t="str">
        <x:v>Реанимация</x:v>
      </x:c>
      <x:c r="E373" t="str">
        <x:v>ПРОДАЖИ: Отвалы</x:v>
      </x:c>
      <x:c r="F373" t="str">
        <x:v>Евгений Щемелёв</x:v>
      </x:c>
      <x:c r="G373" t="str">
        <x:v>нет</x:v>
      </x:c>
      <x:c r="H373" t="str">
        <x:v>нет</x:v>
      </x:c>
    </x:row>
    <x:row r="374">
      <x:c r="A374" t="str">
        <x:v>2510</x:v>
      </x:c>
      <x:c r="B374" t="str">
        <x:v>справки-все.рф</x:v>
      </x:c>
      <x:c r="C374" t="e">
        <x:f>HYPERLINK("https://belberrycrm.bitrix24.ru/crm/deal/details/2510/","https://belberrycrm.bitrix24.ru/crm/deal/details/2510/")</x:f>
      </x:c>
      <x:c r="D374" t="str">
        <x:v>Реанимация</x:v>
      </x:c>
      <x:c r="E374" t="str">
        <x:v>ПРОДАЖИ: Отвалы</x:v>
      </x:c>
      <x:c r="F374" t="str">
        <x:v>Иван Халин</x:v>
      </x:c>
      <x:c r="G374" t="str">
        <x:v>нет</x:v>
      </x:c>
      <x:c r="H374" t="str">
        <x:v>нет</x:v>
      </x:c>
    </x:row>
    <x:row r="375">
      <x:c r="A375" t="str">
        <x:v>2512</x:v>
      </x:c>
      <x:c r="B375" t="str">
        <x:v>artdental-nsk.ru</x:v>
      </x:c>
      <x:c r="C375" t="e">
        <x:f>HYPERLINK("https://belberrycrm.bitrix24.ru/crm/deal/details/2512/","https://belberrycrm.bitrix24.ru/crm/deal/details/2512/")</x:f>
      </x:c>
      <x:c r="D375" t="str">
        <x:v>Реанимация</x:v>
      </x:c>
      <x:c r="E375" t="str">
        <x:v>ПРОДАЖИ: Отвалы</x:v>
      </x:c>
      <x:c r="F375" t="str">
        <x:v>Владислав Ткачук</x:v>
      </x:c>
      <x:c r="G375" t="str">
        <x:v>нет</x:v>
      </x:c>
      <x:c r="H375" t="str">
        <x:v>нет</x:v>
      </x:c>
    </x:row>
    <x:row r="376">
      <x:c r="A376" t="str">
        <x:v>2518</x:v>
      </x:c>
      <x:c r="B376" t="str">
        <x:v>body-project.ru</x:v>
      </x:c>
      <x:c r="C376" t="e">
        <x:f>HYPERLINK("https://belberrycrm.bitrix24.ru/crm/deal/details/2518/","https://belberrycrm.bitrix24.ru/crm/deal/details/2518/")</x:f>
      </x:c>
      <x:c r="D376" t="str">
        <x:v>Реанимация</x:v>
      </x:c>
      <x:c r="E376" t="str">
        <x:v>АРХИВ Общая</x:v>
      </x:c>
      <x:c r="F376" t="str">
        <x:v>Екатерина Апушкина</x:v>
      </x:c>
      <x:c r="G376" t="str">
        <x:v>нет</x:v>
      </x:c>
      <x:c r="H376" t="str">
        <x:v>нет</x:v>
      </x:c>
    </x:row>
    <x:row r="377">
      <x:c r="A377" t="str">
        <x:v>2526</x:v>
      </x:c>
      <x:c r="B377" t="str">
        <x:v>vugistomat.com</x:v>
      </x:c>
      <x:c r="C377" t="e">
        <x:f>HYPERLINK("https://belberrycrm.bitrix24.ru/crm/deal/details/2526/","https://belberrycrm.bitrix24.ru/crm/deal/details/2526/")</x:f>
      </x:c>
      <x:c r="D377" t="str">
        <x:v>Реанимация</x:v>
      </x:c>
      <x:c r="E377" t="str">
        <x:v>ПРОДАЖИ: Отвалы</x:v>
      </x:c>
      <x:c r="F377" t="str">
        <x:v>Владислав Ткачук</x:v>
      </x:c>
      <x:c r="G377" t="str">
        <x:v>нет</x:v>
      </x:c>
      <x:c r="H377" t="str">
        <x:v>нет</x:v>
      </x:c>
    </x:row>
    <x:row r="378">
      <x:c r="A378" t="str">
        <x:v>2548</x:v>
      </x:c>
      <x:c r="B378" t="str">
        <x:v>Skin Centre</x:v>
      </x:c>
      <x:c r="C378" t="e">
        <x:f>HYPERLINK("https://belberrycrm.bitrix24.ru/crm/deal/details/2548/","https://belberrycrm.bitrix24.ru/crm/deal/details/2548/")</x:f>
      </x:c>
      <x:c r="D378" t="str">
        <x:v>Реанимация</x:v>
      </x:c>
      <x:c r="E378" t="str">
        <x:v>ПРОДАЖИ: Отвалы</x:v>
      </x:c>
      <x:c r="F378" t="str">
        <x:v>Иван Халин</x:v>
      </x:c>
      <x:c r="G378" t="str">
        <x:v>нет</x:v>
      </x:c>
      <x:c r="H378" t="str">
        <x:v>нет</x:v>
      </x:c>
    </x:row>
    <x:row r="379">
      <x:c r="A379" t="str">
        <x:v>2554</x:v>
      </x:c>
      <x:c r="B379" t="str">
        <x:v>anriy-dent.ru</x:v>
      </x:c>
      <x:c r="C379" t="e">
        <x:f>HYPERLINK("https://belberrycrm.bitrix24.ru/crm/deal/details/2554/","https://belberrycrm.bitrix24.ru/crm/deal/details/2554/")</x:f>
      </x:c>
      <x:c r="D379" t="str">
        <x:v>Реанимация</x:v>
      </x:c>
      <x:c r="E379" t="str">
        <x:v>ПРОДАЖИ: Отвалы</x:v>
      </x:c>
      <x:c r="F379" t="str">
        <x:v>Иван Халин</x:v>
      </x:c>
      <x:c r="G379" t="str">
        <x:v>нет</x:v>
      </x:c>
      <x:c r="H379" t="str">
        <x:v>нет</x:v>
      </x:c>
    </x:row>
    <x:row r="380">
      <x:c r="A380" t="str">
        <x:v>2560</x:v>
      </x:c>
      <x:c r="B380" t="str">
        <x:v>shishonin.ru</x:v>
      </x:c>
      <x:c r="C380" t="e">
        <x:f>HYPERLINK("https://belberrycrm.bitrix24.ru/crm/deal/details/2560/","https://belberrycrm.bitrix24.ru/crm/deal/details/2560/")</x:f>
      </x:c>
      <x:c r="D380" t="str">
        <x:v>Реанимация</x:v>
      </x:c>
      <x:c r="E380" t="str">
        <x:v>ПРОДАЖИ: Отвалы</x:v>
      </x:c>
      <x:c r="F380" t="str">
        <x:v>Евгений Щемелёв</x:v>
      </x:c>
      <x:c r="G380" t="str">
        <x:v>нет</x:v>
      </x:c>
      <x:c r="H380" t="str">
        <x:v>нет</x:v>
      </x:c>
    </x:row>
    <x:row r="381">
      <x:c r="A381" t="str">
        <x:v>2564</x:v>
      </x:c>
      <x:c r="B381" t="str">
        <x:v>стартцентр.москва</x:v>
      </x:c>
      <x:c r="C381" t="e">
        <x:f>HYPERLINK("https://belberrycrm.bitrix24.ru/crm/deal/details/2564/","https://belberrycrm.bitrix24.ru/crm/deal/details/2564/")</x:f>
      </x:c>
      <x:c r="D381" t="str">
        <x:v>Реанимация</x:v>
      </x:c>
      <x:c r="E381" t="str">
        <x:v>ПРОДАЖИ: Отвалы</x:v>
      </x:c>
      <x:c r="F381" t="str">
        <x:v>Иван Халин</x:v>
      </x:c>
      <x:c r="G381" t="str">
        <x:v>нет</x:v>
      </x:c>
      <x:c r="H381" t="str">
        <x:v>нет</x:v>
      </x:c>
    </x:row>
    <x:row r="382">
      <x:c r="A382" t="str">
        <x:v>2566</x:v>
      </x:c>
      <x:c r="B382" t="str">
        <x:v>andreysalov.ru</x:v>
      </x:c>
      <x:c r="C382" t="e">
        <x:f>HYPERLINK("https://belberrycrm.bitrix24.ru/crm/deal/details/2566/","https://belberrycrm.bitrix24.ru/crm/deal/details/2566/")</x:f>
      </x:c>
      <x:c r="D382" t="str">
        <x:v>Реанимация</x:v>
      </x:c>
      <x:c r="E382" t="str">
        <x:v>ПРОДАЖИ: Отвалы</x:v>
      </x:c>
      <x:c r="F382" t="str">
        <x:v>Иван Халин</x:v>
      </x:c>
      <x:c r="G382" t="str">
        <x:v>нет</x:v>
      </x:c>
      <x:c r="H382" t="str">
        <x:v>нет</x:v>
      </x:c>
    </x:row>
    <x:row r="383">
      <x:c r="A383" t="str">
        <x:v>2570</x:v>
      </x:c>
      <x:c r="B383" t="str">
        <x:v>green-clinic.ru</x:v>
      </x:c>
      <x:c r="C383" t="e">
        <x:f>HYPERLINK("https://belberrycrm.bitrix24.ru/crm/deal/details/2570/","https://belberrycrm.bitrix24.ru/crm/deal/details/2570/")</x:f>
      </x:c>
      <x:c r="D383" t="str">
        <x:v>Реанимация</x:v>
      </x:c>
      <x:c r="E383" t="str">
        <x:v>ПРОДАЖИ: Отвалы</x:v>
      </x:c>
      <x:c r="F383" t="str">
        <x:v>Иван Халин</x:v>
      </x:c>
      <x:c r="G383" t="str">
        <x:v>нет</x:v>
      </x:c>
      <x:c r="H383" t="str">
        <x:v>нет</x:v>
      </x:c>
    </x:row>
    <x:row r="384">
      <x:c r="A384" t="str">
        <x:v>2584</x:v>
      </x:c>
      <x:c r="B384" t="str">
        <x:v>medcentrvoschod.ru</x:v>
      </x:c>
      <x:c r="C384" t="e">
        <x:f>HYPERLINK("https://belberrycrm.bitrix24.ru/crm/deal/details/2584/","https://belberrycrm.bitrix24.ru/crm/deal/details/2584/")</x:f>
      </x:c>
      <x:c r="D384" t="str">
        <x:v>Реанимация</x:v>
      </x:c>
      <x:c r="E384" t="str">
        <x:v>ПРОДАЖИ: Отвалы</x:v>
      </x:c>
      <x:c r="F384" t="str">
        <x:v>Иван Халин</x:v>
      </x:c>
      <x:c r="G384" t="str">
        <x:v>нет</x:v>
      </x:c>
      <x:c r="H384" t="str">
        <x:v>нет</x:v>
      </x:c>
    </x:row>
    <x:row r="385">
      <x:c r="A385" t="str">
        <x:v>2586</x:v>
      </x:c>
      <x:c r="B385" t="str">
        <x:v>Стоматология Dr.Danielyan clinic на метро динамо</x:v>
      </x:c>
      <x:c r="C385" t="e">
        <x:f>HYPERLINK("https://belberrycrm.bitrix24.ru/crm/deal/details/2586/","https://belberrycrm.bitrix24.ru/crm/deal/details/2586/")</x:f>
      </x:c>
      <x:c r="D385" t="str">
        <x:v>Реанимация</x:v>
      </x:c>
      <x:c r="E385" t="str">
        <x:v>ПРОДАЖИ: Отвалы</x:v>
      </x:c>
      <x:c r="F385" t="str">
        <x:v>Иван Халин</x:v>
      </x:c>
      <x:c r="G385" t="str">
        <x:v>нет</x:v>
      </x:c>
      <x:c r="H385" t="str">
        <x:v>нет</x:v>
      </x:c>
    </x:row>
    <x:row r="386">
      <x:c r="A386" t="str">
        <x:v>2592</x:v>
      </x:c>
      <x:c r="B386" t="str">
        <x:v>dentberg.ru</x:v>
      </x:c>
      <x:c r="C386" t="e">
        <x:f>HYPERLINK("https://belberrycrm.bitrix24.ru/crm/deal/details/2592/","https://belberrycrm.bitrix24.ru/crm/deal/details/2592/")</x:f>
      </x:c>
      <x:c r="D386" t="str">
        <x:v>Реанимация</x:v>
      </x:c>
      <x:c r="E386" t="str">
        <x:v>ПРОДАЖИ: Отвалы</x:v>
      </x:c>
      <x:c r="F386" t="str">
        <x:v>Иван Халин</x:v>
      </x:c>
      <x:c r="G386" t="str">
        <x:v>нет</x:v>
      </x:c>
      <x:c r="H386" t="str">
        <x:v>нет</x:v>
      </x:c>
    </x:row>
    <x:row r="387">
      <x:c r="A387" t="str">
        <x:v>2594</x:v>
      </x:c>
      <x:c r="B387" t="str">
        <x:v>dilos-dent.com</x:v>
      </x:c>
      <x:c r="C387" t="e">
        <x:f>HYPERLINK("https://belberrycrm.bitrix24.ru/crm/deal/details/2594/","https://belberrycrm.bitrix24.ru/crm/deal/details/2594/")</x:f>
      </x:c>
      <x:c r="D387" t="str">
        <x:v>Реанимация</x:v>
      </x:c>
      <x:c r="E387" t="str">
        <x:v>ПРОДАЖИ: Отвалы</x:v>
      </x:c>
      <x:c r="F387" t="str">
        <x:v>Иван Халин</x:v>
      </x:c>
      <x:c r="G387" t="str">
        <x:v>нет</x:v>
      </x:c>
      <x:c r="H387" t="str">
        <x:v>нет</x:v>
      </x:c>
    </x:row>
    <x:row r="388">
      <x:c r="A388" t="str">
        <x:v>2596</x:v>
      </x:c>
      <x:c r="B388" t="str">
        <x:v>klinikams.ru</x:v>
      </x:c>
      <x:c r="C388" t="e">
        <x:f>HYPERLINK("https://belberrycrm.bitrix24.ru/crm/deal/details/2596/","https://belberrycrm.bitrix24.ru/crm/deal/details/2596/")</x:f>
      </x:c>
      <x:c r="D388" t="str">
        <x:v>Реанимация</x:v>
      </x:c>
      <x:c r="E388" t="str">
        <x:v>ПРОДАЖИ: Отвалы</x:v>
      </x:c>
      <x:c r="F388" t="str">
        <x:v>Иван Сычев</x:v>
      </x:c>
      <x:c r="G388" t="str">
        <x:v>нет</x:v>
      </x:c>
      <x:c r="H388" t="str">
        <x:v>нет</x:v>
      </x:c>
    </x:row>
    <x:row r="389">
      <x:c r="A389" t="str">
        <x:v>2598</x:v>
      </x:c>
      <x:c r="B389" t="str">
        <x:v>estedent-msk.ru</x:v>
      </x:c>
      <x:c r="C389" t="e">
        <x:f>HYPERLINK("https://belberrycrm.bitrix24.ru/crm/deal/details/2598/","https://belberrycrm.bitrix24.ru/crm/deal/details/2598/")</x:f>
      </x:c>
      <x:c r="D389" t="str">
        <x:v>Реанимация</x:v>
      </x:c>
      <x:c r="E389" t="str">
        <x:v>ПРОДАЖИ: Отвалы</x:v>
      </x:c>
      <x:c r="F389" t="str">
        <x:v>Иван Халин</x:v>
      </x:c>
      <x:c r="G389" t="str">
        <x:v>нет</x:v>
      </x:c>
      <x:c r="H389" t="str">
        <x:v>нет</x:v>
      </x:c>
    </x:row>
    <x:row r="390">
      <x:c r="A390" t="str">
        <x:v>2602</x:v>
      </x:c>
      <x:c r="B390" t="str">
        <x:v>nika-esthetic.ru</x:v>
      </x:c>
      <x:c r="C390" t="e">
        <x:f>HYPERLINK("https://belberrycrm.bitrix24.ru/crm/deal/details/2602/","https://belberrycrm.bitrix24.ru/crm/deal/details/2602/")</x:f>
      </x:c>
      <x:c r="D390" t="str">
        <x:v>Реанимация</x:v>
      </x:c>
      <x:c r="E390" t="str">
        <x:v>ПРОДАЖИ: Отвалы</x:v>
      </x:c>
      <x:c r="F390" t="str">
        <x:v>Александр Голядкин</x:v>
      </x:c>
      <x:c r="G390" t="str">
        <x:v>нет</x:v>
      </x:c>
      <x:c r="H390" t="str">
        <x:v>нет</x:v>
      </x:c>
    </x:row>
    <x:row r="391">
      <x:c r="A391" t="str">
        <x:v>2606</x:v>
      </x:c>
      <x:c r="B391" t="str">
        <x:v>panda-clinic.ru</x:v>
      </x:c>
      <x:c r="C391" t="e">
        <x:f>HYPERLINK("https://belberrycrm.bitrix24.ru/crm/deal/details/2606/","https://belberrycrm.bitrix24.ru/crm/deal/details/2606/")</x:f>
      </x:c>
      <x:c r="D391" t="str">
        <x:v>Реанимация</x:v>
      </x:c>
      <x:c r="E391" t="str">
        <x:v>ПРОДАЖИ: Отвалы</x:v>
      </x:c>
      <x:c r="F391" t="str">
        <x:v>Иван Халин</x:v>
      </x:c>
      <x:c r="G391" t="str">
        <x:v>нет</x:v>
      </x:c>
      <x:c r="H391" t="str">
        <x:v>нет</x:v>
      </x:c>
    </x:row>
    <x:row r="392">
      <x:c r="A392" t="str">
        <x:v>2614</x:v>
      </x:c>
      <x:c r="B392" t="str">
        <x:v>profclinic-arbat.ru / klinika-na-arbate.ru</x:v>
      </x:c>
      <x:c r="C392" t="e">
        <x:f>HYPERLINK("https://belberrycrm.bitrix24.ru/crm/deal/details/2614/","https://belberrycrm.bitrix24.ru/crm/deal/details/2614/")</x:f>
      </x:c>
      <x:c r="D392" t="str">
        <x:v>Реанимация</x:v>
      </x:c>
      <x:c r="E392" t="str">
        <x:v>ПРОДАЖИ: Отвалы</x:v>
      </x:c>
      <x:c r="F392" t="str">
        <x:v>Иван Халин</x:v>
      </x:c>
      <x:c r="G392" t="str">
        <x:v>нет</x:v>
      </x:c>
      <x:c r="H392" t="str">
        <x:v>нет</x:v>
      </x:c>
    </x:row>
    <x:row r="393">
      <x:c r="A393" t="str">
        <x:v>2616</x:v>
      </x:c>
      <x:c r="B393" t="str">
        <x:v>cerecon.ru</x:v>
      </x:c>
      <x:c r="C393" t="e">
        <x:f>HYPERLINK("https://belberrycrm.bitrix24.ru/crm/deal/details/2616/","https://belberrycrm.bitrix24.ru/crm/deal/details/2616/")</x:f>
      </x:c>
      <x:c r="D393" t="str">
        <x:v>Реанимация</x:v>
      </x:c>
      <x:c r="E393" t="str">
        <x:v>ПРОДАЖИ: Отвалы</x:v>
      </x:c>
      <x:c r="F393" t="str">
        <x:v>Иван Халин</x:v>
      </x:c>
      <x:c r="G393" t="str">
        <x:v>нет</x:v>
      </x:c>
      <x:c r="H393" t="str">
        <x:v>нет</x:v>
      </x:c>
    </x:row>
    <x:row r="394">
      <x:c r="A394" t="str">
        <x:v>2634</x:v>
      </x:c>
      <x:c r="B394" t="str">
        <x:v>личныйкосметолог.рф</x:v>
      </x:c>
      <x:c r="C394" t="e">
        <x:f>HYPERLINK("https://belberrycrm.bitrix24.ru/crm/deal/details/2634/","https://belberrycrm.bitrix24.ru/crm/deal/details/2634/")</x:f>
      </x:c>
      <x:c r="D394" t="str">
        <x:v>Реанимация</x:v>
      </x:c>
      <x:c r="E394" t="str">
        <x:v>ПРОДАЖИ: Отвалы</x:v>
      </x:c>
      <x:c r="F394" t="str">
        <x:v>Евгений Щемелёв</x:v>
      </x:c>
      <x:c r="G394" t="str">
        <x:v>нет</x:v>
      </x:c>
      <x:c r="H394" t="str">
        <x:v>нет</x:v>
      </x:c>
    </x:row>
    <x:row r="395">
      <x:c r="A395" t="str">
        <x:v>2644</x:v>
      </x:c>
      <x:c r="B395" t="str">
        <x:v>rustom-ru.ru</x:v>
      </x:c>
      <x:c r="C395" t="e">
        <x:f>HYPERLINK("https://belberrycrm.bitrix24.ru/crm/deal/details/2644/","https://belberrycrm.bitrix24.ru/crm/deal/details/2644/")</x:f>
      </x:c>
      <x:c r="D395" t="str">
        <x:v>Реанимация</x:v>
      </x:c>
      <x:c r="E395" t="str">
        <x:v>ПРОДАЖИ: Отвалы</x:v>
      </x:c>
      <x:c r="F395" t="str">
        <x:v>Иван Халин</x:v>
      </x:c>
      <x:c r="G395" t="str">
        <x:v>нет</x:v>
      </x:c>
      <x:c r="H395" t="str">
        <x:v>нет</x:v>
      </x:c>
    </x:row>
    <x:row r="396">
      <x:c r="A396" t="str">
        <x:v>2646</x:v>
      </x:c>
      <x:c r="B396" t="str">
        <x:v>maxilife-beauty.ru</x:v>
      </x:c>
      <x:c r="C396" t="e">
        <x:f>HYPERLINK("https://belberrycrm.bitrix24.ru/crm/deal/details/2646/","https://belberrycrm.bitrix24.ru/crm/deal/details/2646/")</x:f>
      </x:c>
      <x:c r="D396" t="str">
        <x:v>Реанимация</x:v>
      </x:c>
      <x:c r="E396" t="str">
        <x:v>ПРОДАЖИ: Отвалы</x:v>
      </x:c>
      <x:c r="F396" t="str">
        <x:v>Иван Халин</x:v>
      </x:c>
      <x:c r="G396" t="str">
        <x:v>нет</x:v>
      </x:c>
      <x:c r="H396" t="str">
        <x:v>нет</x:v>
      </x:c>
    </x:row>
    <x:row r="397">
      <x:c r="A397" t="str">
        <x:v>2648</x:v>
      </x:c>
      <x:c r="B397" t="str">
        <x:v>beverlydent.ru</x:v>
      </x:c>
      <x:c r="C397" t="e">
        <x:f>HYPERLINK("https://belberrycrm.bitrix24.ru/crm/deal/details/2648/","https://belberrycrm.bitrix24.ru/crm/deal/details/2648/")</x:f>
      </x:c>
      <x:c r="D397" t="str">
        <x:v>Реанимация</x:v>
      </x:c>
      <x:c r="E397" t="str">
        <x:v>ПРОДАЖИ: Отвалы</x:v>
      </x:c>
      <x:c r="F397" t="str">
        <x:v>Иван Халин</x:v>
      </x:c>
      <x:c r="G397" t="str">
        <x:v>нет</x:v>
      </x:c>
      <x:c r="H397" t="str">
        <x:v>нет</x:v>
      </x:c>
    </x:row>
    <x:row r="398">
      <x:c r="A398" t="str">
        <x:v>2650</x:v>
      </x:c>
      <x:c r="B398" t="str">
        <x:v>dentol.ru</x:v>
      </x:c>
      <x:c r="C398" t="e">
        <x:f>HYPERLINK("https://belberrycrm.bitrix24.ru/crm/deal/details/2650/","https://belberrycrm.bitrix24.ru/crm/deal/details/2650/")</x:f>
      </x:c>
      <x:c r="D398" t="str">
        <x:v>Реанимация</x:v>
      </x:c>
      <x:c r="E398" t="str">
        <x:v>ПРОДАЖИ: Отвалы</x:v>
      </x:c>
      <x:c r="F398" t="str">
        <x:v>Иван Халин</x:v>
      </x:c>
      <x:c r="G398" t="str">
        <x:v>нет</x:v>
      </x:c>
      <x:c r="H398" t="str">
        <x:v>нет</x:v>
      </x:c>
    </x:row>
    <x:row r="399">
      <x:c r="A399" t="str">
        <x:v>2658</x:v>
      </x:c>
      <x:c r="B399" t="str">
        <x:v>sfclinic.ru</x:v>
      </x:c>
      <x:c r="C399" t="e">
        <x:f>HYPERLINK("https://belberrycrm.bitrix24.ru/crm/deal/details/2658/","https://belberrycrm.bitrix24.ru/crm/deal/details/2658/")</x:f>
      </x:c>
      <x:c r="D399" t="str">
        <x:v>Реанимация</x:v>
      </x:c>
      <x:c r="E399" t="str">
        <x:v>ПРОДАЖИ: Отвалы</x:v>
      </x:c>
      <x:c r="F399" t="str">
        <x:v>Иван Халин</x:v>
      </x:c>
      <x:c r="G399" t="str">
        <x:v>нет</x:v>
      </x:c>
      <x:c r="H399" t="str">
        <x:v>нет</x:v>
      </x:c>
    </x:row>
    <x:row r="400">
      <x:c r="A400" t="str">
        <x:v>2660</x:v>
      </x:c>
      <x:c r="B400" t="str">
        <x:v>doctorkan.ru</x:v>
      </x:c>
      <x:c r="C400" t="e">
        <x:f>HYPERLINK("https://belberrycrm.bitrix24.ru/crm/deal/details/2660/","https://belberrycrm.bitrix24.ru/crm/deal/details/2660/")</x:f>
      </x:c>
      <x:c r="D400" t="str">
        <x:v>Реанимация</x:v>
      </x:c>
      <x:c r="E400" t="str">
        <x:v>ПРОДАЖИ: Отвалы</x:v>
      </x:c>
      <x:c r="F400" t="str">
        <x:v>Иван Халин</x:v>
      </x:c>
      <x:c r="G400" t="str">
        <x:v>нет</x:v>
      </x:c>
      <x:c r="H400" t="str">
        <x:v>нет</x:v>
      </x:c>
    </x:row>
    <x:row r="401">
      <x:c r="A401" t="str">
        <x:v>2662</x:v>
      </x:c>
      <x:c r="B401" t="str">
        <x:v>extrodent-centr.ru</x:v>
      </x:c>
      <x:c r="C401" t="e">
        <x:f>HYPERLINK("https://belberrycrm.bitrix24.ru/crm/deal/details/2662/","https://belberrycrm.bitrix24.ru/crm/deal/details/2662/")</x:f>
      </x:c>
      <x:c r="D401" t="str">
        <x:v>Реанимация</x:v>
      </x:c>
      <x:c r="E401" t="str">
        <x:v>ПРОДАЖИ: Отвалы</x:v>
      </x:c>
      <x:c r="F401" t="str">
        <x:v>Евгений Щемелёв</x:v>
      </x:c>
      <x:c r="G401" t="str">
        <x:v>нет</x:v>
      </x:c>
      <x:c r="H401" t="str">
        <x:v>нет</x:v>
      </x:c>
    </x:row>
    <x:row r="402">
      <x:c r="A402" t="str">
        <x:v>2664</x:v>
      </x:c>
      <x:c r="B402" t="str">
        <x:v>ультра-лаб.рф</x:v>
      </x:c>
      <x:c r="C402" t="e">
        <x:f>HYPERLINK("https://belberrycrm.bitrix24.ru/crm/deal/details/2664/","https://belberrycrm.bitrix24.ru/crm/deal/details/2664/")</x:f>
      </x:c>
      <x:c r="D402" t="str">
        <x:v>Реанимация</x:v>
      </x:c>
      <x:c r="E402" t="str">
        <x:v>ПРОДАЖИ: Отвалы</x:v>
      </x:c>
      <x:c r="F402" t="str">
        <x:v>Евгений Щемелёв</x:v>
      </x:c>
      <x:c r="G402" t="str">
        <x:v>нет</x:v>
      </x:c>
      <x:c r="H402" t="str">
        <x:v>нет</x:v>
      </x:c>
    </x:row>
    <x:row r="403">
      <x:c r="A403" t="str">
        <x:v>2668</x:v>
      </x:c>
      <x:c r="B403" t="str">
        <x:v>vitastomrt.ru</x:v>
      </x:c>
      <x:c r="C403" t="e">
        <x:f>HYPERLINK("https://belberrycrm.bitrix24.ru/crm/deal/details/2668/","https://belberrycrm.bitrix24.ru/crm/deal/details/2668/")</x:f>
      </x:c>
      <x:c r="D403" t="str">
        <x:v>Реанимация</x:v>
      </x:c>
      <x:c r="E403" t="str">
        <x:v>ПРОДАЖИ: Отвалы</x:v>
      </x:c>
      <x:c r="F403" t="str">
        <x:v>Иван Халин</x:v>
      </x:c>
      <x:c r="G403" t="str">
        <x:v>нет</x:v>
      </x:c>
      <x:c r="H403" t="str">
        <x:v>нет</x:v>
      </x:c>
    </x:row>
    <x:row r="404">
      <x:c r="A404" t="str">
        <x:v>2672</x:v>
      </x:c>
      <x:c r="B404" t="str">
        <x:v>askonamed.ru</x:v>
      </x:c>
      <x:c r="C404" t="e">
        <x:f>HYPERLINK("https://belberrycrm.bitrix24.ru/crm/deal/details/2672/","https://belberrycrm.bitrix24.ru/crm/deal/details/2672/")</x:f>
      </x:c>
      <x:c r="D404" t="str">
        <x:v>Реанимация</x:v>
      </x:c>
      <x:c r="E404" t="str">
        <x:v>ПРОДАЖИ: Отвалы</x:v>
      </x:c>
      <x:c r="F404" t="str">
        <x:v>Иван Халин</x:v>
      </x:c>
      <x:c r="G404" t="str">
        <x:v>нет</x:v>
      </x:c>
      <x:c r="H404" t="str">
        <x:v>нет</x:v>
      </x:c>
    </x:row>
    <x:row r="405">
      <x:c r="A405" t="str">
        <x:v>2674</x:v>
      </x:c>
      <x:c r="B405" t="str">
        <x:v>tltmed.ru</x:v>
      </x:c>
      <x:c r="C405" t="e">
        <x:f>HYPERLINK("https://belberrycrm.bitrix24.ru/crm/deal/details/2674/","https://belberrycrm.bitrix24.ru/crm/deal/details/2674/")</x:f>
      </x:c>
      <x:c r="D405" t="str">
        <x:v>Реанимация</x:v>
      </x:c>
      <x:c r="E405" t="str">
        <x:v>ПРОДАЖИ: Отвалы</x:v>
      </x:c>
      <x:c r="F405" t="str">
        <x:v>Иван Халин</x:v>
      </x:c>
      <x:c r="G405" t="str">
        <x:v>нет</x:v>
      </x:c>
      <x:c r="H405" t="str">
        <x:v>нет</x:v>
      </x:c>
    </x:row>
    <x:row r="406">
      <x:c r="A406" t="str">
        <x:v>2678</x:v>
      </x:c>
      <x:c r="B406" t="str">
        <x:v>vd-stomatologiya.ru</x:v>
      </x:c>
      <x:c r="C406" t="e">
        <x:f>HYPERLINK("https://belberrycrm.bitrix24.ru/crm/deal/details/2678/","https://belberrycrm.bitrix24.ru/crm/deal/details/2678/")</x:f>
      </x:c>
      <x:c r="D406" t="str">
        <x:v>Реанимация</x:v>
      </x:c>
      <x:c r="E406" t="str">
        <x:v>ПРОДАЖИ: Отвалы</x:v>
      </x:c>
      <x:c r="F406" t="str">
        <x:v>Иван Халин</x:v>
      </x:c>
      <x:c r="G406" t="str">
        <x:v>нет</x:v>
      </x:c>
      <x:c r="H406" t="str">
        <x:v>нет</x:v>
      </x:c>
    </x:row>
    <x:row r="407">
      <x:c r="A407" t="str">
        <x:v>2684</x:v>
      </x:c>
      <x:c r="B407" t="str">
        <x:v>empiredent.ru</x:v>
      </x:c>
      <x:c r="C407" t="e">
        <x:f>HYPERLINK("https://belberrycrm.bitrix24.ru/crm/deal/details/2684/","https://belberrycrm.bitrix24.ru/crm/deal/details/2684/")</x:f>
      </x:c>
      <x:c r="D407" t="str">
        <x:v>Реанимация</x:v>
      </x:c>
      <x:c r="E407" t="str">
        <x:v>ПРОДАЖИ: Отвалы</x:v>
      </x:c>
      <x:c r="F407" t="str">
        <x:v>Иван Халин</x:v>
      </x:c>
      <x:c r="G407" t="str">
        <x:v>нет</x:v>
      </x:c>
      <x:c r="H407" t="str">
        <x:v>нет</x:v>
      </x:c>
    </x:row>
    <x:row r="408">
      <x:c r="A408" t="str">
        <x:v>2686</x:v>
      </x:c>
      <x:c r="B408" t="str">
        <x:v>Гасиев Георгий Игоревич</x:v>
      </x:c>
      <x:c r="C408" t="e">
        <x:f>HYPERLINK("https://belberrycrm.bitrix24.ru/crm/deal/details/2686/","https://belberrycrm.bitrix24.ru/crm/deal/details/2686/")</x:f>
      </x:c>
      <x:c r="D408" t="str">
        <x:v>Реанимация</x:v>
      </x:c>
      <x:c r="E408" t="str">
        <x:v>ПРОДАЖИ: Отвалы</x:v>
      </x:c>
      <x:c r="F408" t="str">
        <x:v>Иван Халин</x:v>
      </x:c>
      <x:c r="G408" t="str">
        <x:v>нет</x:v>
      </x:c>
      <x:c r="H408" t="str">
        <x:v>нет</x:v>
      </x:c>
    </x:row>
    <x:row r="409">
      <x:c r="A409" t="str">
        <x:v>2688</x:v>
      </x:c>
      <x:c r="B409" t="str">
        <x:v>драгоценность.рф</x:v>
      </x:c>
      <x:c r="C409" t="e">
        <x:f>HYPERLINK("https://belberrycrm.bitrix24.ru/crm/deal/details/2688/","https://belberrycrm.bitrix24.ru/crm/deal/details/2688/")</x:f>
      </x:c>
      <x:c r="D409" t="str">
        <x:v>Реанимация</x:v>
      </x:c>
      <x:c r="E409" t="str">
        <x:v>ПРОДАЖИ: Отвалы</x:v>
      </x:c>
      <x:c r="F409" t="str">
        <x:v>Иван Халин</x:v>
      </x:c>
      <x:c r="G409" t="str">
        <x:v>нет</x:v>
      </x:c>
      <x:c r="H409" t="str">
        <x:v>нет</x:v>
      </x:c>
    </x:row>
    <x:row r="410">
      <x:c r="A410" t="str">
        <x:v>2694</x:v>
      </x:c>
      <x:c r="B410" t="str">
        <x:v>saluspolus.ru</x:v>
      </x:c>
      <x:c r="C410" t="e">
        <x:f>HYPERLINK("https://belberrycrm.bitrix24.ru/crm/deal/details/2694/","https://belberrycrm.bitrix24.ru/crm/deal/details/2694/")</x:f>
      </x:c>
      <x:c r="D410" t="str">
        <x:v>Реанимация</x:v>
      </x:c>
      <x:c r="E410" t="str">
        <x:v>ПРОДАЖИ: Отвалы</x:v>
      </x:c>
      <x:c r="F410" t="str">
        <x:v>Иван Халин</x:v>
      </x:c>
      <x:c r="G410" t="str">
        <x:v>нет</x:v>
      </x:c>
      <x:c r="H410" t="str">
        <x:v>нет</x:v>
      </x:c>
    </x:row>
    <x:row r="411">
      <x:c r="A411" t="str">
        <x:v>2698</x:v>
      </x:c>
      <x:c r="B411" t="str">
        <x:v>dental-d.ru</x:v>
      </x:c>
      <x:c r="C411" t="e">
        <x:f>HYPERLINK("https://belberrycrm.bitrix24.ru/crm/deal/details/2698/","https://belberrycrm.bitrix24.ru/crm/deal/details/2698/")</x:f>
      </x:c>
      <x:c r="D411" t="str">
        <x:v>Реанимация</x:v>
      </x:c>
      <x:c r="E411" t="str">
        <x:v>ПРОДАЖИ: Отвалы</x:v>
      </x:c>
      <x:c r="F411" t="str">
        <x:v>Иван Халин</x:v>
      </x:c>
      <x:c r="G411" t="str">
        <x:v>нет</x:v>
      </x:c>
      <x:c r="H411" t="str">
        <x:v>нет</x:v>
      </x:c>
    </x:row>
    <x:row r="412">
      <x:c r="A412" t="str">
        <x:v>2706</x:v>
      </x:c>
      <x:c r="B412" t="str">
        <x:v>мртвтушино.рф</x:v>
      </x:c>
      <x:c r="C412" t="e">
        <x:f>HYPERLINK("https://belberrycrm.bitrix24.ru/crm/deal/details/2706/","https://belberrycrm.bitrix24.ru/crm/deal/details/2706/")</x:f>
      </x:c>
      <x:c r="D412" t="str">
        <x:v>Реанимация</x:v>
      </x:c>
      <x:c r="E412" t="str">
        <x:v>ПРОДАЖИ: Отвалы</x:v>
      </x:c>
      <x:c r="F412" t="str">
        <x:v>Иван Халин</x:v>
      </x:c>
      <x:c r="G412" t="str">
        <x:v>да</x:v>
      </x:c>
      <x:c r="H412" t="str">
        <x:v>нет</x:v>
      </x:c>
    </x:row>
    <x:row r="413">
      <x:c r="A413" t="str">
        <x:v>2708</x:v>
      </x:c>
      <x:c r="B413" t="str">
        <x:v>dentpro.ru</x:v>
      </x:c>
      <x:c r="C413" t="e">
        <x:f>HYPERLINK("https://belberrycrm.bitrix24.ru/crm/deal/details/2708/","https://belberrycrm.bitrix24.ru/crm/deal/details/2708/")</x:f>
      </x:c>
      <x:c r="D413" t="str">
        <x:v>Реанимация</x:v>
      </x:c>
      <x:c r="E413" t="str">
        <x:v>ПРОДАЖИ: Отвалы</x:v>
      </x:c>
      <x:c r="F413" t="str">
        <x:v>Иван Сычев</x:v>
      </x:c>
      <x:c r="G413" t="str">
        <x:v>нет</x:v>
      </x:c>
      <x:c r="H413" t="str">
        <x:v>нет</x:v>
      </x:c>
    </x:row>
    <x:row r="414">
      <x:c r="A414" t="str">
        <x:v>2710</x:v>
      </x:c>
      <x:c r="B414" t="str">
        <x:v>amindent.com</x:v>
      </x:c>
      <x:c r="C414" t="e">
        <x:f>HYPERLINK("https://belberrycrm.bitrix24.ru/crm/deal/details/2710/","https://belberrycrm.bitrix24.ru/crm/deal/details/2710/")</x:f>
      </x:c>
      <x:c r="D414" t="str">
        <x:v>Реанимация</x:v>
      </x:c>
      <x:c r="E414" t="str">
        <x:v>ПРОДАЖИ: Отвалы</x:v>
      </x:c>
      <x:c r="F414" t="str">
        <x:v>Иван Халин</x:v>
      </x:c>
      <x:c r="G414" t="str">
        <x:v>нет</x:v>
      </x:c>
      <x:c r="H414" t="str">
        <x:v>нет</x:v>
      </x:c>
    </x:row>
    <x:row r="415">
      <x:c r="A415" t="str">
        <x:v>2720</x:v>
      </x:c>
      <x:c r="B415" t="str">
        <x:v>dn-klinik.ru</x:v>
      </x:c>
      <x:c r="C415" t="e">
        <x:f>HYPERLINK("https://belberrycrm.bitrix24.ru/crm/deal/details/2720/","https://belberrycrm.bitrix24.ru/crm/deal/details/2720/")</x:f>
      </x:c>
      <x:c r="D415" t="str">
        <x:v>Реанимация</x:v>
      </x:c>
      <x:c r="E415" t="str">
        <x:v>ПРОДАЖИ: Отвалы</x:v>
      </x:c>
      <x:c r="F415" t="str">
        <x:v>Иван Халин</x:v>
      </x:c>
      <x:c r="G415" t="str">
        <x:v>нет</x:v>
      </x:c>
      <x:c r="H415" t="str">
        <x:v>нет</x:v>
      </x:c>
    </x:row>
    <x:row r="416">
      <x:c r="A416" t="str">
        <x:v>2722</x:v>
      </x:c>
      <x:c r="B416" t="str">
        <x:v>malident.ru</x:v>
      </x:c>
      <x:c r="C416" t="e">
        <x:f>HYPERLINK("https://belberrycrm.bitrix24.ru/crm/deal/details/2722/","https://belberrycrm.bitrix24.ru/crm/deal/details/2722/")</x:f>
      </x:c>
      <x:c r="D416" t="str">
        <x:v>Реанимация</x:v>
      </x:c>
      <x:c r="E416" t="str">
        <x:v>ПРОДАЖИ: Отвалы</x:v>
      </x:c>
      <x:c r="F416" t="str">
        <x:v>Иван Халин</x:v>
      </x:c>
      <x:c r="G416" t="str">
        <x:v>нет</x:v>
      </x:c>
      <x:c r="H416" t="str">
        <x:v>нет</x:v>
      </x:c>
    </x:row>
    <x:row r="417">
      <x:c r="A417" t="str">
        <x:v>2730</x:v>
      </x:c>
      <x:c r="B417" t="str">
        <x:v>zaffiroclinic.ru</x:v>
      </x:c>
      <x:c r="C417" t="e">
        <x:f>HYPERLINK("https://belberrycrm.bitrix24.ru/crm/deal/details/2730/","https://belberrycrm.bitrix24.ru/crm/deal/details/2730/")</x:f>
      </x:c>
      <x:c r="D417" t="str">
        <x:v>Реанимация</x:v>
      </x:c>
      <x:c r="E417" t="str">
        <x:v>ПРОДАЖИ: Отвалы</x:v>
      </x:c>
      <x:c r="F417" t="str">
        <x:v>Иван Халин</x:v>
      </x:c>
      <x:c r="G417" t="str">
        <x:v>нет</x:v>
      </x:c>
      <x:c r="H417" t="str">
        <x:v>нет</x:v>
      </x:c>
    </x:row>
    <x:row r="418">
      <x:c r="A418" t="str">
        <x:v>2732</x:v>
      </x:c>
      <x:c r="B418" t="str">
        <x:v>smilecentre.ru</x:v>
      </x:c>
      <x:c r="C418" t="e">
        <x:f>HYPERLINK("https://belberrycrm.bitrix24.ru/crm/deal/details/2732/","https://belberrycrm.bitrix24.ru/crm/deal/details/2732/")</x:f>
      </x:c>
      <x:c r="D418" t="str">
        <x:v>Реанимация</x:v>
      </x:c>
      <x:c r="E418" t="str">
        <x:v>ПРОДАЖИ: Отвалы</x:v>
      </x:c>
      <x:c r="F418" t="str">
        <x:v>Иван Халин</x:v>
      </x:c>
      <x:c r="G418" t="str">
        <x:v>нет</x:v>
      </x:c>
      <x:c r="H418" t="str">
        <x:v>нет</x:v>
      </x:c>
    </x:row>
    <x:row r="419">
      <x:c r="A419" t="str">
        <x:v>2738</x:v>
      </x:c>
      <x:c r="B419" t="str">
        <x:v>chechil.com</x:v>
      </x:c>
      <x:c r="C419" t="e">
        <x:f>HYPERLINK("https://belberrycrm.bitrix24.ru/crm/deal/details/2738/","https://belberrycrm.bitrix24.ru/crm/deal/details/2738/")</x:f>
      </x:c>
      <x:c r="D419" t="str">
        <x:v>Реанимация</x:v>
      </x:c>
      <x:c r="E419" t="str">
        <x:v>ПРОДАЖИ: Отвалы</x:v>
      </x:c>
      <x:c r="F419" t="str">
        <x:v>Иван Халин</x:v>
      </x:c>
      <x:c r="G419" t="str">
        <x:v>нет</x:v>
      </x:c>
      <x:c r="H419" t="str">
        <x:v>нет</x:v>
      </x:c>
    </x:row>
    <x:row r="420">
      <x:c r="A420" t="str">
        <x:v>2746</x:v>
      </x:c>
      <x:c r="B420" t="str">
        <x:v>youcanlive.ru</x:v>
      </x:c>
      <x:c r="C420" t="e">
        <x:f>HYPERLINK("https://belberrycrm.bitrix24.ru/crm/deal/details/2746/","https://belberrycrm.bitrix24.ru/crm/deal/details/2746/")</x:f>
      </x:c>
      <x:c r="D420" t="str">
        <x:v>Реанимация</x:v>
      </x:c>
      <x:c r="E420" t="str">
        <x:v>ПРОДАЖИ: Отвалы</x:v>
      </x:c>
      <x:c r="F420" t="str">
        <x:v>Иван Халин</x:v>
      </x:c>
      <x:c r="G420" t="str">
        <x:v>нет</x:v>
      </x:c>
      <x:c r="H420" t="str">
        <x:v>нет</x:v>
      </x:c>
    </x:row>
    <x:row r="421">
      <x:c r="A421" t="str">
        <x:v>2750</x:v>
      </x:c>
      <x:c r="B421" t="str">
        <x:v>art-oral.ru</x:v>
      </x:c>
      <x:c r="C421" t="e">
        <x:f>HYPERLINK("https://belberrycrm.bitrix24.ru/crm/deal/details/2750/","https://belberrycrm.bitrix24.ru/crm/deal/details/2750/")</x:f>
      </x:c>
      <x:c r="D421" t="str">
        <x:v>Реанимация</x:v>
      </x:c>
      <x:c r="E421" t="str">
        <x:v>ПРОДАЖИ: Отвалы</x:v>
      </x:c>
      <x:c r="F421" t="str">
        <x:v>Иван Сычев</x:v>
      </x:c>
      <x:c r="G421" t="str">
        <x:v>нет</x:v>
      </x:c>
      <x:c r="H421" t="str">
        <x:v>нет</x:v>
      </x:c>
    </x:row>
    <x:row r="422">
      <x:c r="A422" t="str">
        <x:v>2752</x:v>
      </x:c>
      <x:c r="B422" t="str">
        <x:v>artoksclinic.ru</x:v>
      </x:c>
      <x:c r="C422" t="e">
        <x:f>HYPERLINK("https://belberrycrm.bitrix24.ru/crm/deal/details/2752/","https://belberrycrm.bitrix24.ru/crm/deal/details/2752/")</x:f>
      </x:c>
      <x:c r="D422" t="str">
        <x:v>Реанимация</x:v>
      </x:c>
      <x:c r="E422" t="str">
        <x:v>ПРОДАЖИ: Отвалы</x:v>
      </x:c>
      <x:c r="F422" t="str">
        <x:v>Иван Сычев</x:v>
      </x:c>
      <x:c r="G422" t="str">
        <x:v>нет</x:v>
      </x:c>
      <x:c r="H422" t="str">
        <x:v>нет</x:v>
      </x:c>
    </x:row>
    <x:row r="423">
      <x:c r="A423" t="str">
        <x:v>2756</x:v>
      </x:c>
      <x:c r="B423" t="str">
        <x:v>clinicaspectr.ru</x:v>
      </x:c>
      <x:c r="C423" t="e">
        <x:f>HYPERLINK("https://belberrycrm.bitrix24.ru/crm/deal/details/2756/","https://belberrycrm.bitrix24.ru/crm/deal/details/2756/")</x:f>
      </x:c>
      <x:c r="D423" t="str">
        <x:v>Реанимация</x:v>
      </x:c>
      <x:c r="E423" t="str">
        <x:v>ПРОДАЖИ: Отвалы</x:v>
      </x:c>
      <x:c r="F423" t="str">
        <x:v>Иван Сычев</x:v>
      </x:c>
      <x:c r="G423" t="str">
        <x:v>нет</x:v>
      </x:c>
      <x:c r="H423" t="str">
        <x:v>нет</x:v>
      </x:c>
    </x:row>
    <x:row r="424">
      <x:c r="A424" t="str">
        <x:v>2758</x:v>
      </x:c>
      <x:c r="B424" t="str">
        <x:v>clinic-medford.ru</x:v>
      </x:c>
      <x:c r="C424" t="e">
        <x:f>HYPERLINK("https://belberrycrm.bitrix24.ru/crm/deal/details/2758/","https://belberrycrm.bitrix24.ru/crm/deal/details/2758/")</x:f>
      </x:c>
      <x:c r="D424" t="str">
        <x:v>Реанимация</x:v>
      </x:c>
      <x:c r="E424" t="str">
        <x:v>ПРОДАЖИ: Отвалы</x:v>
      </x:c>
      <x:c r="F424" t="str">
        <x:v>Иван Сычев</x:v>
      </x:c>
      <x:c r="G424" t="str">
        <x:v>нет</x:v>
      </x:c>
      <x:c r="H424" t="str">
        <x:v>нет</x:v>
      </x:c>
    </x:row>
    <x:row r="425">
      <x:c r="A425" t="str">
        <x:v>2760</x:v>
      </x:c>
      <x:c r="B425" t="str">
        <x:v>art-praktika.ru</x:v>
      </x:c>
      <x:c r="C425" t="e">
        <x:f>HYPERLINK("https://belberrycrm.bitrix24.ru/crm/deal/details/2760/","https://belberrycrm.bitrix24.ru/crm/deal/details/2760/")</x:f>
      </x:c>
      <x:c r="D425" t="str">
        <x:v>Реанимация</x:v>
      </x:c>
      <x:c r="E425" t="str">
        <x:v>ПРОДАЖИ: Отвалы</x:v>
      </x:c>
      <x:c r="F425" t="str">
        <x:v>Иван Сычев</x:v>
      </x:c>
      <x:c r="G425" t="str">
        <x:v>нет</x:v>
      </x:c>
      <x:c r="H425" t="str">
        <x:v>нет</x:v>
      </x:c>
    </x:row>
    <x:row r="426">
      <x:c r="A426" t="str">
        <x:v>2762</x:v>
      </x:c>
      <x:c r="B426" t="str">
        <x:v>darling-med.ru</x:v>
      </x:c>
      <x:c r="C426" t="e">
        <x:f>HYPERLINK("https://belberrycrm.bitrix24.ru/crm/deal/details/2762/","https://belberrycrm.bitrix24.ru/crm/deal/details/2762/")</x:f>
      </x:c>
      <x:c r="D426" t="str">
        <x:v>Реанимация</x:v>
      </x:c>
      <x:c r="E426" t="str">
        <x:v>ПРОДАЖИ: Отвалы</x:v>
      </x:c>
      <x:c r="F426" t="str">
        <x:v>Иван Сычев</x:v>
      </x:c>
      <x:c r="G426" t="str">
        <x:v>нет</x:v>
      </x:c>
      <x:c r="H426" t="str">
        <x:v>нет</x:v>
      </x:c>
    </x:row>
    <x:row r="427">
      <x:c r="A427" t="str">
        <x:v>2764</x:v>
      </x:c>
      <x:c r="B427" t="str">
        <x:v>denta-praktik.ru</x:v>
      </x:c>
      <x:c r="C427" t="e">
        <x:f>HYPERLINK("https://belberrycrm.bitrix24.ru/crm/deal/details/2764/","https://belberrycrm.bitrix24.ru/crm/deal/details/2764/")</x:f>
      </x:c>
      <x:c r="D427" t="str">
        <x:v>Реанимация</x:v>
      </x:c>
      <x:c r="E427" t="str">
        <x:v>ПРОДАЖИ: Отвалы</x:v>
      </x:c>
      <x:c r="F427" t="str">
        <x:v>Иван Халин</x:v>
      </x:c>
      <x:c r="G427" t="str">
        <x:v>нет</x:v>
      </x:c>
      <x:c r="H427" t="str">
        <x:v>нет</x:v>
      </x:c>
    </x:row>
    <x:row r="428">
      <x:c r="A428" t="str">
        <x:v>2768</x:v>
      </x:c>
      <x:c r="B428" t="str">
        <x:v>Александр</x:v>
      </x:c>
      <x:c r="C428" t="e">
        <x:f>HYPERLINK("https://belberrycrm.bitrix24.ru/crm/deal/details/2768/","https://belberrycrm.bitrix24.ru/crm/deal/details/2768/")</x:f>
      </x:c>
      <x:c r="D428" t="str">
        <x:v>Реанимация</x:v>
      </x:c>
      <x:c r="E428" t="str">
        <x:v>ПРОДАЖИ: Отвалы</x:v>
      </x:c>
      <x:c r="F428" t="str">
        <x:v>Иван Халин</x:v>
      </x:c>
      <x:c r="G428" t="str">
        <x:v>нет</x:v>
      </x:c>
      <x:c r="H428" t="str">
        <x:v>нет</x:v>
      </x:c>
    </x:row>
    <x:row r="429">
      <x:c r="A429" t="str">
        <x:v>2784</x:v>
      </x:c>
      <x:c r="B429" t="str">
        <x:v>zdravum.ru</x:v>
      </x:c>
      <x:c r="C429" t="e">
        <x:f>HYPERLINK("https://belberrycrm.bitrix24.ru/crm/deal/details/2784/","https://belberrycrm.bitrix24.ru/crm/deal/details/2784/")</x:f>
      </x:c>
      <x:c r="D429" t="str">
        <x:v>Реанимация</x:v>
      </x:c>
      <x:c r="E429" t="str">
        <x:v>База для реанимации</x:v>
      </x:c>
      <x:c r="F429" t="str">
        <x:v>Иван Халин</x:v>
      </x:c>
      <x:c r="G429" t="str">
        <x:v>нет</x:v>
      </x:c>
      <x:c r="H429" t="str">
        <x:v>нет</x:v>
      </x:c>
    </x:row>
    <x:row r="430">
      <x:c r="A430" t="str">
        <x:v>2786</x:v>
      </x:c>
      <x:c r="B430" t="str">
        <x:v>clinik-profi.ru</x:v>
      </x:c>
      <x:c r="C430" t="e">
        <x:f>HYPERLINK("https://belberrycrm.bitrix24.ru/crm/deal/details/2786/","https://belberrycrm.bitrix24.ru/crm/deal/details/2786/")</x:f>
      </x:c>
      <x:c r="D430" t="str">
        <x:v>Реанимация</x:v>
      </x:c>
      <x:c r="E430" t="str">
        <x:v>ПРОДАЖИ: Отвалы</x:v>
      </x:c>
      <x:c r="F430" t="str">
        <x:v>Иван Халин</x:v>
      </x:c>
      <x:c r="G430" t="str">
        <x:v>нет</x:v>
      </x:c>
      <x:c r="H430" t="str">
        <x:v>нет</x:v>
      </x:c>
    </x:row>
    <x:row r="431">
      <x:c r="A431" t="str">
        <x:v>2802</x:v>
      </x:c>
      <x:c r="B431" t="str">
        <x:v>fitnessmania.ru</x:v>
      </x:c>
      <x:c r="C431" t="e">
        <x:f>HYPERLINK("https://belberrycrm.bitrix24.ru/crm/deal/details/2802/","https://belberrycrm.bitrix24.ru/crm/deal/details/2802/")</x:f>
      </x:c>
      <x:c r="D431" t="str">
        <x:v>Реанимация</x:v>
      </x:c>
      <x:c r="E431" t="str">
        <x:v>ПРОДАЖИ: Отвалы</x:v>
      </x:c>
      <x:c r="F431" t="str">
        <x:v>Иван Халин</x:v>
      </x:c>
      <x:c r="G431" t="str">
        <x:v>нет</x:v>
      </x:c>
      <x:c r="H431" t="str">
        <x:v>нет</x:v>
      </x:c>
    </x:row>
    <x:row r="432">
      <x:c r="A432" t="str">
        <x:v>2806</x:v>
      </x:c>
      <x:c r="B432" t="str">
        <x:v>azbuka-med.ru</x:v>
      </x:c>
      <x:c r="C432" t="e">
        <x:f>HYPERLINK("https://belberrycrm.bitrix24.ru/crm/deal/details/2806/","https://belberrycrm.bitrix24.ru/crm/deal/details/2806/")</x:f>
      </x:c>
      <x:c r="D432" t="str">
        <x:v>Реанимация</x:v>
      </x:c>
      <x:c r="E432" t="str">
        <x:v>ПРОДАЖИ: Отвалы</x:v>
      </x:c>
      <x:c r="F432" t="str">
        <x:v>Иван Сычев</x:v>
      </x:c>
      <x:c r="G432" t="str">
        <x:v>нет</x:v>
      </x:c>
      <x:c r="H432" t="str">
        <x:v>нет</x:v>
      </x:c>
    </x:row>
    <x:row r="433">
      <x:c r="A433" t="str">
        <x:v>2812</x:v>
      </x:c>
      <x:c r="B433" t="str">
        <x:v>homo89.ru</x:v>
      </x:c>
      <x:c r="C433" t="e">
        <x:f>HYPERLINK("https://belberrycrm.bitrix24.ru/crm/deal/details/2812/","https://belberrycrm.bitrix24.ru/crm/deal/details/2812/")</x:f>
      </x:c>
      <x:c r="D433" t="str">
        <x:v>Реанимация</x:v>
      </x:c>
      <x:c r="E433" t="str">
        <x:v>ПРОДАЖИ: Отвалы</x:v>
      </x:c>
      <x:c r="F433" t="str">
        <x:v>Иван Халин</x:v>
      </x:c>
      <x:c r="G433" t="str">
        <x:v>нет</x:v>
      </x:c>
      <x:c r="H433" t="str">
        <x:v>нет</x:v>
      </x:c>
    </x:row>
    <x:row r="434">
      <x:c r="A434" t="str">
        <x:v>2828</x:v>
      </x:c>
      <x:c r="B434" t="str">
        <x:v>royalmedic.ru</x:v>
      </x:c>
      <x:c r="C434" t="e">
        <x:f>HYPERLINK("https://belberrycrm.bitrix24.ru/crm/deal/details/2828/","https://belberrycrm.bitrix24.ru/crm/deal/details/2828/")</x:f>
      </x:c>
      <x:c r="D434" t="str">
        <x:v>Реанимация</x:v>
      </x:c>
      <x:c r="E434" t="str">
        <x:v>ПРОДАЖИ: Отвалы</x:v>
      </x:c>
      <x:c r="F434" t="str">
        <x:v>Евгений Щемелёв</x:v>
      </x:c>
      <x:c r="G434" t="str">
        <x:v>нет</x:v>
      </x:c>
      <x:c r="H434" t="str">
        <x:v>нет</x:v>
      </x:c>
    </x:row>
    <x:row r="435">
      <x:c r="A435" t="str">
        <x:v>2830</x:v>
      </x:c>
      <x:c r="B435" t="str">
        <x:v>dentastil.ru</x:v>
      </x:c>
      <x:c r="C435" t="e">
        <x:f>HYPERLINK("https://belberrycrm.bitrix24.ru/crm/deal/details/2830/","https://belberrycrm.bitrix24.ru/crm/deal/details/2830/")</x:f>
      </x:c>
      <x:c r="D435" t="str">
        <x:v>Реанимация</x:v>
      </x:c>
      <x:c r="E435" t="str">
        <x:v>ПРОДАЖИ: Отвалы</x:v>
      </x:c>
      <x:c r="F435" t="str">
        <x:v>Иван Халин</x:v>
      </x:c>
      <x:c r="G435" t="str">
        <x:v>нет</x:v>
      </x:c>
      <x:c r="H435" t="str">
        <x:v>нет</x:v>
      </x:c>
    </x:row>
    <x:row r="436">
      <x:c r="A436" t="str">
        <x:v>2848</x:v>
      </x:c>
      <x:c r="B436" t="str">
        <x:v>vivasmile.ru</x:v>
      </x:c>
      <x:c r="C436" t="e">
        <x:f>HYPERLINK("https://belberrycrm.bitrix24.ru/crm/deal/details/2848/","https://belberrycrm.bitrix24.ru/crm/deal/details/2848/")</x:f>
      </x:c>
      <x:c r="D436" t="str">
        <x:v>Реанимация</x:v>
      </x:c>
      <x:c r="E436" t="str">
        <x:v>ПРОДАЖИ: Отвалы</x:v>
      </x:c>
      <x:c r="F436" t="str">
        <x:v>Евгений Щемелёв</x:v>
      </x:c>
      <x:c r="G436" t="str">
        <x:v>нет</x:v>
      </x:c>
      <x:c r="H436" t="str">
        <x:v>нет</x:v>
      </x:c>
    </x:row>
    <x:row r="437">
      <x:c r="A437" t="str">
        <x:v>2850</x:v>
      </x:c>
      <x:c r="B437" t="str">
        <x:v>ayurveda-clinic.ru</x:v>
      </x:c>
      <x:c r="C437" t="e">
        <x:f>HYPERLINK("https://belberrycrm.bitrix24.ru/crm/deal/details/2850/","https://belberrycrm.bitrix24.ru/crm/deal/details/2850/")</x:f>
      </x:c>
      <x:c r="D437" t="str">
        <x:v>Реанимация</x:v>
      </x:c>
      <x:c r="E437" t="str">
        <x:v>ПРОДАЖИ: Отвалы</x:v>
      </x:c>
      <x:c r="F437" t="str">
        <x:v>Иван Халин</x:v>
      </x:c>
      <x:c r="G437" t="str">
        <x:v>нет</x:v>
      </x:c>
      <x:c r="H437" t="str">
        <x:v>нет</x:v>
      </x:c>
    </x:row>
    <x:row r="438">
      <x:c r="A438" t="str">
        <x:v>2860</x:v>
      </x:c>
      <x:c r="B438" t="str">
        <x:v>soliddent.ru</x:v>
      </x:c>
      <x:c r="C438" t="e">
        <x:f>HYPERLINK("https://belberrycrm.bitrix24.ru/crm/deal/details/2860/","https://belberrycrm.bitrix24.ru/crm/deal/details/2860/")</x:f>
      </x:c>
      <x:c r="D438" t="str">
        <x:v>Реанимация</x:v>
      </x:c>
      <x:c r="E438" t="str">
        <x:v>ПРОДАЖИ: Отвалы</x:v>
      </x:c>
      <x:c r="F438" t="str">
        <x:v>Евгений Щемелёв</x:v>
      </x:c>
      <x:c r="G438" t="str">
        <x:v>нет</x:v>
      </x:c>
      <x:c r="H438" t="str">
        <x:v>нет</x:v>
      </x:c>
    </x:row>
    <x:row r="439">
      <x:c r="A439" t="str">
        <x:v>2870</x:v>
      </x:c>
      <x:c r="B439" t="str">
        <x:v>profiserviceclub.ru</x:v>
      </x:c>
      <x:c r="C439" t="e">
        <x:f>HYPERLINK("https://belberrycrm.bitrix24.ru/crm/deal/details/2870/","https://belberrycrm.bitrix24.ru/crm/deal/details/2870/")</x:f>
      </x:c>
      <x:c r="D439" t="str">
        <x:v>Реанимация</x:v>
      </x:c>
      <x:c r="E439" t="str">
        <x:v>ПРОДАЖИ: Отвалы</x:v>
      </x:c>
      <x:c r="F439" t="str">
        <x:v>Иван Халин</x:v>
      </x:c>
      <x:c r="G439" t="str">
        <x:v>нет</x:v>
      </x:c>
      <x:c r="H439" t="str">
        <x:v>нет</x:v>
      </x:c>
    </x:row>
    <x:row r="440">
      <x:c r="A440" t="str">
        <x:v>2874</x:v>
      </x:c>
      <x:c r="B440" t="str">
        <x:v>amklinika.ru</x:v>
      </x:c>
      <x:c r="C440" t="e">
        <x:f>HYPERLINK("https://belberrycrm.bitrix24.ru/crm/deal/details/2874/","https://belberrycrm.bitrix24.ru/crm/deal/details/2874/")</x:f>
      </x:c>
      <x:c r="D440" t="str">
        <x:v>Реанимация</x:v>
      </x:c>
      <x:c r="E440" t="str">
        <x:v>ПРОДАЖИ: Отвалы</x:v>
      </x:c>
      <x:c r="F440" t="str">
        <x:v>Иван Халин</x:v>
      </x:c>
      <x:c r="G440" t="str">
        <x:v>нет</x:v>
      </x:c>
      <x:c r="H440" t="str">
        <x:v>нет</x:v>
      </x:c>
    </x:row>
    <x:row r="441">
      <x:c r="A441" t="str">
        <x:v>2880</x:v>
      </x:c>
      <x:c r="B441" t="str">
        <x:v>ckb2rzd.ru</x:v>
      </x:c>
      <x:c r="C441" t="e">
        <x:f>HYPERLINK("https://belberrycrm.bitrix24.ru/crm/deal/details/2880/","https://belberrycrm.bitrix24.ru/crm/deal/details/2880/")</x:f>
      </x:c>
      <x:c r="D441" t="str">
        <x:v>Реанимация</x:v>
      </x:c>
      <x:c r="E441" t="str">
        <x:v>ПРОДАЖИ: Отвалы</x:v>
      </x:c>
      <x:c r="F441" t="str">
        <x:v>Иван Халин</x:v>
      </x:c>
      <x:c r="G441" t="str">
        <x:v>нет</x:v>
      </x:c>
      <x:c r="H441" t="str">
        <x:v>нет</x:v>
      </x:c>
    </x:row>
    <x:row r="442">
      <x:c r="A442" t="str">
        <x:v>2896</x:v>
      </x:c>
      <x:c r="B442" t="str">
        <x:v>pavlenko-center.ru</x:v>
      </x:c>
      <x:c r="C442" t="e">
        <x:f>HYPERLINK("https://belberrycrm.bitrix24.ru/crm/deal/details/2896/","https://belberrycrm.bitrix24.ru/crm/deal/details/2896/")</x:f>
      </x:c>
      <x:c r="D442" t="str">
        <x:v>Реанимация</x:v>
      </x:c>
      <x:c r="E442" t="str">
        <x:v>ПРОДАЖИ: Отвалы</x:v>
      </x:c>
      <x:c r="F442" t="str">
        <x:v>Иван Халин</x:v>
      </x:c>
      <x:c r="G442" t="str">
        <x:v>нет</x:v>
      </x:c>
      <x:c r="H442" t="str">
        <x:v>нет</x:v>
      </x:c>
    </x:row>
    <x:row r="443">
      <x:c r="A443" t="str">
        <x:v>2912</x:v>
      </x:c>
      <x:c r="B443" t="str">
        <x:v>optikmir.ru</x:v>
      </x:c>
      <x:c r="C443" t="e">
        <x:f>HYPERLINK("https://belberrycrm.bitrix24.ru/crm/deal/details/2912/","https://belberrycrm.bitrix24.ru/crm/deal/details/2912/")</x:f>
      </x:c>
      <x:c r="D443" t="str">
        <x:v>Реанимация</x:v>
      </x:c>
      <x:c r="E443" t="str">
        <x:v>ПРОДАЖИ: Отвалы</x:v>
      </x:c>
      <x:c r="F443" t="str">
        <x:v>Иван Халин</x:v>
      </x:c>
      <x:c r="G443" t="str">
        <x:v>нет</x:v>
      </x:c>
      <x:c r="H443" t="str">
        <x:v>нет</x:v>
      </x:c>
    </x:row>
    <x:row r="444">
      <x:c r="A444" t="str">
        <x:v>2914</x:v>
      </x:c>
      <x:c r="B444" t="str">
        <x:v>zabdoctor.ru</x:v>
      </x:c>
      <x:c r="C444" t="e">
        <x:f>HYPERLINK("https://belberrycrm.bitrix24.ru/crm/deal/details/2914/","https://belberrycrm.bitrix24.ru/crm/deal/details/2914/")</x:f>
      </x:c>
      <x:c r="D444" t="str">
        <x:v>Реанимация</x:v>
      </x:c>
      <x:c r="E444" t="str">
        <x:v>ПРОДАЖИ: Отвалы</x:v>
      </x:c>
      <x:c r="F444" t="str">
        <x:v>Иван Халин</x:v>
      </x:c>
      <x:c r="G444" t="str">
        <x:v>да</x:v>
      </x:c>
      <x:c r="H444" t="str">
        <x:v>нет</x:v>
      </x:c>
    </x:row>
    <x:row r="445">
      <x:c r="A445" t="str">
        <x:v>2918</x:v>
      </x:c>
      <x:c r="B445" t="str">
        <x:v>t-zrenia.ru</x:v>
      </x:c>
      <x:c r="C445" t="e">
        <x:f>HYPERLINK("https://belberrycrm.bitrix24.ru/crm/deal/details/2918/","https://belberrycrm.bitrix24.ru/crm/deal/details/2918/")</x:f>
      </x:c>
      <x:c r="D445" t="str">
        <x:v>Реанимация</x:v>
      </x:c>
      <x:c r="E445" t="str">
        <x:v>ПРОДАЖИ: Отвалы</x:v>
      </x:c>
      <x:c r="F445" t="str">
        <x:v>Евгений Щемелёв</x:v>
      </x:c>
      <x:c r="G445" t="str">
        <x:v>нет</x:v>
      </x:c>
      <x:c r="H445" t="str">
        <x:v>нет</x:v>
      </x:c>
    </x:row>
    <x:row r="446">
      <x:c r="A446" t="str">
        <x:v>2922</x:v>
      </x:c>
      <x:c r="B446" t="str">
        <x:v>arcadis-mg.com</x:v>
      </x:c>
      <x:c r="C446" t="e">
        <x:f>HYPERLINK("https://belberrycrm.bitrix24.ru/crm/deal/details/2922/","https://belberrycrm.bitrix24.ru/crm/deal/details/2922/")</x:f>
      </x:c>
      <x:c r="D446" t="str">
        <x:v>Реанимация</x:v>
      </x:c>
      <x:c r="E446" t="str">
        <x:v>ПРОДАЖИ: Отвалы</x:v>
      </x:c>
      <x:c r="F446" t="str">
        <x:v>Евгений Щемелёв</x:v>
      </x:c>
      <x:c r="G446" t="str">
        <x:v>нет</x:v>
      </x:c>
      <x:c r="H446" t="str">
        <x:v>нет</x:v>
      </x:c>
    </x:row>
    <x:row r="447">
      <x:c r="A447" t="str">
        <x:v>2924</x:v>
      </x:c>
      <x:c r="B447" t="str">
        <x:v>giodent.com</x:v>
      </x:c>
      <x:c r="C447" t="e">
        <x:f>HYPERLINK("https://belberrycrm.bitrix24.ru/crm/deal/details/2924/","https://belberrycrm.bitrix24.ru/crm/deal/details/2924/")</x:f>
      </x:c>
      <x:c r="D447" t="str">
        <x:v>Реанимация</x:v>
      </x:c>
      <x:c r="E447" t="str">
        <x:v>ПРОДАЖИ: Отвалы</x:v>
      </x:c>
      <x:c r="F447" t="str">
        <x:v>Иван Халин</x:v>
      </x:c>
      <x:c r="G447" t="str">
        <x:v>нет</x:v>
      </x:c>
      <x:c r="H447" t="str">
        <x:v>нет</x:v>
      </x:c>
    </x:row>
    <x:row r="448">
      <x:c r="A448" t="str">
        <x:v>2926</x:v>
      </x:c>
      <x:c r="B448" t="str">
        <x:v>artdentnn.ru</x:v>
      </x:c>
      <x:c r="C448" t="e">
        <x:f>HYPERLINK("https://belberrycrm.bitrix24.ru/crm/deal/details/2926/","https://belberrycrm.bitrix24.ru/crm/deal/details/2926/")</x:f>
      </x:c>
      <x:c r="D448" t="str">
        <x:v>Реанимация</x:v>
      </x:c>
      <x:c r="E448" t="str">
        <x:v>ПРОДАЖИ: Отвалы</x:v>
      </x:c>
      <x:c r="F448" t="str">
        <x:v>Иван Халин</x:v>
      </x:c>
      <x:c r="G448" t="str">
        <x:v>нет</x:v>
      </x:c>
      <x:c r="H448" t="str">
        <x:v>нет</x:v>
      </x:c>
    </x:row>
    <x:row r="449">
      <x:c r="A449" t="str">
        <x:v>2930</x:v>
      </x:c>
      <x:c r="B449" t="str">
        <x:v>mdent56.ru</x:v>
      </x:c>
      <x:c r="C449" t="e">
        <x:f>HYPERLINK("https://belberrycrm.bitrix24.ru/crm/deal/details/2930/","https://belberrycrm.bitrix24.ru/crm/deal/details/2930/")</x:f>
      </x:c>
      <x:c r="D449" t="str">
        <x:v>Реанимация</x:v>
      </x:c>
      <x:c r="E449" t="str">
        <x:v>ПРОДАЖИ: Отвалы</x:v>
      </x:c>
      <x:c r="F449" t="str">
        <x:v>Иван Халин</x:v>
      </x:c>
      <x:c r="G449" t="str">
        <x:v>нет</x:v>
      </x:c>
      <x:c r="H449" t="str">
        <x:v>нет</x:v>
      </x:c>
    </x:row>
    <x:row r="450">
      <x:c r="A450" t="str">
        <x:v>2932</x:v>
      </x:c>
      <x:c r="B450" t="str">
        <x:v>bios-med.ru</x:v>
      </x:c>
      <x:c r="C450" t="e">
        <x:f>HYPERLINK("https://belberrycrm.bitrix24.ru/crm/deal/details/2932/","https://belberrycrm.bitrix24.ru/crm/deal/details/2932/")</x:f>
      </x:c>
      <x:c r="D450" t="str">
        <x:v>Реанимация</x:v>
      </x:c>
      <x:c r="E450" t="str">
        <x:v>ПРОДАЖИ: Отвалы</x:v>
      </x:c>
      <x:c r="F450" t="str">
        <x:v>Иван Халин</x:v>
      </x:c>
      <x:c r="G450" t="str">
        <x:v>нет</x:v>
      </x:c>
      <x:c r="H450" t="str">
        <x:v>нет</x:v>
      </x:c>
    </x:row>
    <x:row r="451">
      <x:c r="A451" t="str">
        <x:v>2938</x:v>
      </x:c>
      <x:c r="B451" t="str">
        <x:v>ligovsky94.ru</x:v>
      </x:c>
      <x:c r="C451" t="e">
        <x:f>HYPERLINK("https://belberrycrm.bitrix24.ru/crm/deal/details/2938/","https://belberrycrm.bitrix24.ru/crm/deal/details/2938/")</x:f>
      </x:c>
      <x:c r="D451" t="str">
        <x:v>Реанимация</x:v>
      </x:c>
      <x:c r="E451" t="str">
        <x:v>ПРОДАЖИ: Отвалы</x:v>
      </x:c>
      <x:c r="F451" t="str">
        <x:v>Иван Халин</x:v>
      </x:c>
      <x:c r="G451" t="str">
        <x:v>нет</x:v>
      </x:c>
      <x:c r="H451" t="str">
        <x:v>нет</x:v>
      </x:c>
    </x:row>
    <x:row r="452">
      <x:c r="A452" t="str">
        <x:v>2942</x:v>
      </x:c>
      <x:c r="B452" t="str">
        <x:v>boss-smile.dentistry-clinic.ru</x:v>
      </x:c>
      <x:c r="C452" t="e">
        <x:f>HYPERLINK("https://belberrycrm.bitrix24.ru/crm/deal/details/2942/","https://belberrycrm.bitrix24.ru/crm/deal/details/2942/")</x:f>
      </x:c>
      <x:c r="D452" t="str">
        <x:v>Реанимация</x:v>
      </x:c>
      <x:c r="E452" t="str">
        <x:v>ПРОДАЖИ: Отвалы</x:v>
      </x:c>
      <x:c r="F452" t="str">
        <x:v>Иван Халин</x:v>
      </x:c>
      <x:c r="G452" t="str">
        <x:v>нет</x:v>
      </x:c>
      <x:c r="H452" t="str">
        <x:v>нет</x:v>
      </x:c>
    </x:row>
    <x:row r="453">
      <x:c r="A453" t="str">
        <x:v>2944</x:v>
      </x:c>
      <x:c r="B453" t="str">
        <x:v>newsmile54.blizko.ru</x:v>
      </x:c>
      <x:c r="C453" t="e">
        <x:f>HYPERLINK("https://belberrycrm.bitrix24.ru/crm/deal/details/2944/","https://belberrycrm.bitrix24.ru/crm/deal/details/2944/")</x:f>
      </x:c>
      <x:c r="D453" t="str">
        <x:v>Реанимация</x:v>
      </x:c>
      <x:c r="E453" t="str">
        <x:v>ПРОДАЖИ: Отвалы</x:v>
      </x:c>
      <x:c r="F453" t="str">
        <x:v>Иван Халин</x:v>
      </x:c>
      <x:c r="G453" t="str">
        <x:v>да</x:v>
      </x:c>
      <x:c r="H453" t="str">
        <x:v>нет</x:v>
      </x:c>
    </x:row>
    <x:row r="454">
      <x:c r="A454" t="str">
        <x:v>2948</x:v>
      </x:c>
      <x:c r="B454" t="str">
        <x:v>dentatech.ru</x:v>
      </x:c>
      <x:c r="C454" t="e">
        <x:f>HYPERLINK("https://belberrycrm.bitrix24.ru/crm/deal/details/2948/","https://belberrycrm.bitrix24.ru/crm/deal/details/2948/")</x:f>
      </x:c>
      <x:c r="D454" t="str">
        <x:v>Реанимация</x:v>
      </x:c>
      <x:c r="E454" t="str">
        <x:v>ПРОДАЖИ: Отвалы</x:v>
      </x:c>
      <x:c r="F454" t="str">
        <x:v>Иван Халин</x:v>
      </x:c>
      <x:c r="G454" t="str">
        <x:v>нет</x:v>
      </x:c>
      <x:c r="H454" t="str">
        <x:v>нет</x:v>
      </x:c>
    </x:row>
    <x:row r="455">
      <x:c r="A455" t="str">
        <x:v>2970</x:v>
      </x:c>
      <x:c r="B455" t="str">
        <x:v>Ирина пластический хирург bios-med.ru</x:v>
      </x:c>
      <x:c r="C455" t="e">
        <x:f>HYPERLINK("https://belberrycrm.bitrix24.ru/crm/deal/details/2970/","https://belberrycrm.bitrix24.ru/crm/deal/details/2970/")</x:f>
      </x:c>
      <x:c r="D455" t="str">
        <x:v>Реанимация</x:v>
      </x:c>
      <x:c r="E455" t="str">
        <x:v>ПРОДАЖИ: Отвалы</x:v>
      </x:c>
      <x:c r="F455" t="str">
        <x:v>Иван Халин</x:v>
      </x:c>
      <x:c r="G455" t="str">
        <x:v>нет</x:v>
      </x:c>
      <x:c r="H455" t="str">
        <x:v>нет</x:v>
      </x:c>
    </x:row>
    <x:row r="456">
      <x:c r="A456" t="str">
        <x:v>2972</x:v>
      </x:c>
      <x:c r="B456" t="str">
        <x:v>vernodent.ru</x:v>
      </x:c>
      <x:c r="C456" t="e">
        <x:f>HYPERLINK("https://belberrycrm.bitrix24.ru/crm/deal/details/2972/","https://belberrycrm.bitrix24.ru/crm/deal/details/2972/")</x:f>
      </x:c>
      <x:c r="D456" t="str">
        <x:v>Реанимация</x:v>
      </x:c>
      <x:c r="E456" t="str">
        <x:v>ПРОДАЖИ: Отвалы</x:v>
      </x:c>
      <x:c r="F456" t="str">
        <x:v>Иван Халин</x:v>
      </x:c>
      <x:c r="G456" t="str">
        <x:v>нет</x:v>
      </x:c>
      <x:c r="H456" t="str">
        <x:v>нет</x:v>
      </x:c>
    </x:row>
    <x:row r="457">
      <x:c r="A457" t="str">
        <x:v>2978</x:v>
      </x:c>
      <x:c r="B457" t="str">
        <x:v>Естественныероды.рф</x:v>
      </x:c>
      <x:c r="C457" t="e">
        <x:f>HYPERLINK("https://belberrycrm.bitrix24.ru/crm/deal/details/2978/","https://belberrycrm.bitrix24.ru/crm/deal/details/2978/")</x:f>
      </x:c>
      <x:c r="D457" t="str">
        <x:v>Реанимация</x:v>
      </x:c>
      <x:c r="E457" t="str">
        <x:v>ПРОДАЖИ: Отвалы</x:v>
      </x:c>
      <x:c r="F457" t="str">
        <x:v>Иван Халин</x:v>
      </x:c>
      <x:c r="G457" t="str">
        <x:v>да</x:v>
      </x:c>
      <x:c r="H457" t="str">
        <x:v>нет</x:v>
      </x:c>
    </x:row>
    <x:row r="458">
      <x:c r="A458" t="str">
        <x:v>2980</x:v>
      </x:c>
      <x:c r="B458" t="str">
        <x:v>Констатин (Врач гастроентеролог личный бренд)</x:v>
      </x:c>
      <x:c r="C458" t="e">
        <x:f>HYPERLINK("https://belberrycrm.bitrix24.ru/crm/deal/details/2980/","https://belberrycrm.bitrix24.ru/crm/deal/details/2980/")</x:f>
      </x:c>
      <x:c r="D458" t="str">
        <x:v>Реанимация</x:v>
      </x:c>
      <x:c r="E458" t="str">
        <x:v>ПРОДАЖИ: Отвалы</x:v>
      </x:c>
      <x:c r="F458" t="str">
        <x:v>Иван Халин</x:v>
      </x:c>
      <x:c r="G458" t="str">
        <x:v>нет</x:v>
      </x:c>
      <x:c r="H458" t="str">
        <x:v>нет</x:v>
      </x:c>
    </x:row>
    <x:row r="459">
      <x:c r="A459" t="str">
        <x:v>2982</x:v>
      </x:c>
      <x:c r="B459" t="str">
        <x:v>magericmed.ru</x:v>
      </x:c>
      <x:c r="C459" t="e">
        <x:f>HYPERLINK("https://belberrycrm.bitrix24.ru/crm/deal/details/2982/","https://belberrycrm.bitrix24.ru/crm/deal/details/2982/")</x:f>
      </x:c>
      <x:c r="D459" t="str">
        <x:v>Реанимация</x:v>
      </x:c>
      <x:c r="E459" t="str">
        <x:v>ПРОДАЖИ: Отвалы</x:v>
      </x:c>
      <x:c r="F459" t="str">
        <x:v>Иван Халин</x:v>
      </x:c>
      <x:c r="G459" t="str">
        <x:v>нет</x:v>
      </x:c>
      <x:c r="H459" t="str">
        <x:v>нет</x:v>
      </x:c>
    </x:row>
    <x:row r="460">
      <x:c r="A460" t="str">
        <x:v>2988</x:v>
      </x:c>
      <x:c r="B460" t="str">
        <x:v>neostom-pargolovo.ru</x:v>
      </x:c>
      <x:c r="C460" t="e">
        <x:f>HYPERLINK("https://belberrycrm.bitrix24.ru/crm/deal/details/2988/","https://belberrycrm.bitrix24.ru/crm/deal/details/2988/")</x:f>
      </x:c>
      <x:c r="D460" t="str">
        <x:v>Реанимация</x:v>
      </x:c>
      <x:c r="E460" t="str">
        <x:v>ПРОДАЖИ: Отвалы</x:v>
      </x:c>
      <x:c r="F460" t="str">
        <x:v>Иван Халин</x:v>
      </x:c>
      <x:c r="G460" t="str">
        <x:v>нет</x:v>
      </x:c>
      <x:c r="H460" t="str">
        <x:v>нет</x:v>
      </x:c>
    </x:row>
    <x:row r="461">
      <x:c r="A461" t="str">
        <x:v>2994</x:v>
      </x:c>
      <x:c r="B461" t="str">
        <x:v>Клиника Мед-добро на Краснодонской улице</x:v>
      </x:c>
      <x:c r="C461" t="e">
        <x:f>HYPERLINK("https://belberrycrm.bitrix24.ru/crm/deal/details/2994/","https://belberrycrm.bitrix24.ru/crm/deal/details/2994/")</x:f>
      </x:c>
      <x:c r="D461" t="str">
        <x:v>Реанимация</x:v>
      </x:c>
      <x:c r="E461" t="str">
        <x:v>ПРОДАЖИ: Отвалы</x:v>
      </x:c>
      <x:c r="F461" t="str">
        <x:v>Даниил Касаткин</x:v>
      </x:c>
      <x:c r="G461" t="str">
        <x:v>нет</x:v>
      </x:c>
      <x:c r="H461" t="str">
        <x:v>нет</x:v>
      </x:c>
    </x:row>
    <x:row r="462">
      <x:c r="A462" t="str">
        <x:v>2998</x:v>
      </x:c>
      <x:c r="B462" t="str">
        <x:v>dr_gurgen</x:v>
      </x:c>
      <x:c r="C462" t="e">
        <x:f>HYPERLINK("https://belberrycrm.bitrix24.ru/crm/deal/details/2998/","https://belberrycrm.bitrix24.ru/crm/deal/details/2998/")</x:f>
      </x:c>
      <x:c r="D462" t="str">
        <x:v>Реанимация</x:v>
      </x:c>
      <x:c r="E462" t="str">
        <x:v>ПРОДАЖИ: Отвалы</x:v>
      </x:c>
      <x:c r="F462" t="str">
        <x:v>Иван Халин</x:v>
      </x:c>
      <x:c r="G462" t="str">
        <x:v>нет</x:v>
      </x:c>
      <x:c r="H462" t="str">
        <x:v>нет</x:v>
      </x:c>
    </x:row>
    <x:row r="463">
      <x:c r="A463" t="str">
        <x:v>3000</x:v>
      </x:c>
      <x:c r="B463" t="str">
        <x:v>Стоматологическая клиника Денто А.С. в Сокольниках</x:v>
      </x:c>
      <x:c r="C463" t="e">
        <x:f>HYPERLINK("https://belberrycrm.bitrix24.ru/crm/deal/details/3000/","https://belberrycrm.bitrix24.ru/crm/deal/details/3000/")</x:f>
      </x:c>
      <x:c r="D463" t="str">
        <x:v>Реанимация</x:v>
      </x:c>
      <x:c r="E463" t="str">
        <x:v>ПРОДАЖИ: Отвалы</x:v>
      </x:c>
      <x:c r="F463" t="str">
        <x:v>Иван Халин</x:v>
      </x:c>
      <x:c r="G463" t="str">
        <x:v>нет</x:v>
      </x:c>
      <x:c r="H463" t="str">
        <x:v>нет</x:v>
      </x:c>
    </x:row>
    <x:row r="464">
      <x:c r="A464" t="str">
        <x:v>3008</x:v>
      </x:c>
      <x:c r="B464" t="str">
        <x:v>biogenmed.uz</x:v>
      </x:c>
      <x:c r="C464" t="e">
        <x:f>HYPERLINK("https://belberrycrm.bitrix24.ru/crm/deal/details/3008/","https://belberrycrm.bitrix24.ru/crm/deal/details/3008/")</x:f>
      </x:c>
      <x:c r="D464" t="str">
        <x:v>Реанимация</x:v>
      </x:c>
      <x:c r="E464" t="str">
        <x:v>ПРОДАЖИ: Отвалы</x:v>
      </x:c>
      <x:c r="F464" t="str">
        <x:v>Иван Халин</x:v>
      </x:c>
      <x:c r="G464" t="str">
        <x:v>нет</x:v>
      </x:c>
      <x:c r="H464" t="str">
        <x:v>нет</x:v>
      </x:c>
    </x:row>
    <x:row r="465">
      <x:c r="A465" t="str">
        <x:v>3012</x:v>
      </x:c>
      <x:c r="B465" t="str">
        <x:v>mc-zp.ru</x:v>
      </x:c>
      <x:c r="C465" t="e">
        <x:f>HYPERLINK("https://belberrycrm.bitrix24.ru/crm/deal/details/3012/","https://belberrycrm.bitrix24.ru/crm/deal/details/3012/")</x:f>
      </x:c>
      <x:c r="D465" t="str">
        <x:v>Реанимация</x:v>
      </x:c>
      <x:c r="E465" t="str">
        <x:v>ПРОДАЖИ: Отвалы</x:v>
      </x:c>
      <x:c r="F465" t="str">
        <x:v>Иван Халин</x:v>
      </x:c>
      <x:c r="G465" t="str">
        <x:v>нет</x:v>
      </x:c>
      <x:c r="H465" t="str">
        <x:v>нет</x:v>
      </x:c>
    </x:row>
    <x:row r="466">
      <x:c r="A466" t="str">
        <x:v>3014</x:v>
      </x:c>
      <x:c r="B466" t="str">
        <x:v>Стоматология в Санкт-Петербурге</x:v>
      </x:c>
      <x:c r="C466" t="e">
        <x:f>HYPERLINK("https://belberrycrm.bitrix24.ru/crm/deal/details/3014/","https://belberrycrm.bitrix24.ru/crm/deal/details/3014/")</x:f>
      </x:c>
      <x:c r="D466" t="str">
        <x:v>Реанимация</x:v>
      </x:c>
      <x:c r="E466" t="str">
        <x:v>ПРОДАЖИ: Отвалы</x:v>
      </x:c>
      <x:c r="F466" t="str">
        <x:v>Иван Халин</x:v>
      </x:c>
      <x:c r="G466" t="str">
        <x:v>нет</x:v>
      </x:c>
      <x:c r="H466" t="str">
        <x:v>нет</x:v>
      </x:c>
    </x:row>
    <x:row r="467">
      <x:c r="A467" t="str">
        <x:v>3016</x:v>
      </x:c>
      <x:c r="B467" t="str">
        <x:v>cosmolab.moscow</x:v>
      </x:c>
      <x:c r="C467" t="e">
        <x:f>HYPERLINK("https://belberrycrm.bitrix24.ru/crm/deal/details/3016/","https://belberrycrm.bitrix24.ru/crm/deal/details/3016/")</x:f>
      </x:c>
      <x:c r="D467" t="str">
        <x:v>Реанимация</x:v>
      </x:c>
      <x:c r="E467" t="str">
        <x:v>ПРОДАЖИ: Отвалы</x:v>
      </x:c>
      <x:c r="F467" t="str">
        <x:v>Иван Халин</x:v>
      </x:c>
      <x:c r="G467" t="str">
        <x:v>нет</x:v>
      </x:c>
      <x:c r="H467" t="str">
        <x:v>нет</x:v>
      </x:c>
    </x:row>
    <x:row r="468">
      <x:c r="A468" t="str">
        <x:v>3026</x:v>
      </x:c>
      <x:c r="B468" t="str">
        <x:v>Наталья (интересует сайт на нашем шаблоне для стоматологии)</x:v>
      </x:c>
      <x:c r="C468" t="e">
        <x:f>HYPERLINK("https://belberrycrm.bitrix24.ru/crm/deal/details/3026/","https://belberrycrm.bitrix24.ru/crm/deal/details/3026/")</x:f>
      </x:c>
      <x:c r="D468" t="str">
        <x:v>Реанимация</x:v>
      </x:c>
      <x:c r="E468" t="str">
        <x:v>ПРОДАЖИ: Отвалы</x:v>
      </x:c>
      <x:c r="F468" t="str">
        <x:v>Иван Халин</x:v>
      </x:c>
      <x:c r="G468" t="str">
        <x:v>нет</x:v>
      </x:c>
      <x:c r="H468" t="str">
        <x:v>нет</x:v>
      </x:c>
    </x:row>
    <x:row r="469">
      <x:c r="A469" t="str">
        <x:v>3034</x:v>
      </x:c>
      <x:c r="B469" t="str">
        <x:v>vitadent-m.ru</x:v>
      </x:c>
      <x:c r="C469" t="e">
        <x:f>HYPERLINK("https://belberrycrm.bitrix24.ru/crm/deal/details/3034/","https://belberrycrm.bitrix24.ru/crm/deal/details/3034/")</x:f>
      </x:c>
      <x:c r="D469" t="str">
        <x:v>Реанимация</x:v>
      </x:c>
      <x:c r="E469" t="str">
        <x:v>ПРОДАЖИ: Отвалы</x:v>
      </x:c>
      <x:c r="F469" t="str">
        <x:v>Евгений Щемелёв</x:v>
      </x:c>
      <x:c r="G469" t="str">
        <x:v>да</x:v>
      </x:c>
      <x:c r="H469" t="str">
        <x:v>нет</x:v>
      </x:c>
    </x:row>
    <x:row r="470">
      <x:c r="A470" t="str">
        <x:v>3038</x:v>
      </x:c>
      <x:c r="B470" t="str">
        <x:v>Школа Здорово Спины</x:v>
      </x:c>
      <x:c r="C470" t="e">
        <x:f>HYPERLINK("https://belberrycrm.bitrix24.ru/crm/deal/details/3038/","https://belberrycrm.bitrix24.ru/crm/deal/details/3038/")</x:f>
      </x:c>
      <x:c r="D470" t="str">
        <x:v>Реанимация</x:v>
      </x:c>
      <x:c r="E470" t="str">
        <x:v>ПРОДАЖИ: Отвалы</x:v>
      </x:c>
      <x:c r="F470" t="str">
        <x:v>Даниил Касаткин</x:v>
      </x:c>
      <x:c r="G470" t="str">
        <x:v>нет</x:v>
      </x:c>
      <x:c r="H470" t="str">
        <x:v>нет</x:v>
      </x:c>
    </x:row>
    <x:row r="471">
      <x:c r="A471" t="str">
        <x:v>3040</x:v>
      </x:c>
      <x:c r="B471" t="str">
        <x:v>vazhnayapersona.ru</x:v>
      </x:c>
      <x:c r="C471" t="e">
        <x:f>HYPERLINK("https://belberrycrm.bitrix24.ru/crm/deal/details/3040/","https://belberrycrm.bitrix24.ru/crm/deal/details/3040/")</x:f>
      </x:c>
      <x:c r="D471" t="str">
        <x:v>Реанимация</x:v>
      </x:c>
      <x:c r="E471" t="str">
        <x:v>ПРОДАЖИ: Отвалы</x:v>
      </x:c>
      <x:c r="F471" t="str">
        <x:v>Иван Халин</x:v>
      </x:c>
      <x:c r="G471" t="str">
        <x:v>нет</x:v>
      </x:c>
      <x:c r="H471" t="str">
        <x:v>нет</x:v>
      </x:c>
    </x:row>
    <x:row r="472">
      <x:c r="A472" t="str">
        <x:v>3044</x:v>
      </x:c>
      <x:c r="B472" t="str">
        <x:v>Авторский сайт врача-биоэнерготерапевта Андрея Волкова</x:v>
      </x:c>
      <x:c r="C472" t="e">
        <x:f>HYPERLINK("https://belberrycrm.bitrix24.ru/crm/deal/details/3044/","https://belberrycrm.bitrix24.ru/crm/deal/details/3044/")</x:f>
      </x:c>
      <x:c r="D472" t="str">
        <x:v>Реанимация</x:v>
      </x:c>
      <x:c r="E472" t="str">
        <x:v>ПРОДАЖИ: Отвалы</x:v>
      </x:c>
      <x:c r="F472" t="str">
        <x:v>Иван Халин</x:v>
      </x:c>
      <x:c r="G472" t="str">
        <x:v>нет</x:v>
      </x:c>
      <x:c r="H472" t="str">
        <x:v>нет</x:v>
      </x:c>
    </x:row>
    <x:row r="473">
      <x:c r="A473" t="str">
        <x:v>3050</x:v>
      </x:c>
      <x:c r="B473" t="str">
        <x:v>maki-clinic.ru</x:v>
      </x:c>
      <x:c r="C473" t="e">
        <x:f>HYPERLINK("https://belberrycrm.bitrix24.ru/crm/deal/details/3050/","https://belberrycrm.bitrix24.ru/crm/deal/details/3050/")</x:f>
      </x:c>
      <x:c r="D473" t="str">
        <x:v>Реанимация</x:v>
      </x:c>
      <x:c r="E473" t="str">
        <x:v>ПРОДАЖИ: Отвалы</x:v>
      </x:c>
      <x:c r="F473" t="str">
        <x:v>Иван Халин</x:v>
      </x:c>
      <x:c r="G473" t="str">
        <x:v>нет</x:v>
      </x:c>
      <x:c r="H473" t="str">
        <x:v>нет</x:v>
      </x:c>
    </x:row>
    <x:row r="474">
      <x:c r="A474" t="str">
        <x:v>3052</x:v>
      </x:c>
      <x:c r="B474" t="str">
        <x:v>veinaest.pro</x:v>
      </x:c>
      <x:c r="C474" t="e">
        <x:f>HYPERLINK("https://belberrycrm.bitrix24.ru/crm/deal/details/3052/","https://belberrycrm.bitrix24.ru/crm/deal/details/3052/")</x:f>
      </x:c>
      <x:c r="D474" t="str">
        <x:v>Реанимация</x:v>
      </x:c>
      <x:c r="E474" t="str">
        <x:v>ПРОДАЖИ: Отвалы</x:v>
      </x:c>
      <x:c r="F474" t="str">
        <x:v>Иван Халин</x:v>
      </x:c>
      <x:c r="G474" t="str">
        <x:v>нет</x:v>
      </x:c>
      <x:c r="H474" t="str">
        <x:v>нет</x:v>
      </x:c>
    </x:row>
    <x:row r="475">
      <x:c r="A475" t="str">
        <x:v>3054</x:v>
      </x:c>
      <x:c r="B475" t="str">
        <x:v>Врач флеболог</x:v>
      </x:c>
      <x:c r="C475" t="e">
        <x:f>HYPERLINK("https://belberrycrm.bitrix24.ru/crm/deal/details/3054/","https://belberrycrm.bitrix24.ru/crm/deal/details/3054/")</x:f>
      </x:c>
      <x:c r="D475" t="str">
        <x:v>Реанимация</x:v>
      </x:c>
      <x:c r="E475" t="str">
        <x:v>ПРОДАЖИ: Отвалы</x:v>
      </x:c>
      <x:c r="F475" t="str">
        <x:v>Иван Халин</x:v>
      </x:c>
      <x:c r="G475" t="str">
        <x:v>нет</x:v>
      </x:c>
      <x:c r="H475" t="str">
        <x:v>нет</x:v>
      </x:c>
    </x:row>
    <x:row r="476">
      <x:c r="A476" t="str">
        <x:v>3056</x:v>
      </x:c>
      <x:c r="B476" t="str">
        <x:v>cabel-info.ru</x:v>
      </x:c>
      <x:c r="C476" t="e">
        <x:f>HYPERLINK("https://belberrycrm.bitrix24.ru/crm/deal/details/3056/","https://belberrycrm.bitrix24.ru/crm/deal/details/3056/")</x:f>
      </x:c>
      <x:c r="D476" t="str">
        <x:v>Реанимация</x:v>
      </x:c>
      <x:c r="E476" t="str">
        <x:v>ПРОДАЖИ: Отвалы</x:v>
      </x:c>
      <x:c r="F476" t="str">
        <x:v>Иван Халин</x:v>
      </x:c>
      <x:c r="G476" t="str">
        <x:v>нет</x:v>
      </x:c>
      <x:c r="H476" t="str">
        <x:v>нет</x:v>
      </x:c>
    </x:row>
    <x:row r="477">
      <x:c r="A477" t="str">
        <x:v>3058</x:v>
      </x:c>
      <x:c r="B477" t="str">
        <x:v>diagnocat.ru</x:v>
      </x:c>
      <x:c r="C477" t="e">
        <x:f>HYPERLINK("https://belberrycrm.bitrix24.ru/crm/deal/details/3058/","https://belberrycrm.bitrix24.ru/crm/deal/details/3058/")</x:f>
      </x:c>
      <x:c r="D477" t="str">
        <x:v>Реанимация</x:v>
      </x:c>
      <x:c r="E477" t="str">
        <x:v>ПРОДАЖИ: Отвалы</x:v>
      </x:c>
      <x:c r="F477" t="str">
        <x:v>Иван Халин</x:v>
      </x:c>
      <x:c r="G477" t="str">
        <x:v>нет</x:v>
      </x:c>
      <x:c r="H477" t="str">
        <x:v>нет</x:v>
      </x:c>
    </x:row>
    <x:row r="478">
      <x:c r="A478" t="str">
        <x:v>3060</x:v>
      </x:c>
      <x:c r="B478" t="str">
        <x:v>irtclinic.ru</x:v>
      </x:c>
      <x:c r="C478" t="e">
        <x:f>HYPERLINK("https://belberrycrm.bitrix24.ru/crm/deal/details/3060/","https://belberrycrm.bitrix24.ru/crm/deal/details/3060/")</x:f>
      </x:c>
      <x:c r="D478" t="str">
        <x:v>Реанимация</x:v>
      </x:c>
      <x:c r="E478" t="str">
        <x:v>ПРОДАЖИ: Отвалы</x:v>
      </x:c>
      <x:c r="F478" t="str">
        <x:v>Иван Халин</x:v>
      </x:c>
      <x:c r="G478" t="str">
        <x:v>нет</x:v>
      </x:c>
      <x:c r="H478" t="str">
        <x:v>нет</x:v>
      </x:c>
    </x:row>
    <x:row r="479">
      <x:c r="A479" t="str">
        <x:v>3066</x:v>
      </x:c>
      <x:c r="B479" t="str">
        <x:v>zub-nedorogo.ru</x:v>
      </x:c>
      <x:c r="C479" t="e">
        <x:f>HYPERLINK("https://belberrycrm.bitrix24.ru/crm/deal/details/3066/","https://belberrycrm.bitrix24.ru/crm/deal/details/3066/")</x:f>
      </x:c>
      <x:c r="D479" t="str">
        <x:v>Реанимация</x:v>
      </x:c>
      <x:c r="E479" t="str">
        <x:v>ПРОДАЖИ: Отвалы</x:v>
      </x:c>
      <x:c r="F479" t="str">
        <x:v>Иван Халин</x:v>
      </x:c>
      <x:c r="G479" t="str">
        <x:v>да</x:v>
      </x:c>
      <x:c r="H479" t="str">
        <x:v>нет</x:v>
      </x:c>
    </x:row>
    <x:row r="480">
      <x:c r="A480" t="str">
        <x:v>3068</x:v>
      </x:c>
      <x:c r="B480" t="str">
        <x:v>miralain.ru</x:v>
      </x:c>
      <x:c r="C480" t="e">
        <x:f>HYPERLINK("https://belberrycrm.bitrix24.ru/crm/deal/details/3068/","https://belberrycrm.bitrix24.ru/crm/deal/details/3068/")</x:f>
      </x:c>
      <x:c r="D480" t="str">
        <x:v>Реанимация</x:v>
      </x:c>
      <x:c r="E480" t="str">
        <x:v>ПРОДАЖИ: Отвалы</x:v>
      </x:c>
      <x:c r="F480" t="str">
        <x:v>Иван Халин</x:v>
      </x:c>
      <x:c r="G480" t="str">
        <x:v>нет</x:v>
      </x:c>
      <x:c r="H480" t="str">
        <x:v>нет</x:v>
      </x:c>
    </x:row>
    <x:row r="481">
      <x:c r="A481" t="str">
        <x:v>3070</x:v>
      </x:c>
      <x:c r="B481" t="str">
        <x:v>epi-jay.ru</x:v>
      </x:c>
      <x:c r="C481" t="e">
        <x:f>HYPERLINK("https://belberrycrm.bitrix24.ru/crm/deal/details/3070/","https://belberrycrm.bitrix24.ru/crm/deal/details/3070/")</x:f>
      </x:c>
      <x:c r="D481" t="str">
        <x:v>Реанимация</x:v>
      </x:c>
      <x:c r="E481" t="str">
        <x:v>ПРОДАЖИ: Отвалы</x:v>
      </x:c>
      <x:c r="F481" t="str">
        <x:v>Иван Халин</x:v>
      </x:c>
      <x:c r="G481" t="str">
        <x:v>нет</x:v>
      </x:c>
      <x:c r="H481" t="str">
        <x:v>нет</x:v>
      </x:c>
    </x:row>
    <x:row r="482">
      <x:c r="A482" t="str">
        <x:v>3078</x:v>
      </x:c>
      <x:c r="B482" t="str">
        <x:v>dentaireavenirclinique.ru</x:v>
      </x:c>
      <x:c r="C482" t="e">
        <x:f>HYPERLINK("https://belberrycrm.bitrix24.ru/crm/deal/details/3078/","https://belberrycrm.bitrix24.ru/crm/deal/details/3078/")</x:f>
      </x:c>
      <x:c r="D482" t="str">
        <x:v>Реанимация</x:v>
      </x:c>
      <x:c r="E482" t="str">
        <x:v>ПРОДАЖИ: Отвалы</x:v>
      </x:c>
      <x:c r="F482" t="str">
        <x:v>Иван Халин</x:v>
      </x:c>
      <x:c r="G482" t="str">
        <x:v>нет</x:v>
      </x:c>
      <x:c r="H482" t="str">
        <x:v>нет</x:v>
      </x:c>
    </x:row>
    <x:row r="483">
      <x:c r="A483" t="str">
        <x:v>3082</x:v>
      </x:c>
      <x:c r="B483" t="str">
        <x:v>estetiklifevrn.ru</x:v>
      </x:c>
      <x:c r="C483" t="e">
        <x:f>HYPERLINK("https://belberrycrm.bitrix24.ru/crm/deal/details/3082/","https://belberrycrm.bitrix24.ru/crm/deal/details/3082/")</x:f>
      </x:c>
      <x:c r="D483" t="str">
        <x:v>Реанимация</x:v>
      </x:c>
      <x:c r="E483" t="str">
        <x:v>ПРОДАЖИ: Отвалы</x:v>
      </x:c>
      <x:c r="F483" t="str">
        <x:v>Иван Халин</x:v>
      </x:c>
      <x:c r="G483" t="str">
        <x:v>нет</x:v>
      </x:c>
      <x:c r="H483" t="str">
        <x:v>нет</x:v>
      </x:c>
    </x:row>
    <x:row r="484">
      <x:c r="A484" t="str">
        <x:v>3090</x:v>
      </x:c>
      <x:c r="B484" t="str">
        <x:v>polza.diet</x:v>
      </x:c>
      <x:c r="C484" t="e">
        <x:f>HYPERLINK("https://belberrycrm.bitrix24.ru/crm/deal/details/3090/","https://belberrycrm.bitrix24.ru/crm/deal/details/3090/")</x:f>
      </x:c>
      <x:c r="D484" t="str">
        <x:v>Реанимация</x:v>
      </x:c>
      <x:c r="E484" t="str">
        <x:v>ПРОДАЖИ: Отвалы</x:v>
      </x:c>
      <x:c r="F484" t="str">
        <x:v>Иван Халин</x:v>
      </x:c>
      <x:c r="G484" t="str">
        <x:v>да</x:v>
      </x:c>
      <x:c r="H484" t="str">
        <x:v>нет</x:v>
      </x:c>
    </x:row>
    <x:row r="485">
      <x:c r="A485" t="str">
        <x:v>3096</x:v>
      </x:c>
      <x:c r="B485" t="str">
        <x:v>aurumpluc.ru</x:v>
      </x:c>
      <x:c r="C485" t="e">
        <x:f>HYPERLINK("https://belberrycrm.bitrix24.ru/crm/deal/details/3096/","https://belberrycrm.bitrix24.ru/crm/deal/details/3096/")</x:f>
      </x:c>
      <x:c r="D485" t="str">
        <x:v>Реанимация</x:v>
      </x:c>
      <x:c r="E485" t="str">
        <x:v>ПРОДАЖИ: Отвалы</x:v>
      </x:c>
      <x:c r="F485" t="str">
        <x:v>Иван Халин</x:v>
      </x:c>
      <x:c r="G485" t="str">
        <x:v>нет</x:v>
      </x:c>
      <x:c r="H485" t="str">
        <x:v>нет</x:v>
      </x:c>
    </x:row>
    <x:row r="486">
      <x:c r="A486" t="str">
        <x:v>3102</x:v>
      </x:c>
      <x:c r="B486" t="str">
        <x:v>Людмила Морозова</x:v>
      </x:c>
      <x:c r="C486" t="e">
        <x:f>HYPERLINK("https://belberrycrm.bitrix24.ru/crm/deal/details/3102/","https://belberrycrm.bitrix24.ru/crm/deal/details/3102/")</x:f>
      </x:c>
      <x:c r="D486" t="str">
        <x:v>Реанимация</x:v>
      </x:c>
      <x:c r="E486" t="str">
        <x:v>ПРОДАЖИ: Отвалы</x:v>
      </x:c>
      <x:c r="F486" t="str">
        <x:v>Иван Халин</x:v>
      </x:c>
      <x:c r="G486" t="str">
        <x:v>нет</x:v>
      </x:c>
      <x:c r="H486" t="str">
        <x:v>нет</x:v>
      </x:c>
    </x:row>
    <x:row r="487">
      <x:c r="A487" t="str">
        <x:v>3104</x:v>
      </x:c>
      <x:c r="B487" t="str">
        <x:v>Елена Николаевна Ивченкова</x:v>
      </x:c>
      <x:c r="C487" t="e">
        <x:f>HYPERLINK("https://belberrycrm.bitrix24.ru/crm/deal/details/3104/","https://belberrycrm.bitrix24.ru/crm/deal/details/3104/")</x:f>
      </x:c>
      <x:c r="D487" t="str">
        <x:v>Реанимация</x:v>
      </x:c>
      <x:c r="E487" t="str">
        <x:v>ПРОДАЖИ: Отвалы</x:v>
      </x:c>
      <x:c r="F487" t="str">
        <x:v>Иван Халин</x:v>
      </x:c>
      <x:c r="G487" t="str">
        <x:v>нет</x:v>
      </x:c>
      <x:c r="H487" t="str">
        <x:v>нет</x:v>
      </x:c>
    </x:row>
    <x:row r="488">
      <x:c r="A488" t="str">
        <x:v>3114</x:v>
      </x:c>
      <x:c r="B488" t="str">
        <x:v>stilmiroslav.ru</x:v>
      </x:c>
      <x:c r="C488" t="e">
        <x:f>HYPERLINK("https://belberrycrm.bitrix24.ru/crm/deal/details/3114/","https://belberrycrm.bitrix24.ru/crm/deal/details/3114/")</x:f>
      </x:c>
      <x:c r="D488" t="str">
        <x:v>Реанимация</x:v>
      </x:c>
      <x:c r="E488" t="str">
        <x:v>ПРОДАЖИ: Отвалы</x:v>
      </x:c>
      <x:c r="F488" t="str">
        <x:v>Иван Халин</x:v>
      </x:c>
      <x:c r="G488" t="str">
        <x:v>нет</x:v>
      </x:c>
      <x:c r="H488" t="str">
        <x:v>нет</x:v>
      </x:c>
    </x:row>
    <x:row r="489">
      <x:c r="A489" t="str">
        <x:v>3116</x:v>
      </x:c>
      <x:c r="B489" t="str">
        <x:v>ttl24.ru</x:v>
      </x:c>
      <x:c r="C489" t="e">
        <x:f>HYPERLINK("https://belberrycrm.bitrix24.ru/crm/deal/details/3116/","https://belberrycrm.bitrix24.ru/crm/deal/details/3116/")</x:f>
      </x:c>
      <x:c r="D489" t="str">
        <x:v>Реанимация</x:v>
      </x:c>
      <x:c r="E489" t="str">
        <x:v>ПРОДАЖИ: Отвалы</x:v>
      </x:c>
      <x:c r="F489" t="str">
        <x:v>Иван Халин</x:v>
      </x:c>
      <x:c r="G489" t="str">
        <x:v>нет</x:v>
      </x:c>
      <x:c r="H489" t="str">
        <x:v>нет</x:v>
      </x:c>
    </x:row>
    <x:row r="490">
      <x:c r="A490" t="str">
        <x:v>3120</x:v>
      </x:c>
      <x:c r="B490" t="str">
        <x:v>Татьяна Евтеева</x:v>
      </x:c>
      <x:c r="C490" t="e">
        <x:f>HYPERLINK("https://belberrycrm.bitrix24.ru/crm/deal/details/3120/","https://belberrycrm.bitrix24.ru/crm/deal/details/3120/")</x:f>
      </x:c>
      <x:c r="D490" t="str">
        <x:v>Реанимация</x:v>
      </x:c>
      <x:c r="E490" t="str">
        <x:v>ПРОДАЖИ: Отвалы</x:v>
      </x:c>
      <x:c r="F490" t="str">
        <x:v>Даниил Касаткин</x:v>
      </x:c>
      <x:c r="G490" t="str">
        <x:v>нет</x:v>
      </x:c>
      <x:c r="H490" t="str">
        <x:v>нет</x:v>
      </x:c>
    </x:row>
    <x:row r="491">
      <x:c r="A491" t="str">
        <x:v>3132</x:v>
      </x:c>
      <x:c r="B491" t="str">
        <x:v>gelendzhik.clinic</x:v>
      </x:c>
      <x:c r="C491" t="e">
        <x:f>HYPERLINK("https://belberrycrm.bitrix24.ru/crm/deal/details/3132/","https://belberrycrm.bitrix24.ru/crm/deal/details/3132/")</x:f>
      </x:c>
      <x:c r="D491" t="str">
        <x:v>Реанимация</x:v>
      </x:c>
      <x:c r="E491" t="str">
        <x:v>ПРОДАЖИ: Отвалы</x:v>
      </x:c>
      <x:c r="F491" t="str">
        <x:v>Иван Халин</x:v>
      </x:c>
      <x:c r="G491" t="str">
        <x:v>нет</x:v>
      </x:c>
      <x:c r="H491" t="str">
        <x:v>нет</x:v>
      </x:c>
    </x:row>
    <x:row r="492">
      <x:c r="A492" t="str">
        <x:v>3162</x:v>
      </x:c>
      <x:c r="B492" t="str">
        <x:v>Хатия</x:v>
      </x:c>
      <x:c r="C492" t="e">
        <x:f>HYPERLINK("https://belberrycrm.bitrix24.ru/crm/deal/details/3162/","https://belberrycrm.bitrix24.ru/crm/deal/details/3162/")</x:f>
      </x:c>
      <x:c r="D492" t="str">
        <x:v>Реанимация</x:v>
      </x:c>
      <x:c r="E492" t="str">
        <x:v>ПРОДАЖИ: Отвалы</x:v>
      </x:c>
      <x:c r="F492" t="str">
        <x:v>Иван Халин</x:v>
      </x:c>
      <x:c r="G492" t="str">
        <x:v>нет</x:v>
      </x:c>
      <x:c r="H492" t="str">
        <x:v>нет</x:v>
      </x:c>
    </x:row>
    <x:row r="493">
      <x:c r="A493" t="str">
        <x:v>3168</x:v>
      </x:c>
      <x:c r="B493" t="str">
        <x:v>лечимзубы.москва</x:v>
      </x:c>
      <x:c r="C493" t="e">
        <x:f>HYPERLINK("https://belberrycrm.bitrix24.ru/crm/deal/details/3168/","https://belberrycrm.bitrix24.ru/crm/deal/details/3168/")</x:f>
      </x:c>
      <x:c r="D493" t="str">
        <x:v>Реанимация</x:v>
      </x:c>
      <x:c r="E493" t="str">
        <x:v>ПРОДАЖИ: Отвалы</x:v>
      </x:c>
      <x:c r="F493" t="str">
        <x:v>Иван Халин</x:v>
      </x:c>
      <x:c r="G493" t="str">
        <x:v>нет</x:v>
      </x:c>
      <x:c r="H493" t="str">
        <x:v>нет</x:v>
      </x:c>
    </x:row>
    <x:row r="494">
      <x:c r="A494" t="str">
        <x:v>3170</x:v>
      </x:c>
      <x:c r="B494" t="str">
        <x:v>Studio Queen</x:v>
      </x:c>
      <x:c r="C494" t="e">
        <x:f>HYPERLINK("https://belberrycrm.bitrix24.ru/crm/deal/details/3170/","https://belberrycrm.bitrix24.ru/crm/deal/details/3170/")</x:f>
      </x:c>
      <x:c r="D494" t="str">
        <x:v>Реанимация</x:v>
      </x:c>
      <x:c r="E494" t="str">
        <x:v>ПРОДАЖИ: Отвалы</x:v>
      </x:c>
      <x:c r="F494" t="str">
        <x:v>Админ всея Belberry</x:v>
      </x:c>
      <x:c r="G494" t="str">
        <x:v>нет</x:v>
      </x:c>
      <x:c r="H494" t="str">
        <x:v>нет</x:v>
      </x:c>
    </x:row>
    <x:row r="495">
      <x:c r="A495" t="str">
        <x:v>3178</x:v>
      </x:c>
      <x:c r="B495" t="str">
        <x:v>dentprestige.ru</x:v>
      </x:c>
      <x:c r="C495" t="e">
        <x:f>HYPERLINK("https://belberrycrm.bitrix24.ru/crm/deal/details/3178/","https://belberrycrm.bitrix24.ru/crm/deal/details/3178/")</x:f>
      </x:c>
      <x:c r="D495" t="str">
        <x:v>Реанимация</x:v>
      </x:c>
      <x:c r="E495" t="str">
        <x:v>ПРОДАЖИ: Отвалы</x:v>
      </x:c>
      <x:c r="F495" t="str">
        <x:v>Иван Халин</x:v>
      </x:c>
      <x:c r="G495" t="str">
        <x:v>нет</x:v>
      </x:c>
      <x:c r="H495" t="str">
        <x:v>нет</x:v>
      </x:c>
    </x:row>
    <x:row r="496">
      <x:c r="A496" t="str">
        <x:v>3192</x:v>
      </x:c>
      <x:c r="B496" t="str">
        <x:v>mdclinica.ru</x:v>
      </x:c>
      <x:c r="C496" t="e">
        <x:f>HYPERLINK("https://belberrycrm.bitrix24.ru/crm/deal/details/3192/","https://belberrycrm.bitrix24.ru/crm/deal/details/3192/")</x:f>
      </x:c>
      <x:c r="D496" t="str">
        <x:v>Реанимация</x:v>
      </x:c>
      <x:c r="E496" t="str">
        <x:v>ПРОДАЖИ: Отвалы</x:v>
      </x:c>
      <x:c r="F496" t="str">
        <x:v>Админ всея Belberry</x:v>
      </x:c>
      <x:c r="G496" t="str">
        <x:v>нет</x:v>
      </x:c>
      <x:c r="H496" t="str">
        <x:v>нет</x:v>
      </x:c>
    </x:row>
    <x:row r="497">
      <x:c r="A497" t="str">
        <x:v>3194</x:v>
      </x:c>
      <x:c r="B497" t="str">
        <x:v>ls-stom.ru</x:v>
      </x:c>
      <x:c r="C497" t="e">
        <x:f>HYPERLINK("https://belberrycrm.bitrix24.ru/crm/deal/details/3194/","https://belberrycrm.bitrix24.ru/crm/deal/details/3194/")</x:f>
      </x:c>
      <x:c r="D497" t="str">
        <x:v>Реанимация</x:v>
      </x:c>
      <x:c r="E497" t="str">
        <x:v>ПРОДАЖИ: Отвалы</x:v>
      </x:c>
      <x:c r="F497" t="str">
        <x:v>Иван Халин</x:v>
      </x:c>
      <x:c r="G497" t="str">
        <x:v>нет</x:v>
      </x:c>
      <x:c r="H497" t="str">
        <x:v>нет</x:v>
      </x:c>
    </x:row>
    <x:row r="498">
      <x:c r="A498" t="str">
        <x:v>3200</x:v>
      </x:c>
      <x:c r="B498" t="str">
        <x:v>foxdent.ru</x:v>
      </x:c>
      <x:c r="C498" t="e">
        <x:f>HYPERLINK("https://belberrycrm.bitrix24.ru/crm/deal/details/3200/","https://belberrycrm.bitrix24.ru/crm/deal/details/3200/")</x:f>
      </x:c>
      <x:c r="D498" t="str">
        <x:v>Реанимация</x:v>
      </x:c>
      <x:c r="E498" t="str">
        <x:v>ПРОДАЖИ: Отвалы</x:v>
      </x:c>
      <x:c r="F498" t="str">
        <x:v>Даниил Касаткин</x:v>
      </x:c>
      <x:c r="G498" t="str">
        <x:v>нет</x:v>
      </x:c>
      <x:c r="H498" t="str">
        <x:v>нет</x:v>
      </x:c>
    </x:row>
    <x:row r="499">
      <x:c r="A499" t="str">
        <x:v>3216</x:v>
      </x:c>
      <x:c r="B499" t="str">
        <x:v>uzikolomenskaya.ru</x:v>
      </x:c>
      <x:c r="C499" t="e">
        <x:f>HYPERLINK("https://belberrycrm.bitrix24.ru/crm/deal/details/3216/","https://belberrycrm.bitrix24.ru/crm/deal/details/3216/")</x:f>
      </x:c>
      <x:c r="D499" t="str">
        <x:v>Реанимация</x:v>
      </x:c>
      <x:c r="E499" t="str">
        <x:v>ПРОДАЖИ: Отвалы</x:v>
      </x:c>
      <x:c r="F499" t="str">
        <x:v>Даниил Касаткин</x:v>
      </x:c>
      <x:c r="G499" t="str">
        <x:v>нет</x:v>
      </x:c>
      <x:c r="H499" t="str">
        <x:v>нет</x:v>
      </x:c>
    </x:row>
    <x:row r="500">
      <x:c r="A500" t="str">
        <x:v>3222</x:v>
      </x:c>
      <x:c r="B500" t="str">
        <x:v>pdc-clinic.ru</x:v>
      </x:c>
      <x:c r="C500" t="e">
        <x:f>HYPERLINK("https://belberrycrm.bitrix24.ru/crm/deal/details/3222/","https://belberrycrm.bitrix24.ru/crm/deal/details/3222/")</x:f>
      </x:c>
      <x:c r="D500" t="str">
        <x:v>Реанимация</x:v>
      </x:c>
      <x:c r="E500" t="str">
        <x:v>ПРОДАЖИ: Отвалы</x:v>
      </x:c>
      <x:c r="F500" t="str">
        <x:v>Иван Халин</x:v>
      </x:c>
      <x:c r="G500" t="str">
        <x:v>нет</x:v>
      </x:c>
      <x:c r="H500" t="str">
        <x:v>нет</x:v>
      </x:c>
    </x:row>
    <x:row r="501">
      <x:c r="A501" t="str">
        <x:v>3234</x:v>
      </x:c>
      <x:c r="B501" t="str">
        <x:v>Неврология +</x:v>
      </x:c>
      <x:c r="C501" t="e">
        <x:f>HYPERLINK("https://belberrycrm.bitrix24.ru/crm/deal/details/3234/","https://belberrycrm.bitrix24.ru/crm/deal/details/3234/")</x:f>
      </x:c>
      <x:c r="D501" t="str">
        <x:v>Реанимация</x:v>
      </x:c>
      <x:c r="E501" t="str">
        <x:v>ПРОДАЖИ: Отвалы</x:v>
      </x:c>
      <x:c r="F501" t="str">
        <x:v>Иван Халин</x:v>
      </x:c>
      <x:c r="G501" t="str">
        <x:v>нет</x:v>
      </x:c>
      <x:c r="H501" t="str">
        <x:v>нет</x:v>
      </x:c>
    </x:row>
    <x:row r="502">
      <x:c r="A502" t="str">
        <x:v>3278</x:v>
      </x:c>
      <x:c r="B502" t="str">
        <x:v>alfadenta.ru</x:v>
      </x:c>
      <x:c r="C502" t="e">
        <x:f>HYPERLINK("https://belberrycrm.bitrix24.ru/crm/deal/details/3278/","https://belberrycrm.bitrix24.ru/crm/deal/details/3278/")</x:f>
      </x:c>
      <x:c r="D502" t="str">
        <x:v>Реанимация</x:v>
      </x:c>
      <x:c r="E502" t="str">
        <x:v>ПРОДАЖИ: Отвалы</x:v>
      </x:c>
      <x:c r="F502" t="str">
        <x:v>Иван Халин</x:v>
      </x:c>
      <x:c r="G502" t="str">
        <x:v>нет</x:v>
      </x:c>
      <x:c r="H502" t="str">
        <x:v>нет</x:v>
      </x:c>
    </x:row>
    <x:row r="503">
      <x:c r="A503" t="str">
        <x:v>3284</x:v>
      </x:c>
      <x:c r="B503" t="str">
        <x:v>altai-west.ru</x:v>
      </x:c>
      <x:c r="C503" t="e">
        <x:f>HYPERLINK("https://belberrycrm.bitrix24.ru/crm/deal/details/3284/","https://belberrycrm.bitrix24.ru/crm/deal/details/3284/")</x:f>
      </x:c>
      <x:c r="D503" t="str">
        <x:v>Реанимация</x:v>
      </x:c>
      <x:c r="E503" t="str">
        <x:v>ПРОДАЖИ: Отвалы</x:v>
      </x:c>
      <x:c r="F503" t="str">
        <x:v>Иван Халин</x:v>
      </x:c>
      <x:c r="G503" t="str">
        <x:v>да</x:v>
      </x:c>
      <x:c r="H503" t="str">
        <x:v>нет</x:v>
      </x:c>
    </x:row>
    <x:row r="504">
      <x:c r="A504" t="str">
        <x:v>3292</x:v>
      </x:c>
      <x:c r="B504" t="str">
        <x:v>amrita-lobnya.ru</x:v>
      </x:c>
      <x:c r="C504" t="e">
        <x:f>HYPERLINK("https://belberrycrm.bitrix24.ru/crm/deal/details/3292/","https://belberrycrm.bitrix24.ru/crm/deal/details/3292/")</x:f>
      </x:c>
      <x:c r="D504" t="str">
        <x:v>Реанимация</x:v>
      </x:c>
      <x:c r="E504" t="str">
        <x:v>ПРОДАЖИ: Отвалы</x:v>
      </x:c>
      <x:c r="F504" t="str">
        <x:v>Иван Халин</x:v>
      </x:c>
      <x:c r="G504" t="str">
        <x:v>нет</x:v>
      </x:c>
      <x:c r="H504" t="str">
        <x:v>нет</x:v>
      </x:c>
    </x:row>
    <x:row r="505">
      <x:c r="A505" t="str">
        <x:v>3294</x:v>
      </x:c>
      <x:c r="B505" t="str">
        <x:v>anle-dent.ru</x:v>
      </x:c>
      <x:c r="C505" t="e">
        <x:f>HYPERLINK("https://belberrycrm.bitrix24.ru/crm/deal/details/3294/","https://belberrycrm.bitrix24.ru/crm/deal/details/3294/")</x:f>
      </x:c>
      <x:c r="D505" t="str">
        <x:v>Реанимация</x:v>
      </x:c>
      <x:c r="E505" t="str">
        <x:v>ПРОДАЖИ: Отвалы</x:v>
      </x:c>
      <x:c r="F505" t="str">
        <x:v>Иван Халин</x:v>
      </x:c>
      <x:c r="G505" t="str">
        <x:v>нет</x:v>
      </x:c>
      <x:c r="H505" t="str">
        <x:v>нет</x:v>
      </x:c>
    </x:row>
    <x:row r="506">
      <x:c r="A506" t="str">
        <x:v>3300</x:v>
      </x:c>
      <x:c r="B506" t="str">
        <x:v>expertneuro.kz</x:v>
      </x:c>
      <x:c r="C506" t="e">
        <x:f>HYPERLINK("https://belberrycrm.bitrix24.ru/crm/deal/details/3300/","https://belberrycrm.bitrix24.ru/crm/deal/details/3300/")</x:f>
      </x:c>
      <x:c r="D506" t="str">
        <x:v>Реанимация</x:v>
      </x:c>
      <x:c r="E506" t="str">
        <x:v>ПРОДАЖИ: Отвалы</x:v>
      </x:c>
      <x:c r="F506" t="str">
        <x:v>Иван Халин</x:v>
      </x:c>
      <x:c r="G506" t="str">
        <x:v>нет</x:v>
      </x:c>
      <x:c r="H506" t="str">
        <x:v>нет</x:v>
      </x:c>
    </x:row>
    <x:row r="507">
      <x:c r="A507" t="str">
        <x:v>3304</x:v>
      </x:c>
      <x:c r="B507" t="str">
        <x:v>Марина</x:v>
      </x:c>
      <x:c r="C507" t="e">
        <x:f>HYPERLINK("https://belberrycrm.bitrix24.ru/crm/deal/details/3304/","https://belberrycrm.bitrix24.ru/crm/deal/details/3304/")</x:f>
      </x:c>
      <x:c r="D507" t="str">
        <x:v>Реанимация</x:v>
      </x:c>
      <x:c r="E507" t="str">
        <x:v>ПРОДАЖИ: Отвалы</x:v>
      </x:c>
      <x:c r="F507" t="str">
        <x:v>Иван Халин</x:v>
      </x:c>
      <x:c r="G507" t="str">
        <x:v>нет</x:v>
      </x:c>
      <x:c r="H507" t="str">
        <x:v>нет</x:v>
      </x:c>
    </x:row>
    <x:row r="508">
      <x:c r="A508" t="str">
        <x:v>3310</x:v>
      </x:c>
      <x:c r="B508" t="str">
        <x:v>site.bestwaylife.ru</x:v>
      </x:c>
      <x:c r="C508" t="e">
        <x:f>HYPERLINK("https://belberrycrm.bitrix24.ru/crm/deal/details/3310/","https://belberrycrm.bitrix24.ru/crm/deal/details/3310/")</x:f>
      </x:c>
      <x:c r="D508" t="str">
        <x:v>Реанимация</x:v>
      </x:c>
      <x:c r="E508" t="str">
        <x:v>ПРОДАЖИ: Отвалы</x:v>
      </x:c>
      <x:c r="F508" t="str">
        <x:v>Даниил Касаткин</x:v>
      </x:c>
      <x:c r="G508" t="str">
        <x:v>нет</x:v>
      </x:c>
      <x:c r="H508" t="str">
        <x:v>нет</x:v>
      </x:c>
    </x:row>
    <x:row r="509">
      <x:c r="A509" t="str">
        <x:v>3314</x:v>
      </x:c>
      <x:c r="B509" t="str">
        <x:v>clinic.msmsu.ru</x:v>
      </x:c>
      <x:c r="C509" t="e">
        <x:f>HYPERLINK("https://belberrycrm.bitrix24.ru/crm/deal/details/3314/","https://belberrycrm.bitrix24.ru/crm/deal/details/3314/")</x:f>
      </x:c>
      <x:c r="D509" t="str">
        <x:v>Реанимация</x:v>
      </x:c>
      <x:c r="E509" t="str">
        <x:v>ПРОДАЖИ: Отвалы</x:v>
      </x:c>
      <x:c r="F509" t="str">
        <x:v>Иван Халин</x:v>
      </x:c>
      <x:c r="G509" t="str">
        <x:v>да</x:v>
      </x:c>
      <x:c r="H509" t="str">
        <x:v>нет</x:v>
      </x:c>
    </x:row>
    <x:row r="510">
      <x:c r="A510" t="str">
        <x:v>3320</x:v>
      </x:c>
      <x:c r="B510" t="str">
        <x:v>Стоматология Люкс на метро Новокосино</x:v>
      </x:c>
      <x:c r="C510" t="e">
        <x:f>HYPERLINK("https://belberrycrm.bitrix24.ru/crm/deal/details/3320/","https://belberrycrm.bitrix24.ru/crm/deal/details/3320/")</x:f>
      </x:c>
      <x:c r="D510" t="str">
        <x:v>Реанимация</x:v>
      </x:c>
      <x:c r="E510" t="str">
        <x:v>ПРОДАЖИ: Отвалы</x:v>
      </x:c>
      <x:c r="F510" t="str">
        <x:v>Даниил Касаткин</x:v>
      </x:c>
      <x:c r="G510" t="str">
        <x:v>нет</x:v>
      </x:c>
      <x:c r="H510" t="str">
        <x:v>нет</x:v>
      </x:c>
    </x:row>
    <x:row r="511">
      <x:c r="A511" t="str">
        <x:v>3324</x:v>
      </x:c>
      <x:c r="B511" t="str">
        <x:v>laviani-clinic33.ru</x:v>
      </x:c>
      <x:c r="C511" t="e">
        <x:f>HYPERLINK("https://belberrycrm.bitrix24.ru/crm/deal/details/3324/","https://belberrycrm.bitrix24.ru/crm/deal/details/3324/")</x:f>
      </x:c>
      <x:c r="D511" t="str">
        <x:v>Реанимация</x:v>
      </x:c>
      <x:c r="E511" t="str">
        <x:v>ПРОДАЖИ: Отвалы</x:v>
      </x:c>
      <x:c r="F511" t="str">
        <x:v>Даниил Касаткин</x:v>
      </x:c>
      <x:c r="G511" t="str">
        <x:v>нет</x:v>
      </x:c>
      <x:c r="H511" t="str">
        <x:v>нет</x:v>
      </x:c>
    </x:row>
    <x:row r="512">
      <x:c r="A512" t="str">
        <x:v>3326</x:v>
      </x:c>
      <x:c r="B512" t="str">
        <x:v>astraclinic.ru</x:v>
      </x:c>
      <x:c r="C512" t="e">
        <x:f>HYPERLINK("https://belberrycrm.bitrix24.ru/crm/deal/details/3326/","https://belberrycrm.bitrix24.ru/crm/deal/details/3326/")</x:f>
      </x:c>
      <x:c r="D512" t="str">
        <x:v>Реанимация</x:v>
      </x:c>
      <x:c r="E512" t="str">
        <x:v>ПРОДАЖИ: Отвалы</x:v>
      </x:c>
      <x:c r="F512" t="str">
        <x:v>Даниил Касаткин</x:v>
      </x:c>
      <x:c r="G512" t="str">
        <x:v>нет</x:v>
      </x:c>
      <x:c r="H512" t="str">
        <x:v>нет</x:v>
      </x:c>
    </x:row>
    <x:row r="513">
      <x:c r="A513" t="str">
        <x:v>3328</x:v>
      </x:c>
      <x:c r="B513" t="str">
        <x:v>millionyablok.ru</x:v>
      </x:c>
      <x:c r="C513" t="e">
        <x:f>HYPERLINK("https://belberrycrm.bitrix24.ru/crm/deal/details/3328/","https://belberrycrm.bitrix24.ru/crm/deal/details/3328/")</x:f>
      </x:c>
      <x:c r="D513" t="str">
        <x:v>Реанимация</x:v>
      </x:c>
      <x:c r="E513" t="str">
        <x:v>ПРОДАЖИ: Отвалы</x:v>
      </x:c>
      <x:c r="F513" t="str">
        <x:v>Иван Халин</x:v>
      </x:c>
      <x:c r="G513" t="str">
        <x:v>нет</x:v>
      </x:c>
      <x:c r="H513" t="str">
        <x:v>нет</x:v>
      </x:c>
    </x:row>
    <x:row r="514">
      <x:c r="A514" t="str">
        <x:v>3330</x:v>
      </x:c>
      <x:c r="B514" t="str">
        <x:v>Центр подологии №1</x:v>
      </x:c>
      <x:c r="C514" t="e">
        <x:f>HYPERLINK("https://belberrycrm.bitrix24.ru/crm/deal/details/3330/","https://belberrycrm.bitrix24.ru/crm/deal/details/3330/")</x:f>
      </x:c>
      <x:c r="D514" t="str">
        <x:v>Реанимация</x:v>
      </x:c>
      <x:c r="E514" t="str">
        <x:v>ПРОДАЖИ: Отвалы</x:v>
      </x:c>
      <x:c r="F514" t="str">
        <x:v>Даниил Касаткин</x:v>
      </x:c>
      <x:c r="G514" t="str">
        <x:v>нет</x:v>
      </x:c>
      <x:c r="H514" t="str">
        <x:v>нет</x:v>
      </x:c>
    </x:row>
    <x:row r="515">
      <x:c r="A515" t="str">
        <x:v>3340</x:v>
      </x:c>
      <x:c r="B515" t="str">
        <x:v>dentalnew.ru</x:v>
      </x:c>
      <x:c r="C515" t="e">
        <x:f>HYPERLINK("https://belberrycrm.bitrix24.ru/crm/deal/details/3340/","https://belberrycrm.bitrix24.ru/crm/deal/details/3340/")</x:f>
      </x:c>
      <x:c r="D515" t="str">
        <x:v>Реанимация</x:v>
      </x:c>
      <x:c r="E515" t="str">
        <x:v>ПРОДАЖИ: Отвалы</x:v>
      </x:c>
      <x:c r="F515" t="str">
        <x:v>Даниил Касаткин</x:v>
      </x:c>
      <x:c r="G515" t="str">
        <x:v>нет</x:v>
      </x:c>
      <x:c r="H515" t="str">
        <x:v>нет</x:v>
      </x:c>
    </x:row>
    <x:row r="516">
      <x:c r="A516" t="str">
        <x:v>3352</x:v>
      </x:c>
      <x:c r="B516" t="str">
        <x:v>wbdc.ru</x:v>
      </x:c>
      <x:c r="C516" t="e">
        <x:f>HYPERLINK("https://belberrycrm.bitrix24.ru/crm/deal/details/3352/","https://belberrycrm.bitrix24.ru/crm/deal/details/3352/")</x:f>
      </x:c>
      <x:c r="D516" t="str">
        <x:v>Реанимация</x:v>
      </x:c>
      <x:c r="E516" t="str">
        <x:v>ПРОДАЖИ: Отвалы</x:v>
      </x:c>
      <x:c r="F516" t="str">
        <x:v>Иван Халин</x:v>
      </x:c>
      <x:c r="G516" t="str">
        <x:v>нет</x:v>
      </x:c>
      <x:c r="H516" t="str">
        <x:v>нет</x:v>
      </x:c>
    </x:row>
    <x:row r="517">
      <x:c r="A517" t="str">
        <x:v>3356</x:v>
      </x:c>
      <x:c r="B517" t="str">
        <x:v>optimalmed.ru</x:v>
      </x:c>
      <x:c r="C517" t="e">
        <x:f>HYPERLINK("https://belberrycrm.bitrix24.ru/crm/deal/details/3356/","https://belberrycrm.bitrix24.ru/crm/deal/details/3356/")</x:f>
      </x:c>
      <x:c r="D517" t="str">
        <x:v>Реанимация</x:v>
      </x:c>
      <x:c r="E517" t="str">
        <x:v>ПРОДАЖИ: Отвалы</x:v>
      </x:c>
      <x:c r="F517" t="str">
        <x:v>Иван Халин</x:v>
      </x:c>
      <x:c r="G517" t="str">
        <x:v>нет</x:v>
      </x:c>
      <x:c r="H517" t="str">
        <x:v>нет</x:v>
      </x:c>
    </x:row>
    <x:row r="518">
      <x:c r="A518" t="str">
        <x:v>3360</x:v>
      </x:c>
      <x:c r="B518" t="str">
        <x:v>tvoedyhanie.ru</x:v>
      </x:c>
      <x:c r="C518" t="e">
        <x:f>HYPERLINK("https://belberrycrm.bitrix24.ru/crm/deal/details/3360/","https://belberrycrm.bitrix24.ru/crm/deal/details/3360/")</x:f>
      </x:c>
      <x:c r="D518" t="str">
        <x:v>Реанимация</x:v>
      </x:c>
      <x:c r="E518" t="str">
        <x:v>ПРОДАЖИ: Отвалы</x:v>
      </x:c>
      <x:c r="F518" t="str">
        <x:v>Даниил Касаткин</x:v>
      </x:c>
      <x:c r="G518" t="str">
        <x:v>нет</x:v>
      </x:c>
      <x:c r="H518" t="str">
        <x:v>нет</x:v>
      </x:c>
    </x:row>
    <x:row r="519">
      <x:c r="A519" t="str">
        <x:v>3364</x:v>
      </x:c>
      <x:c r="B519" t="str">
        <x:v>dentcraft.spb.ru</x:v>
      </x:c>
      <x:c r="C519" t="e">
        <x:f>HYPERLINK("https://belberrycrm.bitrix24.ru/crm/deal/details/3364/","https://belberrycrm.bitrix24.ru/crm/deal/details/3364/")</x:f>
      </x:c>
      <x:c r="D519" t="str">
        <x:v>Реанимация</x:v>
      </x:c>
      <x:c r="E519" t="str">
        <x:v>ПРОДАЖИ: Отвалы</x:v>
      </x:c>
      <x:c r="F519" t="str">
        <x:v>Даниил Касаткин</x:v>
      </x:c>
      <x:c r="G519" t="str">
        <x:v>нет</x:v>
      </x:c>
      <x:c r="H519" t="str">
        <x:v>нет</x:v>
      </x:c>
    </x:row>
    <x:row r="520">
      <x:c r="A520" t="str">
        <x:v>3382</x:v>
      </x:c>
      <x:c r="B520" t="str">
        <x:v>gynecolase.ru</x:v>
      </x:c>
      <x:c r="C520" t="e">
        <x:f>HYPERLINK("https://belberrycrm.bitrix24.ru/crm/deal/details/3382/","https://belberrycrm.bitrix24.ru/crm/deal/details/3382/")</x:f>
      </x:c>
      <x:c r="D520" t="str">
        <x:v>Реанимация</x:v>
      </x:c>
      <x:c r="E520" t="str">
        <x:v>ПРОДАЖИ: Отвалы</x:v>
      </x:c>
      <x:c r="F520" t="str">
        <x:v>Иван Халин</x:v>
      </x:c>
      <x:c r="G520" t="str">
        <x:v>нет</x:v>
      </x:c>
      <x:c r="H520" t="str">
        <x:v>нет</x:v>
      </x:c>
    </x:row>
    <x:row r="521">
      <x:c r="A521" t="str">
        <x:v>3384</x:v>
      </x:c>
      <x:c r="B521" t="str">
        <x:v>medivspb.ru</x:v>
      </x:c>
      <x:c r="C521" t="e">
        <x:f>HYPERLINK("https://belberrycrm.bitrix24.ru/crm/deal/details/3384/","https://belberrycrm.bitrix24.ru/crm/deal/details/3384/")</x:f>
      </x:c>
      <x:c r="D521" t="str">
        <x:v>Реанимация</x:v>
      </x:c>
      <x:c r="E521" t="str">
        <x:v>ПРОДАЖИ: Отвалы</x:v>
      </x:c>
      <x:c r="F521" t="str">
        <x:v>Иван Халин</x:v>
      </x:c>
      <x:c r="G521" t="str">
        <x:v>нет</x:v>
      </x:c>
      <x:c r="H521" t="str">
        <x:v>нет</x:v>
      </x:c>
    </x:row>
    <x:row r="522">
      <x:c r="A522" t="str">
        <x:v>3386</x:v>
      </x:c>
      <x:c r="B522" t="str">
        <x:v>mission32.ru</x:v>
      </x:c>
      <x:c r="C522" t="e">
        <x:f>HYPERLINK("https://belberrycrm.bitrix24.ru/crm/deal/details/3386/","https://belberrycrm.bitrix24.ru/crm/deal/details/3386/")</x:f>
      </x:c>
      <x:c r="D522" t="str">
        <x:v>Реанимация</x:v>
      </x:c>
      <x:c r="E522" t="str">
        <x:v>ПРОДАЖИ: Отвалы</x:v>
      </x:c>
      <x:c r="F522" t="str">
        <x:v>Иван Халин</x:v>
      </x:c>
      <x:c r="G522" t="str">
        <x:v>нет</x:v>
      </x:c>
      <x:c r="H522" t="str">
        <x:v>нет</x:v>
      </x:c>
    </x:row>
    <x:row r="523">
      <x:c r="A523" t="str">
        <x:v>3394</x:v>
      </x:c>
      <x:c r="B523" t="str">
        <x:v>Марат</x:v>
      </x:c>
      <x:c r="C523" t="e">
        <x:f>HYPERLINK("https://belberrycrm.bitrix24.ru/crm/deal/details/3394/","https://belberrycrm.bitrix24.ru/crm/deal/details/3394/")</x:f>
      </x:c>
      <x:c r="D523" t="str">
        <x:v>Реанимация</x:v>
      </x:c>
      <x:c r="E523" t="str">
        <x:v>ПРОДАЖИ: Отвалы</x:v>
      </x:c>
      <x:c r="F523" t="str">
        <x:v>Иван Халин</x:v>
      </x:c>
      <x:c r="G523" t="str">
        <x:v>нет</x:v>
      </x:c>
      <x:c r="H523" t="str">
        <x:v>нет</x:v>
      </x:c>
    </x:row>
    <x:row r="524">
      <x:c r="A524" t="str">
        <x:v>3396</x:v>
      </x:c>
      <x:c r="B524" t="str">
        <x:v>denta-house.ru</x:v>
      </x:c>
      <x:c r="C524" t="e">
        <x:f>HYPERLINK("https://belberrycrm.bitrix24.ru/crm/deal/details/3396/","https://belberrycrm.bitrix24.ru/crm/deal/details/3396/")</x:f>
      </x:c>
      <x:c r="D524" t="str">
        <x:v>Реанимация</x:v>
      </x:c>
      <x:c r="E524" t="str">
        <x:v>ПРОДАЖИ: Отвалы</x:v>
      </x:c>
      <x:c r="F524" t="str">
        <x:v>Иван Халин</x:v>
      </x:c>
      <x:c r="G524" t="str">
        <x:v>нет</x:v>
      </x:c>
      <x:c r="H524" t="str">
        <x:v>нет</x:v>
      </x:c>
    </x:row>
    <x:row r="525">
      <x:c r="A525" t="str">
        <x:v>3398</x:v>
      </x:c>
      <x:c r="B525" t="str">
        <x:v>amedaclinic.ru</x:v>
      </x:c>
      <x:c r="C525" t="e">
        <x:f>HYPERLINK("https://belberrycrm.bitrix24.ru/crm/deal/details/3398/","https://belberrycrm.bitrix24.ru/crm/deal/details/3398/")</x:f>
      </x:c>
      <x:c r="D525" t="str">
        <x:v>Реанимация</x:v>
      </x:c>
      <x:c r="E525" t="str">
        <x:v>ПРОДАЖИ: Отвалы</x:v>
      </x:c>
      <x:c r="F525" t="str">
        <x:v>Даниил Касаткин</x:v>
      </x:c>
      <x:c r="G525" t="str">
        <x:v>нет</x:v>
      </x:c>
      <x:c r="H525" t="str">
        <x:v>нет</x:v>
      </x:c>
    </x:row>
    <x:row r="526">
      <x:c r="A526" t="str">
        <x:v>3406</x:v>
      </x:c>
      <x:c r="B526" t="str">
        <x:v>centersmt.ru</x:v>
      </x:c>
      <x:c r="C526" t="e">
        <x:f>HYPERLINK("https://belberrycrm.bitrix24.ru/crm/deal/details/3406/","https://belberrycrm.bitrix24.ru/crm/deal/details/3406/")</x:f>
      </x:c>
      <x:c r="D526" t="str">
        <x:v>Реанимация</x:v>
      </x:c>
      <x:c r="E526" t="str">
        <x:v>ПРОДАЖИ: Отвалы</x:v>
      </x:c>
      <x:c r="F526" t="str">
        <x:v>Даниил Касаткин</x:v>
      </x:c>
      <x:c r="G526" t="str">
        <x:v>нет</x:v>
      </x:c>
      <x:c r="H526" t="str">
        <x:v>нет</x:v>
      </x:c>
    </x:row>
    <x:row r="527">
      <x:c r="A527" t="str">
        <x:v>3416</x:v>
      </x:c>
      <x:c r="B527" t="str">
        <x:v>g-george.ru</x:v>
      </x:c>
      <x:c r="C527" t="e">
        <x:f>HYPERLINK("https://belberrycrm.bitrix24.ru/crm/deal/details/3416/","https://belberrycrm.bitrix24.ru/crm/deal/details/3416/")</x:f>
      </x:c>
      <x:c r="D527" t="str">
        <x:v>Реанимация</x:v>
      </x:c>
      <x:c r="E527" t="str">
        <x:v>ПРОДАЖИ: Отвалы</x:v>
      </x:c>
      <x:c r="F527" t="str">
        <x:v>Иван Халин</x:v>
      </x:c>
      <x:c r="G527" t="str">
        <x:v>нет</x:v>
      </x:c>
      <x:c r="H527" t="str">
        <x:v>нет</x:v>
      </x:c>
    </x:row>
    <x:row r="528">
      <x:c r="A528" t="str">
        <x:v>3418</x:v>
      </x:c>
      <x:c r="B528" t="str">
        <x:v>effi-clinic.ru</x:v>
      </x:c>
      <x:c r="C528" t="e">
        <x:f>HYPERLINK("https://belberrycrm.bitrix24.ru/crm/deal/details/3418/","https://belberrycrm.bitrix24.ru/crm/deal/details/3418/")</x:f>
      </x:c>
      <x:c r="D528" t="str">
        <x:v>Реанимация</x:v>
      </x:c>
      <x:c r="E528" t="str">
        <x:v>ПРОДАЖИ: Отвалы</x:v>
      </x:c>
      <x:c r="F528" t="str">
        <x:v>Иван Халин</x:v>
      </x:c>
      <x:c r="G528" t="str">
        <x:v>нет</x:v>
      </x:c>
      <x:c r="H528" t="str">
        <x:v>нет</x:v>
      </x:c>
    </x:row>
    <x:row r="529">
      <x:c r="A529" t="str">
        <x:v>3420</x:v>
      </x:c>
      <x:c r="B529" t="str">
        <x:v>planbaby.uz</x:v>
      </x:c>
      <x:c r="C529" t="e">
        <x:f>HYPERLINK("https://belberrycrm.bitrix24.ru/crm/deal/details/3420/","https://belberrycrm.bitrix24.ru/crm/deal/details/3420/")</x:f>
      </x:c>
      <x:c r="D529" t="str">
        <x:v>Реанимация</x:v>
      </x:c>
      <x:c r="E529" t="str">
        <x:v>ПРОДАЖИ: Отвалы</x:v>
      </x:c>
      <x:c r="F529" t="str">
        <x:v>Иван Халин</x:v>
      </x:c>
      <x:c r="G529" t="str">
        <x:v>нет</x:v>
      </x:c>
      <x:c r="H529" t="str">
        <x:v>нет</x:v>
      </x:c>
    </x:row>
    <x:row r="530">
      <x:c r="A530" t="str">
        <x:v>3430</x:v>
      </x:c>
      <x:c r="B530" t="str">
        <x:v>nora-dent.ru</x:v>
      </x:c>
      <x:c r="C530" t="e">
        <x:f>HYPERLINK("https://belberrycrm.bitrix24.ru/crm/deal/details/3430/","https://belberrycrm.bitrix24.ru/crm/deal/details/3430/")</x:f>
      </x:c>
      <x:c r="D530" t="str">
        <x:v>Реанимация</x:v>
      </x:c>
      <x:c r="E530" t="str">
        <x:v>ПРОДАЖИ: Отвалы</x:v>
      </x:c>
      <x:c r="F530" t="str">
        <x:v>Даниил Касаткин</x:v>
      </x:c>
      <x:c r="G530" t="str">
        <x:v>да</x:v>
      </x:c>
      <x:c r="H530" t="str">
        <x:v>нет</x:v>
      </x:c>
    </x:row>
    <x:row r="531">
      <x:c r="A531" t="str">
        <x:v>3438</x:v>
      </x:c>
      <x:c r="B531" t="str">
        <x:v>albusmed.ru</x:v>
      </x:c>
      <x:c r="C531" t="e">
        <x:f>HYPERLINK("https://belberrycrm.bitrix24.ru/crm/deal/details/3438/","https://belberrycrm.bitrix24.ru/crm/deal/details/3438/")</x:f>
      </x:c>
      <x:c r="D531" t="str">
        <x:v>Реанимация</x:v>
      </x:c>
      <x:c r="E531" t="str">
        <x:v>ПРОДАЖИ: Отвалы</x:v>
      </x:c>
      <x:c r="F531" t="str">
        <x:v>Даниил Касаткин</x:v>
      </x:c>
      <x:c r="G531" t="str">
        <x:v>нет</x:v>
      </x:c>
      <x:c r="H531" t="str">
        <x:v>нет</x:v>
      </x:c>
    </x:row>
    <x:row r="532">
      <x:c r="A532" t="str">
        <x:v>3444</x:v>
      </x:c>
      <x:c r="B532" t="str">
        <x:v>emeli-clinic.ru</x:v>
      </x:c>
      <x:c r="C532" t="e">
        <x:f>HYPERLINK("https://belberrycrm.bitrix24.ru/crm/deal/details/3444/","https://belberrycrm.bitrix24.ru/crm/deal/details/3444/")</x:f>
      </x:c>
      <x:c r="D532" t="str">
        <x:v>Реанимация</x:v>
      </x:c>
      <x:c r="E532" t="str">
        <x:v>База для реанимации</x:v>
      </x:c>
      <x:c r="F532" t="str">
        <x:v>Иван Халин</x:v>
      </x:c>
      <x:c r="G532" t="str">
        <x:v>нет</x:v>
      </x:c>
      <x:c r="H532" t="str">
        <x:v>нет</x:v>
      </x:c>
    </x:row>
    <x:row r="533">
      <x:c r="A533" t="str">
        <x:v>3454</x:v>
      </x:c>
      <x:c r="B533" t="str">
        <x:v>medicistom.ru</x:v>
      </x:c>
      <x:c r="C533" t="e">
        <x:f>HYPERLINK("https://belberrycrm.bitrix24.ru/crm/deal/details/3454/","https://belberrycrm.bitrix24.ru/crm/deal/details/3454/")</x:f>
      </x:c>
      <x:c r="D533" t="str">
        <x:v>Реанимация</x:v>
      </x:c>
      <x:c r="E533" t="str">
        <x:v>ПРОДАЖИ: Отвалы</x:v>
      </x:c>
      <x:c r="F533" t="str">
        <x:v>Иван Халин</x:v>
      </x:c>
      <x:c r="G533" t="str">
        <x:v>нет</x:v>
      </x:c>
      <x:c r="H533" t="str">
        <x:v>нет</x:v>
      </x:c>
    </x:row>
    <x:row r="534">
      <x:c r="A534" t="str">
        <x:v>3462</x:v>
      </x:c>
      <x:c r="B534" t="str">
        <x:v>mogvv.ru</x:v>
      </x:c>
      <x:c r="C534" t="e">
        <x:f>HYPERLINK("https://belberrycrm.bitrix24.ru/crm/deal/details/3462/","https://belberrycrm.bitrix24.ru/crm/deal/details/3462/")</x:f>
      </x:c>
      <x:c r="D534" t="str">
        <x:v>Реанимация</x:v>
      </x:c>
      <x:c r="E534" t="str">
        <x:v>ПРОДАЖИ: Отвалы</x:v>
      </x:c>
      <x:c r="F534" t="str">
        <x:v>Иван Халин</x:v>
      </x:c>
      <x:c r="G534" t="str">
        <x:v>да</x:v>
      </x:c>
      <x:c r="H534" t="str">
        <x:v>нет</x:v>
      </x:c>
    </x:row>
    <x:row r="535">
      <x:c r="A535" t="str">
        <x:v>3472</x:v>
      </x:c>
      <x:c r="B535" t="str">
        <x:v>artgarant-dent.ru</x:v>
      </x:c>
      <x:c r="C535" t="e">
        <x:f>HYPERLINK("https://belberrycrm.bitrix24.ru/crm/deal/details/3472/","https://belberrycrm.bitrix24.ru/crm/deal/details/3472/")</x:f>
      </x:c>
      <x:c r="D535" t="str">
        <x:v>Реанимация</x:v>
      </x:c>
      <x:c r="E535" t="str">
        <x:v>ПРОДАЖИ: Отвалы</x:v>
      </x:c>
      <x:c r="F535" t="str">
        <x:v>Даниил Касаткин</x:v>
      </x:c>
      <x:c r="G535" t="str">
        <x:v>нет</x:v>
      </x:c>
      <x:c r="H535" t="str">
        <x:v>нет</x:v>
      </x:c>
    </x:row>
    <x:row r="536">
      <x:c r="A536" t="str">
        <x:v>3482</x:v>
      </x:c>
      <x:c r="B536" t="str">
        <x:v>Вероника Викторовна Ростов Новая Клиника</x:v>
      </x:c>
      <x:c r="C536" t="e">
        <x:f>HYPERLINK("https://belberrycrm.bitrix24.ru/crm/deal/details/3482/","https://belberrycrm.bitrix24.ru/crm/deal/details/3482/")</x:f>
      </x:c>
      <x:c r="D536" t="str">
        <x:v>Реанимация</x:v>
      </x:c>
      <x:c r="E536" t="str">
        <x:v>ПРОДАЖИ: Отвалы</x:v>
      </x:c>
      <x:c r="F536" t="str">
        <x:v>Даниил Касаткин</x:v>
      </x:c>
      <x:c r="G536" t="str">
        <x:v>нет</x:v>
      </x:c>
      <x:c r="H536" t="str">
        <x:v>нет</x:v>
      </x:c>
    </x:row>
    <x:row r="537">
      <x:c r="A537" t="str">
        <x:v>3484</x:v>
      </x:c>
      <x:c r="B537" t="str">
        <x:v>arbat25.ru</x:v>
      </x:c>
      <x:c r="C537" t="e">
        <x:f>HYPERLINK("https://belberrycrm.bitrix24.ru/crm/deal/details/3484/","https://belberrycrm.bitrix24.ru/crm/deal/details/3484/")</x:f>
      </x:c>
      <x:c r="D537" t="str">
        <x:v>Реанимация</x:v>
      </x:c>
      <x:c r="E537" t="str">
        <x:v>ПРОДАЖИ: Отвалы</x:v>
      </x:c>
      <x:c r="F537" t="str">
        <x:v>Даниил Касаткин</x:v>
      </x:c>
      <x:c r="G537" t="str">
        <x:v>нет</x:v>
      </x:c>
      <x:c r="H537" t="str">
        <x:v>нет</x:v>
      </x:c>
    </x:row>
    <x:row r="538">
      <x:c r="A538" t="str">
        <x:v>3490</x:v>
      </x:c>
      <x:c r="B538" t="str">
        <x:v>ihtis-clinic.ru</x:v>
      </x:c>
      <x:c r="C538" t="e">
        <x:f>HYPERLINK("https://belberrycrm.bitrix24.ru/crm/deal/details/3490/","https://belberrycrm.bitrix24.ru/crm/deal/details/3490/")</x:f>
      </x:c>
      <x:c r="D538" t="str">
        <x:v>Реанимация</x:v>
      </x:c>
      <x:c r="E538" t="str">
        <x:v>ПРОДАЖИ: Отвалы</x:v>
      </x:c>
      <x:c r="F538" t="str">
        <x:v>Иван Халин</x:v>
      </x:c>
      <x:c r="G538" t="str">
        <x:v>нет</x:v>
      </x:c>
      <x:c r="H538" t="str">
        <x:v>нет</x:v>
      </x:c>
    </x:row>
    <x:row r="539">
      <x:c r="A539" t="str">
        <x:v>3492</x:v>
      </x:c>
      <x:c r="B539" t="str">
        <x:v>dostoma.ru</x:v>
      </x:c>
      <x:c r="C539" t="e">
        <x:f>HYPERLINK("https://belberrycrm.bitrix24.ru/crm/deal/details/3492/","https://belberrycrm.bitrix24.ru/crm/deal/details/3492/")</x:f>
      </x:c>
      <x:c r="D539" t="str">
        <x:v>Реанимация</x:v>
      </x:c>
      <x:c r="E539" t="str">
        <x:v>ПРОДАЖИ: Отвалы</x:v>
      </x:c>
      <x:c r="F539" t="str">
        <x:v>Даниил Касаткин</x:v>
      </x:c>
      <x:c r="G539" t="str">
        <x:v>нет</x:v>
      </x:c>
      <x:c r="H539" t="str">
        <x:v>нет</x:v>
      </x:c>
    </x:row>
    <x:row r="540">
      <x:c r="A540" t="str">
        <x:v>3496</x:v>
      </x:c>
      <x:c r="B540" t="str">
        <x:v>kdcgsh.mil.ru</x:v>
      </x:c>
      <x:c r="C540" t="e">
        <x:f>HYPERLINK("https://belberrycrm.bitrix24.ru/crm/deal/details/3496/","https://belberrycrm.bitrix24.ru/crm/deal/details/3496/")</x:f>
      </x:c>
      <x:c r="D540" t="str">
        <x:v>Реанимация</x:v>
      </x:c>
      <x:c r="E540" t="str">
        <x:v>ПРОДАЖИ: Отвалы</x:v>
      </x:c>
      <x:c r="F540" t="str">
        <x:v>Даниил Касаткин</x:v>
      </x:c>
      <x:c r="G540" t="str">
        <x:v>да</x:v>
      </x:c>
      <x:c r="H540" t="str">
        <x:v>нет</x:v>
      </x:c>
    </x:row>
    <x:row r="541">
      <x:c r="A541" t="str">
        <x:v>3498</x:v>
      </x:c>
      <x:c r="B541" t="str">
        <x:v>med-clin.ru</x:v>
      </x:c>
      <x:c r="C541" t="e">
        <x:f>HYPERLINK("https://belberrycrm.bitrix24.ru/crm/deal/details/3498/","https://belberrycrm.bitrix24.ru/crm/deal/details/3498/")</x:f>
      </x:c>
      <x:c r="D541" t="str">
        <x:v>Реанимация</x:v>
      </x:c>
      <x:c r="E541" t="str">
        <x:v>ПРОДАЖИ: Отвалы</x:v>
      </x:c>
      <x:c r="F541" t="str">
        <x:v>Иван Халин</x:v>
      </x:c>
      <x:c r="G541" t="str">
        <x:v>нет</x:v>
      </x:c>
      <x:c r="H541" t="str">
        <x:v>нет</x:v>
      </x:c>
    </x:row>
    <x:row r="542">
      <x:c r="A542" t="str">
        <x:v>3500</x:v>
      </x:c>
      <x:c r="B542" t="str">
        <x:v>omnicare.clinic</x:v>
      </x:c>
      <x:c r="C542" t="e">
        <x:f>HYPERLINK("https://belberrycrm.bitrix24.ru/crm/deal/details/3500/","https://belberrycrm.bitrix24.ru/crm/deal/details/3500/")</x:f>
      </x:c>
      <x:c r="D542" t="str">
        <x:v>Реанимация</x:v>
      </x:c>
      <x:c r="E542" t="str">
        <x:v>ПРОДАЖИ: Отвалы</x:v>
      </x:c>
      <x:c r="F542" t="str">
        <x:v>Иван Халин</x:v>
      </x:c>
      <x:c r="G542" t="str">
        <x:v>нет</x:v>
      </x:c>
      <x:c r="H542" t="str">
        <x:v>нет</x:v>
      </x:c>
    </x:row>
    <x:row r="543">
      <x:c r="A543" t="str">
        <x:v>3504</x:v>
      </x:c>
      <x:c r="B543" t="str">
        <x:v>Youcanfly.ru</x:v>
      </x:c>
      <x:c r="C543" t="e">
        <x:f>HYPERLINK("https://belberrycrm.bitrix24.ru/crm/deal/details/3504/","https://belberrycrm.bitrix24.ru/crm/deal/details/3504/")</x:f>
      </x:c>
      <x:c r="D543" t="str">
        <x:v>Реанимация</x:v>
      </x:c>
      <x:c r="E543" t="str">
        <x:v>ПРОДАЖИ: Отвалы</x:v>
      </x:c>
      <x:c r="F543" t="str">
        <x:v>Иван Халин</x:v>
      </x:c>
      <x:c r="G543" t="str">
        <x:v>нет</x:v>
      </x:c>
      <x:c r="H543" t="str">
        <x:v>нет</x:v>
      </x:c>
    </x:row>
    <x:row r="544">
      <x:c r="A544" t="str">
        <x:v>3508</x:v>
      </x:c>
      <x:c r="B544" t="str">
        <x:v>gkdc1.ru</x:v>
      </x:c>
      <x:c r="C544" t="e">
        <x:f>HYPERLINK("https://belberrycrm.bitrix24.ru/crm/deal/details/3508/","https://belberrycrm.bitrix24.ru/crm/deal/details/3508/")</x:f>
      </x:c>
      <x:c r="D544" t="str">
        <x:v>Реанимация</x:v>
      </x:c>
      <x:c r="E544" t="str">
        <x:v>ПРОДАЖИ: Отвалы</x:v>
      </x:c>
      <x:c r="F544" t="str">
        <x:v>Иван Халин</x:v>
      </x:c>
      <x:c r="G544" t="str">
        <x:v>нет</x:v>
      </x:c>
      <x:c r="H544" t="str">
        <x:v>нет</x:v>
      </x:c>
    </x:row>
    <x:row r="545">
      <x:c r="A545" t="str">
        <x:v>3510</x:v>
      </x:c>
      <x:c r="B545" t="str">
        <x:v>ottoclinic.ru</x:v>
      </x:c>
      <x:c r="C545" t="e">
        <x:f>HYPERLINK("https://belberrycrm.bitrix24.ru/crm/deal/details/3510/","https://belberrycrm.bitrix24.ru/crm/deal/details/3510/")</x:f>
      </x:c>
      <x:c r="D545" t="str">
        <x:v>Реанимация</x:v>
      </x:c>
      <x:c r="E545" t="str">
        <x:v>ПРОДАЖИ: Отвалы</x:v>
      </x:c>
      <x:c r="F545" t="str">
        <x:v>Даниил Касаткин</x:v>
      </x:c>
      <x:c r="G545" t="str">
        <x:v>нет</x:v>
      </x:c>
      <x:c r="H545" t="str">
        <x:v>нет</x:v>
      </x:c>
    </x:row>
    <x:row r="546">
      <x:c r="A546" t="str">
        <x:v>3514</x:v>
      </x:c>
      <x:c r="B546" t="str">
        <x:v>remstom.ru</x:v>
      </x:c>
      <x:c r="C546" t="e">
        <x:f>HYPERLINK("https://belberrycrm.bitrix24.ru/crm/deal/details/3514/","https://belberrycrm.bitrix24.ru/crm/deal/details/3514/")</x:f>
      </x:c>
      <x:c r="D546" t="str">
        <x:v>Реанимация</x:v>
      </x:c>
      <x:c r="E546" t="str">
        <x:v>ПРОДАЖИ: Отвалы</x:v>
      </x:c>
      <x:c r="F546" t="str">
        <x:v>Даниил Касаткин</x:v>
      </x:c>
      <x:c r="G546" t="str">
        <x:v>нет</x:v>
      </x:c>
      <x:c r="H546" t="str">
        <x:v>нет</x:v>
      </x:c>
    </x:row>
    <x:row r="547">
      <x:c r="A547" t="str">
        <x:v>3522</x:v>
      </x:c>
      <x:c r="B547" t="str">
        <x:v>gumanik.com</x:v>
      </x:c>
      <x:c r="C547" t="e">
        <x:f>HYPERLINK("https://belberrycrm.bitrix24.ru/crm/deal/details/3522/","https://belberrycrm.bitrix24.ru/crm/deal/details/3522/")</x:f>
      </x:c>
      <x:c r="D547" t="str">
        <x:v>Реанимация</x:v>
      </x:c>
      <x:c r="E547" t="str">
        <x:v>ПРОДАЖИ: Отвалы</x:v>
      </x:c>
      <x:c r="F547" t="str">
        <x:v>Даниил Касаткин</x:v>
      </x:c>
      <x:c r="G547" t="str">
        <x:v>нет</x:v>
      </x:c>
      <x:c r="H547" t="str">
        <x:v>нет</x:v>
      </x:c>
    </x:row>
    <x:row r="548">
      <x:c r="A548" t="str">
        <x:v>3526</x:v>
      </x:c>
      <x:c r="B548" t="str">
        <x:v>rumdent.ru</x:v>
      </x:c>
      <x:c r="C548" t="e">
        <x:f>HYPERLINK("https://belberrycrm.bitrix24.ru/crm/deal/details/3526/","https://belberrycrm.bitrix24.ru/crm/deal/details/3526/")</x:f>
      </x:c>
      <x:c r="D548" t="str">
        <x:v>Реанимация</x:v>
      </x:c>
      <x:c r="E548" t="str">
        <x:v>ПРОДАЖИ: Отвалы</x:v>
      </x:c>
      <x:c r="F548" t="str">
        <x:v>Иван Халин</x:v>
      </x:c>
      <x:c r="G548" t="str">
        <x:v>нет</x:v>
      </x:c>
      <x:c r="H548" t="str">
        <x:v>нет</x:v>
      </x:c>
    </x:row>
    <x:row r="549">
      <x:c r="A549" t="str">
        <x:v>3530</x:v>
      </x:c>
      <x:c r="B549" t="str">
        <x:v>one-stom.ru</x:v>
      </x:c>
      <x:c r="C549" t="e">
        <x:f>HYPERLINK("https://belberrycrm.bitrix24.ru/crm/deal/details/3530/","https://belberrycrm.bitrix24.ru/crm/deal/details/3530/")</x:f>
      </x:c>
      <x:c r="D549" t="str">
        <x:v>Реанимация</x:v>
      </x:c>
      <x:c r="E549" t="str">
        <x:v>ПРОДАЖИ: Отвалы</x:v>
      </x:c>
      <x:c r="F549" t="str">
        <x:v>Иван Халин</x:v>
      </x:c>
      <x:c r="G549" t="str">
        <x:v>да</x:v>
      </x:c>
      <x:c r="H549" t="str">
        <x:v>нет</x:v>
      </x:c>
    </x:row>
    <x:row r="550">
      <x:c r="A550" t="str">
        <x:v>3532</x:v>
      </x:c>
      <x:c r="B550" t="str">
        <x:v>dentist78.ru</x:v>
      </x:c>
      <x:c r="C550" t="e">
        <x:f>HYPERLINK("https://belberrycrm.bitrix24.ru/crm/deal/details/3532/","https://belberrycrm.bitrix24.ru/crm/deal/details/3532/")</x:f>
      </x:c>
      <x:c r="D550" t="str">
        <x:v>Реанимация</x:v>
      </x:c>
      <x:c r="E550" t="str">
        <x:v>ПРОДАЖИ: Отвалы</x:v>
      </x:c>
      <x:c r="F550" t="str">
        <x:v>Иван Халин</x:v>
      </x:c>
      <x:c r="G550" t="str">
        <x:v>нет</x:v>
      </x:c>
      <x:c r="H550" t="str">
        <x:v>нет</x:v>
      </x:c>
    </x:row>
    <x:row r="551">
      <x:c r="A551" t="str">
        <x:v>3536</x:v>
      </x:c>
      <x:c r="B551" t="str">
        <x:v>profmed64.ru</x:v>
      </x:c>
      <x:c r="C551" t="e">
        <x:f>HYPERLINK("https://belberrycrm.bitrix24.ru/crm/deal/details/3536/","https://belberrycrm.bitrix24.ru/crm/deal/details/3536/")</x:f>
      </x:c>
      <x:c r="D551" t="str">
        <x:v>Реанимация</x:v>
      </x:c>
      <x:c r="E551" t="str">
        <x:v>ПРОДАЖИ: Отвалы</x:v>
      </x:c>
      <x:c r="F551" t="str">
        <x:v>Даниил Касаткин</x:v>
      </x:c>
      <x:c r="G551" t="str">
        <x:v>нет</x:v>
      </x:c>
      <x:c r="H551" t="str">
        <x:v>нет</x:v>
      </x:c>
    </x:row>
    <x:row r="552">
      <x:c r="A552" t="str">
        <x:v>3542</x:v>
      </x:c>
      <x:c r="B552" t="str">
        <x:v>immunohealth-clinic.ru</x:v>
      </x:c>
      <x:c r="C552" t="e">
        <x:f>HYPERLINK("https://belberrycrm.bitrix24.ru/crm/deal/details/3542/","https://belberrycrm.bitrix24.ru/crm/deal/details/3542/")</x:f>
      </x:c>
      <x:c r="D552" t="str">
        <x:v>Реанимация</x:v>
      </x:c>
      <x:c r="E552" t="str">
        <x:v>ПРОДАЖИ: Отвалы</x:v>
      </x:c>
      <x:c r="F552" t="str">
        <x:v>Даниил Касаткин</x:v>
      </x:c>
      <x:c r="G552" t="str">
        <x:v>нет</x:v>
      </x:c>
      <x:c r="H552" t="str">
        <x:v>нет</x:v>
      </x:c>
    </x:row>
    <x:row r="553">
      <x:c r="A553" t="str">
        <x:v>3546</x:v>
      </x:c>
      <x:c r="B553" t="str">
        <x:v>arkadiya-med.ru</x:v>
      </x:c>
      <x:c r="C553" t="e">
        <x:f>HYPERLINK("https://belberrycrm.bitrix24.ru/crm/deal/details/3546/","https://belberrycrm.bitrix24.ru/crm/deal/details/3546/")</x:f>
      </x:c>
      <x:c r="D553" t="str">
        <x:v>Реанимация</x:v>
      </x:c>
      <x:c r="E553" t="str">
        <x:v>ПРОДАЖИ: Отвалы</x:v>
      </x:c>
      <x:c r="F553" t="str">
        <x:v>Иван Халин</x:v>
      </x:c>
      <x:c r="G553" t="str">
        <x:v>нет</x:v>
      </x:c>
      <x:c r="H553" t="str">
        <x:v>нет</x:v>
      </x:c>
    </x:row>
    <x:row r="554">
      <x:c r="A554" t="str">
        <x:v>3548</x:v>
      </x:c>
      <x:c r="B554" t="str">
        <x:v>cpark-stomatologiya-himki.ru</x:v>
      </x:c>
      <x:c r="C554" t="e">
        <x:f>HYPERLINK("https://belberrycrm.bitrix24.ru/crm/deal/details/3548/","https://belberrycrm.bitrix24.ru/crm/deal/details/3548/")</x:f>
      </x:c>
      <x:c r="D554" t="str">
        <x:v>Реанимация</x:v>
      </x:c>
      <x:c r="E554" t="str">
        <x:v>ПРОДАЖИ: Отвалы</x:v>
      </x:c>
      <x:c r="F554" t="str">
        <x:v>Иван Халин</x:v>
      </x:c>
      <x:c r="G554" t="str">
        <x:v>нет</x:v>
      </x:c>
      <x:c r="H554" t="str">
        <x:v>нет</x:v>
      </x:c>
    </x:row>
    <x:row r="555">
      <x:c r="A555" t="str">
        <x:v>3556</x:v>
      </x:c>
      <x:c r="B555" t="str">
        <x:v>onismed.ru</x:v>
      </x:c>
      <x:c r="C555" t="e">
        <x:f>HYPERLINK("https://belberrycrm.bitrix24.ru/crm/deal/details/3556/","https://belberrycrm.bitrix24.ru/crm/deal/details/3556/")</x:f>
      </x:c>
      <x:c r="D555" t="str">
        <x:v>Реанимация</x:v>
      </x:c>
      <x:c r="E555" t="str">
        <x:v>ПРОДАЖИ: Отвалы</x:v>
      </x:c>
      <x:c r="F555" t="str">
        <x:v>Иван Халин</x:v>
      </x:c>
      <x:c r="G555" t="str">
        <x:v>нет</x:v>
      </x:c>
      <x:c r="H555" t="str">
        <x:v>нет</x:v>
      </x:c>
    </x:row>
    <x:row r="556">
      <x:c r="A556" t="str">
        <x:v>3574</x:v>
      </x:c>
      <x:c r="B556" t="str">
        <x:v>valdent.ru</x:v>
      </x:c>
      <x:c r="C556" t="e">
        <x:f>HYPERLINK("https://belberrycrm.bitrix24.ru/crm/deal/details/3574/","https://belberrycrm.bitrix24.ru/crm/deal/details/3574/")</x:f>
      </x:c>
      <x:c r="D556" t="str">
        <x:v>Реанимация</x:v>
      </x:c>
      <x:c r="E556" t="str">
        <x:v>ПРОДАЖИ: Отвалы</x:v>
      </x:c>
      <x:c r="F556" t="str">
        <x:v>Даниил Касаткин</x:v>
      </x:c>
      <x:c r="G556" t="str">
        <x:v>нет</x:v>
      </x:c>
      <x:c r="H556" t="str">
        <x:v>нет</x:v>
      </x:c>
    </x:row>
    <x:row r="557">
      <x:c r="A557" t="str">
        <x:v>3580</x:v>
      </x:c>
      <x:c r="B557" t="str">
        <x:v>snabeauty.com</x:v>
      </x:c>
      <x:c r="C557" t="e">
        <x:f>HYPERLINK("https://belberrycrm.bitrix24.ru/crm/deal/details/3580/","https://belberrycrm.bitrix24.ru/crm/deal/details/3580/")</x:f>
      </x:c>
      <x:c r="D557" t="str">
        <x:v>Реанимация</x:v>
      </x:c>
      <x:c r="E557" t="str">
        <x:v>ПРОДАЖИ: Отвалы</x:v>
      </x:c>
      <x:c r="F557" t="str">
        <x:v>Даниил Касаткин</x:v>
      </x:c>
      <x:c r="G557" t="str">
        <x:v>нет</x:v>
      </x:c>
      <x:c r="H557" t="str">
        <x:v>нет</x:v>
      </x:c>
    </x:row>
    <x:row r="558">
      <x:c r="A558" t="str">
        <x:v>3588</x:v>
      </x:c>
      <x:c r="B558" t="str">
        <x:v>Alif dent стоматологическая клиника</x:v>
      </x:c>
      <x:c r="C558" t="e">
        <x:f>HYPERLINK("https://belberrycrm.bitrix24.ru/crm/deal/details/3588/","https://belberrycrm.bitrix24.ru/crm/deal/details/3588/")</x:f>
      </x:c>
      <x:c r="D558" t="str">
        <x:v>Реанимация</x:v>
      </x:c>
      <x:c r="E558" t="str">
        <x:v>ПРОДАЖИ: Отвалы</x:v>
      </x:c>
      <x:c r="F558" t="str">
        <x:v>Дмитрий Панов</x:v>
      </x:c>
      <x:c r="G558" t="str">
        <x:v>нет</x:v>
      </x:c>
      <x:c r="H558" t="str">
        <x:v>нет</x:v>
      </x:c>
    </x:row>
    <x:row r="559">
      <x:c r="A559" t="str">
        <x:v>3604</x:v>
      </x:c>
      <x:c r="B559" t="str">
        <x:v>Trixybeauty.ru</x:v>
      </x:c>
      <x:c r="C559" t="e">
        <x:f>HYPERLINK("https://belberrycrm.bitrix24.ru/crm/deal/details/3604/","https://belberrycrm.bitrix24.ru/crm/deal/details/3604/")</x:f>
      </x:c>
      <x:c r="D559" t="str">
        <x:v>Реанимация</x:v>
      </x:c>
      <x:c r="E559" t="str">
        <x:v>ПРОДАЖИ: Отвалы</x:v>
      </x:c>
      <x:c r="F559" t="str">
        <x:v>Даниил Касаткин</x:v>
      </x:c>
      <x:c r="G559" t="str">
        <x:v>нет</x:v>
      </x:c>
      <x:c r="H559" t="str">
        <x:v>нет</x:v>
      </x:c>
    </x:row>
    <x:row r="560">
      <x:c r="A560" t="str">
        <x:v>3606</x:v>
      </x:c>
      <x:c r="B560" t="str">
        <x:v>Your Day beauty</x:v>
      </x:c>
      <x:c r="C560" t="e">
        <x:f>HYPERLINK("https://belberrycrm.bitrix24.ru/crm/deal/details/3606/","https://belberrycrm.bitrix24.ru/crm/deal/details/3606/")</x:f>
      </x:c>
      <x:c r="D560" t="str">
        <x:v>Реанимация</x:v>
      </x:c>
      <x:c r="E560" t="str">
        <x:v>ПРОДАЖИ: Отвалы</x:v>
      </x:c>
      <x:c r="F560" t="str">
        <x:v>Дмитрий Панов</x:v>
      </x:c>
      <x:c r="G560" t="str">
        <x:v>нет</x:v>
      </x:c>
      <x:c r="H560" t="str">
        <x:v>нет</x:v>
      </x:c>
    </x:row>
    <x:row r="561">
      <x:c r="A561" t="str">
        <x:v>3608</x:v>
      </x:c>
      <x:c r="B561" t="str">
        <x:v>butovo-prom.ru</x:v>
      </x:c>
      <x:c r="C561" t="e">
        <x:f>HYPERLINK("https://belberrycrm.bitrix24.ru/crm/deal/details/3608/","https://belberrycrm.bitrix24.ru/crm/deal/details/3608/")</x:f>
      </x:c>
      <x:c r="D561" t="str">
        <x:v>Реанимация</x:v>
      </x:c>
      <x:c r="E561" t="str">
        <x:v>ПРОДАЖИ: Отвалы</x:v>
      </x:c>
      <x:c r="F561" t="str">
        <x:v>Евгения Гордиенко</x:v>
      </x:c>
      <x:c r="G561" t="str">
        <x:v>нет</x:v>
      </x:c>
      <x:c r="H561" t="str">
        <x:v>нет</x:v>
      </x:c>
    </x:row>
    <x:row r="562">
      <x:c r="A562" t="str">
        <x:v>3610</x:v>
      </x:c>
      <x:c r="B562" t="str">
        <x:v>implant-ivory.ru</x:v>
      </x:c>
      <x:c r="C562" t="e">
        <x:f>HYPERLINK("https://belberrycrm.bitrix24.ru/crm/deal/details/3610/","https://belberrycrm.bitrix24.ru/crm/deal/details/3610/")</x:f>
      </x:c>
      <x:c r="D562" t="str">
        <x:v>Реанимация</x:v>
      </x:c>
      <x:c r="E562" t="str">
        <x:v>ПРОДАЖИ: Отвалы</x:v>
      </x:c>
      <x:c r="F562" t="str">
        <x:v>Даниил Касаткин</x:v>
      </x:c>
      <x:c r="G562" t="str">
        <x:v>нет</x:v>
      </x:c>
      <x:c r="H562" t="str">
        <x:v>нет</x:v>
      </x:c>
    </x:row>
    <x:row r="563">
      <x:c r="A563" t="str">
        <x:v>3612</x:v>
      </x:c>
      <x:c r="B563" t="str">
        <x:v>vidimed.ru</x:v>
      </x:c>
      <x:c r="C563" t="e">
        <x:f>HYPERLINK("https://belberrycrm.bitrix24.ru/crm/deal/details/3612/","https://belberrycrm.bitrix24.ru/crm/deal/details/3612/")</x:f>
      </x:c>
      <x:c r="D563" t="str">
        <x:v>Реанимация</x:v>
      </x:c>
      <x:c r="E563" t="str">
        <x:v>ПРОДАЖИ: Отвалы</x:v>
      </x:c>
      <x:c r="F563" t="str">
        <x:v>Даниил Касаткин</x:v>
      </x:c>
      <x:c r="G563" t="str">
        <x:v>нет</x:v>
      </x:c>
      <x:c r="H563" t="str">
        <x:v>нет</x:v>
      </x:c>
    </x:row>
    <x:row r="564">
      <x:c r="A564" t="str">
        <x:v>3614</x:v>
      </x:c>
      <x:c r="B564" t="str">
        <x:v>Medicaldent стоматологическая клиника</x:v>
      </x:c>
      <x:c r="C564" t="e">
        <x:f>HYPERLINK("https://belberrycrm.bitrix24.ru/crm/deal/details/3614/","https://belberrycrm.bitrix24.ru/crm/deal/details/3614/")</x:f>
      </x:c>
      <x:c r="D564" t="str">
        <x:v>Реанимация</x:v>
      </x:c>
      <x:c r="E564" t="str">
        <x:v>ПРОДАЖИ: Отвалы</x:v>
      </x:c>
      <x:c r="F564" t="str">
        <x:v>Дмитрий Панов</x:v>
      </x:c>
      <x:c r="G564" t="str">
        <x:v>нет</x:v>
      </x:c>
      <x:c r="H564" t="str">
        <x:v>нет</x:v>
      </x:c>
    </x:row>
    <x:row r="565">
      <x:c r="A565" t="str">
        <x:v>3616</x:v>
      </x:c>
      <x:c r="B565" t="str">
        <x:v>all-dental.me</x:v>
      </x:c>
      <x:c r="C565" t="e">
        <x:f>HYPERLINK("https://belberrycrm.bitrix24.ru/crm/deal/details/3616/","https://belberrycrm.bitrix24.ru/crm/deal/details/3616/")</x:f>
      </x:c>
      <x:c r="D565" t="str">
        <x:v>Реанимация</x:v>
      </x:c>
      <x:c r="E565" t="str">
        <x:v>ПРОДАЖИ: Отвалы</x:v>
      </x:c>
      <x:c r="F565" t="str">
        <x:v>Иван Халин</x:v>
      </x:c>
      <x:c r="G565" t="str">
        <x:v>нет</x:v>
      </x:c>
      <x:c r="H565" t="str">
        <x:v>нет</x:v>
      </x:c>
    </x:row>
    <x:row r="566">
      <x:c r="A566" t="str">
        <x:v>3618</x:v>
      </x:c>
      <x:c r="B566" t="str">
        <x:v>Татьяна Юрьевна Романова</x:v>
      </x:c>
      <x:c r="C566" t="e">
        <x:f>HYPERLINK("https://belberrycrm.bitrix24.ru/crm/deal/details/3618/","https://belberrycrm.bitrix24.ru/crm/deal/details/3618/")</x:f>
      </x:c>
      <x:c r="D566" t="str">
        <x:v>Реанимация</x:v>
      </x:c>
      <x:c r="E566" t="str">
        <x:v>ПРОДАЖИ: Отвалы</x:v>
      </x:c>
      <x:c r="F566" t="str">
        <x:v>Даниил Касаткин</x:v>
      </x:c>
      <x:c r="G566" t="str">
        <x:v>нет</x:v>
      </x:c>
      <x:c r="H566" t="str">
        <x:v>нет</x:v>
      </x:c>
    </x:row>
    <x:row r="567">
      <x:c r="A567" t="str">
        <x:v>3620</x:v>
      </x:c>
      <x:c r="B567" t="str">
        <x:v>Адентис стоматологическая клиника</x:v>
      </x:c>
      <x:c r="C567" t="e">
        <x:f>HYPERLINK("https://belberrycrm.bitrix24.ru/crm/deal/details/3620/","https://belberrycrm.bitrix24.ru/crm/deal/details/3620/")</x:f>
      </x:c>
      <x:c r="D567" t="str">
        <x:v>Реанимация</x:v>
      </x:c>
      <x:c r="E567" t="str">
        <x:v>ПРОДАЖИ: Отвалы</x:v>
      </x:c>
      <x:c r="F567" t="str">
        <x:v>Дмитрий Панов</x:v>
      </x:c>
      <x:c r="G567" t="str">
        <x:v>нет</x:v>
      </x:c>
      <x:c r="H567" t="str">
        <x:v>нет</x:v>
      </x:c>
    </x:row>
    <x:row r="568">
      <x:c r="A568" t="str">
        <x:v>3624</x:v>
      </x:c>
      <x:c r="B568" t="str">
        <x:v>Queensmile студия безопасного отбеливания зубов</x:v>
      </x:c>
      <x:c r="C568" t="e">
        <x:f>HYPERLINK("https://belberrycrm.bitrix24.ru/crm/deal/details/3624/","https://belberrycrm.bitrix24.ru/crm/deal/details/3624/")</x:f>
      </x:c>
      <x:c r="D568" t="str">
        <x:v>Реанимация</x:v>
      </x:c>
      <x:c r="E568" t="str">
        <x:v>ПРОДАЖИ: Отвалы</x:v>
      </x:c>
      <x:c r="F568" t="str">
        <x:v>Дмитрий Панов</x:v>
      </x:c>
      <x:c r="G568" t="str">
        <x:v>нет</x:v>
      </x:c>
      <x:c r="H568" t="str">
        <x:v>нет</x:v>
      </x:c>
    </x:row>
    <x:row r="569">
      <x:c r="A569" t="str">
        <x:v>3630</x:v>
      </x:c>
      <x:c r="B569" t="str">
        <x:v>Айболит + стоматологическая клиника</x:v>
      </x:c>
      <x:c r="C569" t="e">
        <x:f>HYPERLINK("https://belberrycrm.bitrix24.ru/crm/deal/details/3630/","https://belberrycrm.bitrix24.ru/crm/deal/details/3630/")</x:f>
      </x:c>
      <x:c r="D569" t="str">
        <x:v>Реанимация</x:v>
      </x:c>
      <x:c r="E569" t="str">
        <x:v>ПРОДАЖИ: Отвалы</x:v>
      </x:c>
      <x:c r="F569" t="str">
        <x:v>Дмитрий Панов</x:v>
      </x:c>
      <x:c r="G569" t="str">
        <x:v>нет</x:v>
      </x:c>
      <x:c r="H569" t="str">
        <x:v>нет</x:v>
      </x:c>
    </x:row>
    <x:row r="570">
      <x:c r="A570" t="str">
        <x:v>3634</x:v>
      </x:c>
      <x:c r="B570" t="str">
        <x:v>WestStom стоматологическая клиника</x:v>
      </x:c>
      <x:c r="C570" t="e">
        <x:f>HYPERLINK("https://belberrycrm.bitrix24.ru/crm/deal/details/3634/","https://belberrycrm.bitrix24.ru/crm/deal/details/3634/")</x:f>
      </x:c>
      <x:c r="D570" t="str">
        <x:v>Реанимация</x:v>
      </x:c>
      <x:c r="E570" t="str">
        <x:v>ПРОДАЖИ: Отвалы</x:v>
      </x:c>
      <x:c r="F570" t="str">
        <x:v>Дмитрий Панов</x:v>
      </x:c>
      <x:c r="G570" t="str">
        <x:v>нет</x:v>
      </x:c>
      <x:c r="H570" t="str">
        <x:v>нет</x:v>
      </x:c>
    </x:row>
    <x:row r="571">
      <x:c r="A571" t="str">
        <x:v>3636</x:v>
      </x:c>
      <x:c r="B571" t="str">
        <x:v>cryocliniq.ru</x:v>
      </x:c>
      <x:c r="C571" t="e">
        <x:f>HYPERLINK("https://belberrycrm.bitrix24.ru/crm/deal/details/3636/","https://belberrycrm.bitrix24.ru/crm/deal/details/3636/")</x:f>
      </x:c>
      <x:c r="D571" t="str">
        <x:v>Реанимация</x:v>
      </x:c>
      <x:c r="E571" t="str">
        <x:v>ПРОДАЖИ: Отвалы</x:v>
      </x:c>
      <x:c r="F571" t="str">
        <x:v>Иван Халин</x:v>
      </x:c>
      <x:c r="G571" t="str">
        <x:v>нет</x:v>
      </x:c>
      <x:c r="H571" t="str">
        <x:v>нет</x:v>
      </x:c>
    </x:row>
    <x:row r="572">
      <x:c r="A572" t="str">
        <x:v>3638</x:v>
      </x:c>
      <x:c r="B572" t="str">
        <x:v>imedclin.ru</x:v>
      </x:c>
      <x:c r="C572" t="e">
        <x:f>HYPERLINK("https://belberrycrm.bitrix24.ru/crm/deal/details/3638/","https://belberrycrm.bitrix24.ru/crm/deal/details/3638/")</x:f>
      </x:c>
      <x:c r="D572" t="str">
        <x:v>Реанимация</x:v>
      </x:c>
      <x:c r="E572" t="str">
        <x:v>ПРОДАЖИ: Отвалы</x:v>
      </x:c>
      <x:c r="F572" t="str">
        <x:v>Иван Халин</x:v>
      </x:c>
      <x:c r="G572" t="str">
        <x:v>нет</x:v>
      </x:c>
      <x:c r="H572" t="str">
        <x:v>нет</x:v>
      </x:c>
    </x:row>
    <x:row r="573">
      <x:c r="A573" t="str">
        <x:v>3642</x:v>
      </x:c>
      <x:c r="B573" t="str">
        <x:v>mdcs.ru</x:v>
      </x:c>
      <x:c r="C573" t="e">
        <x:f>HYPERLINK("https://belberrycrm.bitrix24.ru/crm/deal/details/3642/","https://belberrycrm.bitrix24.ru/crm/deal/details/3642/")</x:f>
      </x:c>
      <x:c r="D573" t="str">
        <x:v>Реанимация</x:v>
      </x:c>
      <x:c r="E573" t="str">
        <x:v>ПРОДАЖИ: Отвалы</x:v>
      </x:c>
      <x:c r="F573" t="str">
        <x:v>Даниил Касаткин</x:v>
      </x:c>
      <x:c r="G573" t="str">
        <x:v>нет</x:v>
      </x:c>
      <x:c r="H573" t="str">
        <x:v>нет</x:v>
      </x:c>
    </x:row>
    <x:row r="574">
      <x:c r="A574" t="str">
        <x:v>3646</x:v>
      </x:c>
      <x:c r="B574" t="str">
        <x:v>elki-eli.com</x:v>
      </x:c>
      <x:c r="C574" t="e">
        <x:f>HYPERLINK("https://belberrycrm.bitrix24.ru/crm/deal/details/3646/","https://belberrycrm.bitrix24.ru/crm/deal/details/3646/")</x:f>
      </x:c>
      <x:c r="D574" t="str">
        <x:v>Реанимация</x:v>
      </x:c>
      <x:c r="E574" t="str">
        <x:v>ПРОДАЖИ: Отвалы</x:v>
      </x:c>
      <x:c r="F574" t="str">
        <x:v>Иван Халин</x:v>
      </x:c>
      <x:c r="G574" t="str">
        <x:v>нет</x:v>
      </x:c>
      <x:c r="H574" t="str">
        <x:v>нет</x:v>
      </x:c>
    </x:row>
    <x:row r="575">
      <x:c r="A575" t="str">
        <x:v>3648</x:v>
      </x:c>
      <x:c r="B575" t="str">
        <x:v>gerold.su</x:v>
      </x:c>
      <x:c r="C575" t="e">
        <x:f>HYPERLINK("https://belberrycrm.bitrix24.ru/crm/deal/details/3648/","https://belberrycrm.bitrix24.ru/crm/deal/details/3648/")</x:f>
      </x:c>
      <x:c r="D575" t="str">
        <x:v>Реанимация</x:v>
      </x:c>
      <x:c r="E575" t="str">
        <x:v>ПРОДАЖИ: Отвалы</x:v>
      </x:c>
      <x:c r="F575" t="str">
        <x:v>Иван Халин</x:v>
      </x:c>
      <x:c r="G575" t="str">
        <x:v>да</x:v>
      </x:c>
      <x:c r="H575" t="str">
        <x:v>нет</x:v>
      </x:c>
    </x:row>
    <x:row r="576">
      <x:c r="A576" t="str">
        <x:v>3652</x:v>
      </x:c>
      <x:c r="B576" t="str">
        <x:v>Юлия - врач онколог</x:v>
      </x:c>
      <x:c r="C576" t="e">
        <x:f>HYPERLINK("https://belberrycrm.bitrix24.ru/crm/deal/details/3652/","https://belberrycrm.bitrix24.ru/crm/deal/details/3652/")</x:f>
      </x:c>
      <x:c r="D576" t="str">
        <x:v>Реанимация</x:v>
      </x:c>
      <x:c r="E576" t="str">
        <x:v>ПРОДАЖИ: Отвалы</x:v>
      </x:c>
      <x:c r="F576" t="str">
        <x:v>Иван Халин</x:v>
      </x:c>
      <x:c r="G576" t="str">
        <x:v>нет</x:v>
      </x:c>
      <x:c r="H576" t="str">
        <x:v>нет</x:v>
      </x:c>
    </x:row>
    <x:row r="577">
      <x:c r="A577" t="str">
        <x:v>3654</x:v>
      </x:c>
      <x:c r="B577" t="str">
        <x:v>Анастасия Третьякова</x:v>
      </x:c>
      <x:c r="C577" t="e">
        <x:f>HYPERLINK("https://belberrycrm.bitrix24.ru/crm/deal/details/3654/","https://belberrycrm.bitrix24.ru/crm/deal/details/3654/")</x:f>
      </x:c>
      <x:c r="D577" t="str">
        <x:v>Реанимация</x:v>
      </x:c>
      <x:c r="E577" t="str">
        <x:v>ПРОДАЖИ: Отвалы</x:v>
      </x:c>
      <x:c r="F577" t="str">
        <x:v>Иван Халин</x:v>
      </x:c>
      <x:c r="G577" t="str">
        <x:v>нет</x:v>
      </x:c>
      <x:c r="H577" t="str">
        <x:v>нет</x:v>
      </x:c>
    </x:row>
    <x:row r="578">
      <x:c r="A578" t="str">
        <x:v>3656</x:v>
      </x:c>
      <x:c r="B578" t="str">
        <x:v>Олег новая Клиника Казань</x:v>
      </x:c>
      <x:c r="C578" t="e">
        <x:f>HYPERLINK("https://belberrycrm.bitrix24.ru/crm/deal/details/3656/","https://belberrycrm.bitrix24.ru/crm/deal/details/3656/")</x:f>
      </x:c>
      <x:c r="D578" t="str">
        <x:v>Реанимация</x:v>
      </x:c>
      <x:c r="E578" t="str">
        <x:v>ПРОДАЖИ: Отвалы</x:v>
      </x:c>
      <x:c r="F578" t="str">
        <x:v>Даниил Касаткин</x:v>
      </x:c>
      <x:c r="G578" t="str">
        <x:v>нет</x:v>
      </x:c>
      <x:c r="H578" t="str">
        <x:v>нет</x:v>
      </x:c>
    </x:row>
    <x:row r="579">
      <x:c r="A579" t="str">
        <x:v>3660</x:v>
      </x:c>
      <x:c r="B579" t="str">
        <x:v>doctorprofy.ru</x:v>
      </x:c>
      <x:c r="C579" t="e">
        <x:f>HYPERLINK("https://belberrycrm.bitrix24.ru/crm/deal/details/3660/","https://belberrycrm.bitrix24.ru/crm/deal/details/3660/")</x:f>
      </x:c>
      <x:c r="D579" t="str">
        <x:v>Реанимация</x:v>
      </x:c>
      <x:c r="E579" t="str">
        <x:v>ПРОДАЖИ: Отвалы</x:v>
      </x:c>
      <x:c r="F579" t="str">
        <x:v>Иван Халин</x:v>
      </x:c>
      <x:c r="G579" t="str">
        <x:v>нет</x:v>
      </x:c>
      <x:c r="H579" t="str">
        <x:v>нет</x:v>
      </x:c>
    </x:row>
    <x:row r="580">
      <x:c r="A580" t="str">
        <x:v>3664</x:v>
      </x:c>
      <x:c r="B580" t="str">
        <x:v>vitest-clinic.ru</x:v>
      </x:c>
      <x:c r="C580" t="e">
        <x:f>HYPERLINK("https://belberrycrm.bitrix24.ru/crm/deal/details/3664/","https://belberrycrm.bitrix24.ru/crm/deal/details/3664/")</x:f>
      </x:c>
      <x:c r="D580" t="str">
        <x:v>Реанимация</x:v>
      </x:c>
      <x:c r="E580" t="str">
        <x:v>ПРОДАЖИ: Отвалы</x:v>
      </x:c>
      <x:c r="F580" t="str">
        <x:v>Иван Халин</x:v>
      </x:c>
      <x:c r="G580" t="str">
        <x:v>нет</x:v>
      </x:c>
      <x:c r="H580" t="str">
        <x:v>нет</x:v>
      </x:c>
    </x:row>
    <x:row r="581">
      <x:c r="A581" t="str">
        <x:v>3668</x:v>
      </x:c>
      <x:c r="B581" t="str">
        <x:v>demokrat67.com</x:v>
      </x:c>
      <x:c r="C581" t="e">
        <x:f>HYPERLINK("https://belberrycrm.bitrix24.ru/crm/deal/details/3668/","https://belberrycrm.bitrix24.ru/crm/deal/details/3668/")</x:f>
      </x:c>
      <x:c r="D581" t="str">
        <x:v>Реанимация</x:v>
      </x:c>
      <x:c r="E581" t="str">
        <x:v>ПРОДАЖИ: Отвалы</x:v>
      </x:c>
      <x:c r="F581" t="str">
        <x:v>Дмитрий Панов</x:v>
      </x:c>
      <x:c r="G581" t="str">
        <x:v>нет</x:v>
      </x:c>
      <x:c r="H581" t="str">
        <x:v>нет</x:v>
      </x:c>
    </x:row>
    <x:row r="582">
      <x:c r="A582" t="str">
        <x:v>3676</x:v>
      </x:c>
      <x:c r="B582" t="str">
        <x:v>денткрафт.рф</x:v>
      </x:c>
      <x:c r="C582" t="e">
        <x:f>HYPERLINK("https://belberrycrm.bitrix24.ru/crm/deal/details/3676/","https://belberrycrm.bitrix24.ru/crm/deal/details/3676/")</x:f>
      </x:c>
      <x:c r="D582" t="str">
        <x:v>Реанимация</x:v>
      </x:c>
      <x:c r="E582" t="str">
        <x:v>ПРОДАЖИ: Отвалы</x:v>
      </x:c>
      <x:c r="F582" t="str">
        <x:v>Даниил Касаткин</x:v>
      </x:c>
      <x:c r="G582" t="str">
        <x:v>нет</x:v>
      </x:c>
      <x:c r="H582" t="str">
        <x:v>нет</x:v>
      </x:c>
    </x:row>
    <x:row r="583">
      <x:c r="A583" t="str">
        <x:v>3680</x:v>
      </x:c>
      <x:c r="B583" t="str">
        <x:v>demokrat-nvrsk.ru</x:v>
      </x:c>
      <x:c r="C583" t="e">
        <x:f>HYPERLINK("https://belberrycrm.bitrix24.ru/crm/deal/details/3680/","https://belberrycrm.bitrix24.ru/crm/deal/details/3680/")</x:f>
      </x:c>
      <x:c r="D583" t="str">
        <x:v>Реанимация</x:v>
      </x:c>
      <x:c r="E583" t="str">
        <x:v>ПРОДАЖИ: Отвалы</x:v>
      </x:c>
      <x:c r="F583" t="str">
        <x:v>Дмитрий Панов</x:v>
      </x:c>
      <x:c r="G583" t="str">
        <x:v>нет</x:v>
      </x:c>
      <x:c r="H583" t="str">
        <x:v>нет</x:v>
      </x:c>
    </x:row>
    <x:row r="584">
      <x:c r="A584" t="str">
        <x:v>3682</x:v>
      </x:c>
      <x:c r="B584" t="str">
        <x:v>vetdom.ru</x:v>
      </x:c>
      <x:c r="C584" t="e">
        <x:f>HYPERLINK("https://belberrycrm.bitrix24.ru/crm/deal/details/3682/","https://belberrycrm.bitrix24.ru/crm/deal/details/3682/")</x:f>
      </x:c>
      <x:c r="D584" t="str">
        <x:v>Реанимация</x:v>
      </x:c>
      <x:c r="E584" t="str">
        <x:v>ПРОДАЖИ: Отвалы</x:v>
      </x:c>
      <x:c r="F584" t="str">
        <x:v>Иван Халин</x:v>
      </x:c>
      <x:c r="G584" t="str">
        <x:v>нет</x:v>
      </x:c>
      <x:c r="H584" t="str">
        <x:v>нет</x:v>
      </x:c>
    </x:row>
    <x:row r="585">
      <x:c r="A585" t="str">
        <x:v>3684</x:v>
      </x:c>
      <x:c r="B585" t="str">
        <x:v>emsclinic.ru</x:v>
      </x:c>
      <x:c r="C585" t="e">
        <x:f>HYPERLINK("https://belberrycrm.bitrix24.ru/crm/deal/details/3684/","https://belberrycrm.bitrix24.ru/crm/deal/details/3684/")</x:f>
      </x:c>
      <x:c r="D585" t="str">
        <x:v>Реанимация</x:v>
      </x:c>
      <x:c r="E585" t="str">
        <x:v>ПРОДАЖИ: Отвалы</x:v>
      </x:c>
      <x:c r="F585" t="str">
        <x:v>Иван Халин</x:v>
      </x:c>
      <x:c r="G585" t="str">
        <x:v>нет</x:v>
      </x:c>
      <x:c r="H585" t="str">
        <x:v>нет</x:v>
      </x:c>
    </x:row>
    <x:row r="586">
      <x:c r="A586" t="str">
        <x:v>3690</x:v>
      </x:c>
      <x:c r="B586" t="str">
        <x:v>translux.ru</x:v>
      </x:c>
      <x:c r="C586" t="e">
        <x:f>HYPERLINK("https://belberrycrm.bitrix24.ru/crm/deal/details/3690/","https://belberrycrm.bitrix24.ru/crm/deal/details/3690/")</x:f>
      </x:c>
      <x:c r="D586" t="str">
        <x:v>Реанимация</x:v>
      </x:c>
      <x:c r="E586" t="str">
        <x:v>ПРОДАЖИ: Отвалы</x:v>
      </x:c>
      <x:c r="F586" t="str">
        <x:v>Иван Халин</x:v>
      </x:c>
      <x:c r="G586" t="str">
        <x:v>нет</x:v>
      </x:c>
      <x:c r="H586" t="str">
        <x:v>нет</x:v>
      </x:c>
    </x:row>
    <x:row r="587">
      <x:c r="A587" t="str">
        <x:v>3694</x:v>
      </x:c>
      <x:c r="B587" t="str">
        <x:v>подолограевская.рф</x:v>
      </x:c>
      <x:c r="C587" t="e">
        <x:f>HYPERLINK("https://belberrycrm.bitrix24.ru/crm/deal/details/3694/","https://belberrycrm.bitrix24.ru/crm/deal/details/3694/")</x:f>
      </x:c>
      <x:c r="D587" t="str">
        <x:v>Реанимация</x:v>
      </x:c>
      <x:c r="E587" t="str">
        <x:v>ПРОДАЖИ: Отвалы</x:v>
      </x:c>
      <x:c r="F587" t="str">
        <x:v>Даниил Касаткин</x:v>
      </x:c>
      <x:c r="G587" t="str">
        <x:v>нет</x:v>
      </x:c>
      <x:c r="H587" t="str">
        <x:v>нет</x:v>
      </x:c>
    </x:row>
    <x:row r="588">
      <x:c r="A588" t="str">
        <x:v>3698</x:v>
      </x:c>
      <x:c r="B588" t="str">
        <x:v>amoriya.ru</x:v>
      </x:c>
      <x:c r="C588" t="e">
        <x:f>HYPERLINK("https://belberrycrm.bitrix24.ru/crm/deal/details/3698/","https://belberrycrm.bitrix24.ru/crm/deal/details/3698/")</x:f>
      </x:c>
      <x:c r="D588" t="str">
        <x:v>Реанимация</x:v>
      </x:c>
      <x:c r="E588" t="str">
        <x:v>ПРОДАЖИ: Отвалы</x:v>
      </x:c>
      <x:c r="F588" t="str">
        <x:v>Иван Халин</x:v>
      </x:c>
      <x:c r="G588" t="str">
        <x:v>да</x:v>
      </x:c>
      <x:c r="H588" t="str">
        <x:v>нет</x:v>
      </x:c>
    </x:row>
    <x:row r="589">
      <x:c r="A589" t="str">
        <x:v>3704</x:v>
      </x:c>
      <x:c r="B589" t="str">
        <x:v>tochkazreniainfo.ru</x:v>
      </x:c>
      <x:c r="C589" t="e">
        <x:f>HYPERLINK("https://belberrycrm.bitrix24.ru/crm/deal/details/3704/","https://belberrycrm.bitrix24.ru/crm/deal/details/3704/")</x:f>
      </x:c>
      <x:c r="D589" t="str">
        <x:v>Реанимация</x:v>
      </x:c>
      <x:c r="E589" t="str">
        <x:v>ПРОДАЖИ: Отвалы</x:v>
      </x:c>
      <x:c r="F589" t="str">
        <x:v>Даниил Касаткин</x:v>
      </x:c>
      <x:c r="G589" t="str">
        <x:v>нет</x:v>
      </x:c>
      <x:c r="H589" t="str">
        <x:v>нет</x:v>
      </x:c>
    </x:row>
    <x:row r="590">
      <x:c r="A590" t="str">
        <x:v>3706</x:v>
      </x:c>
      <x:c r="B590" t="str">
        <x:v>apresport.ru</x:v>
      </x:c>
      <x:c r="C590" t="e">
        <x:f>HYPERLINK("https://belberrycrm.bitrix24.ru/crm/deal/details/3706/","https://belberrycrm.bitrix24.ru/crm/deal/details/3706/")</x:f>
      </x:c>
      <x:c r="D590" t="str">
        <x:v>Реанимация</x:v>
      </x:c>
      <x:c r="E590" t="str">
        <x:v>ПРОДАЖИ: Отвалы</x:v>
      </x:c>
      <x:c r="F590" t="str">
        <x:v>Иван Халин</x:v>
      </x:c>
      <x:c r="G590" t="str">
        <x:v>нет</x:v>
      </x:c>
      <x:c r="H590" t="str">
        <x:v>нет</x:v>
      </x:c>
    </x:row>
    <x:row r="591">
      <x:c r="A591" t="str">
        <x:v>3710</x:v>
      </x:c>
      <x:c r="B591" t="str">
        <x:v>demokrat-nn.ru</x:v>
      </x:c>
      <x:c r="C591" t="e">
        <x:f>HYPERLINK("https://belberrycrm.bitrix24.ru/crm/deal/details/3710/","https://belberrycrm.bitrix24.ru/crm/deal/details/3710/")</x:f>
      </x:c>
      <x:c r="D591" t="str">
        <x:v>Реанимация</x:v>
      </x:c>
      <x:c r="E591" t="str">
        <x:v>ПРОДАЖИ: Отвалы</x:v>
      </x:c>
      <x:c r="F591" t="str">
        <x:v>Иван Халин</x:v>
      </x:c>
      <x:c r="G591" t="str">
        <x:v>нет</x:v>
      </x:c>
      <x:c r="H591" t="str">
        <x:v>нет</x:v>
      </x:c>
    </x:row>
    <x:row r="592">
      <x:c r="A592" t="str">
        <x:v>3714</x:v>
      </x:c>
      <x:c r="B592" t="str">
        <x:v>lumident24.ru</x:v>
      </x:c>
      <x:c r="C592" t="e">
        <x:f>HYPERLINK("https://belberrycrm.bitrix24.ru/crm/deal/details/3714/","https://belberrycrm.bitrix24.ru/crm/deal/details/3714/")</x:f>
      </x:c>
      <x:c r="D592" t="str">
        <x:v>Реанимация</x:v>
      </x:c>
      <x:c r="E592" t="str">
        <x:v>ПРОДАЖИ: Отвалы</x:v>
      </x:c>
      <x:c r="F592" t="str">
        <x:v>Даниил Касаткин</x:v>
      </x:c>
      <x:c r="G592" t="str">
        <x:v>нет</x:v>
      </x:c>
      <x:c r="H592" t="str">
        <x:v>нет</x:v>
      </x:c>
    </x:row>
    <x:row r="593">
      <x:c r="A593" t="str">
        <x:v>3730</x:v>
      </x:c>
      <x:c r="B593" t="str">
        <x:v>terapiakrasoty.ru</x:v>
      </x:c>
      <x:c r="C593" t="e">
        <x:f>HYPERLINK("https://belberrycrm.bitrix24.ru/crm/deal/details/3730/","https://belberrycrm.bitrix24.ru/crm/deal/details/3730/")</x:f>
      </x:c>
      <x:c r="D593" t="str">
        <x:v>Реанимация</x:v>
      </x:c>
      <x:c r="E593" t="str">
        <x:v>ПРОДАЖИ: Отвалы</x:v>
      </x:c>
      <x:c r="F593" t="str">
        <x:v>Иван Халин</x:v>
      </x:c>
      <x:c r="G593" t="str">
        <x:v>нет</x:v>
      </x:c>
      <x:c r="H593" t="str">
        <x:v>нет</x:v>
      </x:c>
    </x:row>
    <x:row r="594">
      <x:c r="A594" t="str">
        <x:v>3738</x:v>
      </x:c>
      <x:c r="B594" t="str">
        <x:v>Dental Studio Dynasty</x:v>
      </x:c>
      <x:c r="C594" t="e">
        <x:f>HYPERLINK("https://belberrycrm.bitrix24.ru/crm/deal/details/3738/","https://belberrycrm.bitrix24.ru/crm/deal/details/3738/")</x:f>
      </x:c>
      <x:c r="D594" t="str">
        <x:v>Реанимация</x:v>
      </x:c>
      <x:c r="E594" t="str">
        <x:v>ПРОДАЖИ: Отвалы</x:v>
      </x:c>
      <x:c r="F594" t="str">
        <x:v>Иван Халин</x:v>
      </x:c>
      <x:c r="G594" t="str">
        <x:v>нет</x:v>
      </x:c>
      <x:c r="H594" t="str">
        <x:v>нет</x:v>
      </x:c>
    </x:row>
    <x:row r="595">
      <x:c r="A595" t="str">
        <x:v>3748</x:v>
      </x:c>
      <x:c r="B595" t="str">
        <x:v>angel-dent.ru</x:v>
      </x:c>
      <x:c r="C595" t="e">
        <x:f>HYPERLINK("https://belberrycrm.bitrix24.ru/crm/deal/details/3748/","https://belberrycrm.bitrix24.ru/crm/deal/details/3748/")</x:f>
      </x:c>
      <x:c r="D595" t="str">
        <x:v>Реанимация</x:v>
      </x:c>
      <x:c r="E595" t="str">
        <x:v>ПРОДАЖИ: Отвалы</x:v>
      </x:c>
      <x:c r="F595" t="str">
        <x:v>Даниил Касаткин</x:v>
      </x:c>
      <x:c r="G595" t="str">
        <x:v>нет</x:v>
      </x:c>
      <x:c r="H595" t="str">
        <x:v>нет</x:v>
      </x:c>
    </x:row>
    <x:row r="596">
      <x:c r="A596" t="str">
        <x:v>3752</x:v>
      </x:c>
      <x:c r="B596" t="str">
        <x:v>selmedline.ru</x:v>
      </x:c>
      <x:c r="C596" t="e">
        <x:f>HYPERLINK("https://belberrycrm.bitrix24.ru/crm/deal/details/3752/","https://belberrycrm.bitrix24.ru/crm/deal/details/3752/")</x:f>
      </x:c>
      <x:c r="D596" t="str">
        <x:v>Реанимация</x:v>
      </x:c>
      <x:c r="E596" t="str">
        <x:v>ПРОДАЖИ: Отвалы</x:v>
      </x:c>
      <x:c r="F596" t="str">
        <x:v>Иван Халин</x:v>
      </x:c>
      <x:c r="G596" t="str">
        <x:v>нет</x:v>
      </x:c>
      <x:c r="H596" t="str">
        <x:v>нет</x:v>
      </x:c>
    </x:row>
    <x:row r="597">
      <x:c r="A597" t="str">
        <x:v>3754</x:v>
      </x:c>
      <x:c r="B597" t="str">
        <x:v>westmed-st.ru</x:v>
      </x:c>
      <x:c r="C597" t="e">
        <x:f>HYPERLINK("https://belberrycrm.bitrix24.ru/crm/deal/details/3754/","https://belberrycrm.bitrix24.ru/crm/deal/details/3754/")</x:f>
      </x:c>
      <x:c r="D597" t="str">
        <x:v>Реанимация</x:v>
      </x:c>
      <x:c r="E597" t="str">
        <x:v>ПРОДАЖИ: Отвалы</x:v>
      </x:c>
      <x:c r="F597" t="str">
        <x:v>Иван Халин</x:v>
      </x:c>
      <x:c r="G597" t="str">
        <x:v>нет</x:v>
      </x:c>
      <x:c r="H597" t="str">
        <x:v>нет</x:v>
      </x:c>
    </x:row>
    <x:row r="598">
      <x:c r="A598" t="str">
        <x:v>3760</x:v>
      </x:c>
      <x:c r="B598" t="str">
        <x:v>ЛиДи Центр Здоровья Зубов</x:v>
      </x:c>
      <x:c r="C598" t="e">
        <x:f>HYPERLINK("https://belberrycrm.bitrix24.ru/crm/deal/details/3760/","https://belberrycrm.bitrix24.ru/crm/deal/details/3760/")</x:f>
      </x:c>
      <x:c r="D598" t="str">
        <x:v>Реанимация</x:v>
      </x:c>
      <x:c r="E598" t="str">
        <x:v>ПРОДАЖИ: Отвалы</x:v>
      </x:c>
      <x:c r="F598" t="str">
        <x:v>Иван Халин</x:v>
      </x:c>
      <x:c r="G598" t="str">
        <x:v>нет</x:v>
      </x:c>
      <x:c r="H598" t="str">
        <x:v>нет</x:v>
      </x:c>
    </x:row>
    <x:row r="599">
      <x:c r="A599" t="str">
        <x:v>3764</x:v>
      </x:c>
      <x:c r="B599" t="str">
        <x:v>Лор дент медицинский центр</x:v>
      </x:c>
      <x:c r="C599" t="e">
        <x:f>HYPERLINK("https://belberrycrm.bitrix24.ru/crm/deal/details/3764/","https://belberrycrm.bitrix24.ru/crm/deal/details/3764/")</x:f>
      </x:c>
      <x:c r="D599" t="str">
        <x:v>Реанимация</x:v>
      </x:c>
      <x:c r="E599" t="str">
        <x:v>ПРОДАЖИ: Отвалы</x:v>
      </x:c>
      <x:c r="F599" t="str">
        <x:v>Иван Халин</x:v>
      </x:c>
      <x:c r="G599" t="str">
        <x:v>нет</x:v>
      </x:c>
      <x:c r="H599" t="str">
        <x:v>нет</x:v>
      </x:c>
    </x:row>
    <x:row r="600">
      <x:c r="A600" t="str">
        <x:v>3766</x:v>
      </x:c>
      <x:c r="B600" t="str">
        <x:v>cls-clinic.ru</x:v>
      </x:c>
      <x:c r="C600" t="e">
        <x:f>HYPERLINK("https://belberrycrm.bitrix24.ru/crm/deal/details/3766/","https://belberrycrm.bitrix24.ru/crm/deal/details/3766/")</x:f>
      </x:c>
      <x:c r="D600" t="str">
        <x:v>Реанимация</x:v>
      </x:c>
      <x:c r="E600" t="str">
        <x:v>ПРОДАЖИ: Отвалы</x:v>
      </x:c>
      <x:c r="F600" t="str">
        <x:v>Иван Халин</x:v>
      </x:c>
      <x:c r="G600" t="str">
        <x:v>нет</x:v>
      </x:c>
      <x:c r="H600" t="str">
        <x:v>нет</x:v>
      </x:c>
    </x:row>
    <x:row r="601">
      <x:c r="A601" t="str">
        <x:v>3774</x:v>
      </x:c>
      <x:c r="B601" t="str">
        <x:v>real-clinic.com</x:v>
      </x:c>
      <x:c r="C601" t="e">
        <x:f>HYPERLINK("https://belberrycrm.bitrix24.ru/crm/deal/details/3774/","https://belberrycrm.bitrix24.ru/crm/deal/details/3774/")</x:f>
      </x:c>
      <x:c r="D601" t="str">
        <x:v>Реанимация</x:v>
      </x:c>
      <x:c r="E601" t="str">
        <x:v>ПРОДАЖИ: Отвалы</x:v>
      </x:c>
      <x:c r="F601" t="str">
        <x:v>Иван Халин</x:v>
      </x:c>
      <x:c r="G601" t="str">
        <x:v>нет</x:v>
      </x:c>
      <x:c r="H601" t="str">
        <x:v>нет</x:v>
      </x:c>
    </x:row>
    <x:row r="602">
      <x:c r="A602" t="str">
        <x:v>3776</x:v>
      </x:c>
      <x:c r="B602" t="str">
        <x:v>avtor-stom.ru</x:v>
      </x:c>
      <x:c r="C602" t="e">
        <x:f>HYPERLINK("https://belberrycrm.bitrix24.ru/crm/deal/details/3776/","https://belberrycrm.bitrix24.ru/crm/deal/details/3776/")</x:f>
      </x:c>
      <x:c r="D602" t="str">
        <x:v>Реанимация</x:v>
      </x:c>
      <x:c r="E602" t="str">
        <x:v>ПРОДАЖИ: Отвалы</x:v>
      </x:c>
      <x:c r="F602" t="str">
        <x:v>Иван Халин</x:v>
      </x:c>
      <x:c r="G602" t="str">
        <x:v>да</x:v>
      </x:c>
      <x:c r="H602" t="str">
        <x:v>нет</x:v>
      </x:c>
    </x:row>
    <x:row r="603">
      <x:c r="A603" t="str">
        <x:v>3782</x:v>
      </x:c>
      <x:c r="B603" t="str">
        <x:v>sharnele.ru</x:v>
      </x:c>
      <x:c r="C603" t="e">
        <x:f>HYPERLINK("https://belberrycrm.bitrix24.ru/crm/deal/details/3782/","https://belberrycrm.bitrix24.ru/crm/deal/details/3782/")</x:f>
      </x:c>
      <x:c r="D603" t="str">
        <x:v>Реанимация</x:v>
      </x:c>
      <x:c r="E603" t="str">
        <x:v>ПРОДАЖИ: Отвалы</x:v>
      </x:c>
      <x:c r="F603" t="str">
        <x:v>Иван Халин</x:v>
      </x:c>
      <x:c r="G603" t="str">
        <x:v>нет</x:v>
      </x:c>
      <x:c r="H603" t="str">
        <x:v>нет</x:v>
      </x:c>
    </x:row>
    <x:row r="604">
      <x:c r="A604" t="str">
        <x:v>3784</x:v>
      </x:c>
      <x:c r="B604" t="str">
        <x:v>aquatoria2003.ru</x:v>
      </x:c>
      <x:c r="C604" t="e">
        <x:f>HYPERLINK("https://belberrycrm.bitrix24.ru/crm/deal/details/3784/","https://belberrycrm.bitrix24.ru/crm/deal/details/3784/")</x:f>
      </x:c>
      <x:c r="D604" t="str">
        <x:v>Реанимация</x:v>
      </x:c>
      <x:c r="E604" t="str">
        <x:v>ПРОДАЖИ: Отвалы</x:v>
      </x:c>
      <x:c r="F604" t="str">
        <x:v>Иван Халин</x:v>
      </x:c>
      <x:c r="G604" t="str">
        <x:v>нет</x:v>
      </x:c>
      <x:c r="H604" t="str">
        <x:v>нет</x:v>
      </x:c>
    </x:row>
    <x:row r="605">
      <x:c r="A605" t="str">
        <x:v>3790</x:v>
      </x:c>
      <x:c r="B605" t="str">
        <x:v>charm-dental.ru</x:v>
      </x:c>
      <x:c r="C605" t="e">
        <x:f>HYPERLINK("https://belberrycrm.bitrix24.ru/crm/deal/details/3790/","https://belberrycrm.bitrix24.ru/crm/deal/details/3790/")</x:f>
      </x:c>
      <x:c r="D605" t="str">
        <x:v>Реанимация</x:v>
      </x:c>
      <x:c r="E605" t="str">
        <x:v>ПРОДАЖИ: Отвалы</x:v>
      </x:c>
      <x:c r="F605" t="str">
        <x:v>Даниил Касаткин</x:v>
      </x:c>
      <x:c r="G605" t="str">
        <x:v>нет</x:v>
      </x:c>
      <x:c r="H605" t="str">
        <x:v>нет</x:v>
      </x:c>
    </x:row>
    <x:row r="606">
      <x:c r="A606" t="str">
        <x:v>3794</x:v>
      </x:c>
      <x:c r="B606" t="str">
        <x:v>mobreb.ru</x:v>
      </x:c>
      <x:c r="C606" t="e">
        <x:f>HYPERLINK("https://belberrycrm.bitrix24.ru/crm/deal/details/3794/","https://belberrycrm.bitrix24.ru/crm/deal/details/3794/")</x:f>
      </x:c>
      <x:c r="D606" t="str">
        <x:v>Реанимация</x:v>
      </x:c>
      <x:c r="E606" t="str">
        <x:v>ПРОДАЖИ: Отвалы</x:v>
      </x:c>
      <x:c r="F606" t="str">
        <x:v>Иван Халин</x:v>
      </x:c>
      <x:c r="G606" t="str">
        <x:v>нет</x:v>
      </x:c>
      <x:c r="H606" t="str">
        <x:v>нет</x:v>
      </x:c>
    </x:row>
    <x:row r="607">
      <x:c r="A607" t="str">
        <x:v>3796</x:v>
      </x:c>
      <x:c r="B607" t="str">
        <x:v>evrodent15.ru</x:v>
      </x:c>
      <x:c r="C607" t="e">
        <x:f>HYPERLINK("https://belberrycrm.bitrix24.ru/crm/deal/details/3796/","https://belberrycrm.bitrix24.ru/crm/deal/details/3796/")</x:f>
      </x:c>
      <x:c r="D607" t="str">
        <x:v>Реанимация</x:v>
      </x:c>
      <x:c r="E607" t="str">
        <x:v>ПРОДАЖИ: Отвалы</x:v>
      </x:c>
      <x:c r="F607" t="str">
        <x:v>Даниил Касаткин</x:v>
      </x:c>
      <x:c r="G607" t="str">
        <x:v>нет</x:v>
      </x:c>
      <x:c r="H607" t="str">
        <x:v>нет</x:v>
      </x:c>
    </x:row>
    <x:row r="608">
      <x:c r="A608" t="str">
        <x:v>3802</x:v>
      </x:c>
      <x:c r="B608" t="str">
        <x:v>pl-sfera.ru</x:v>
      </x:c>
      <x:c r="C608" t="e">
        <x:f>HYPERLINK("https://belberrycrm.bitrix24.ru/crm/deal/details/3802/","https://belberrycrm.bitrix24.ru/crm/deal/details/3802/")</x:f>
      </x:c>
      <x:c r="D608" t="str">
        <x:v>Реанимация</x:v>
      </x:c>
      <x:c r="E608" t="str">
        <x:v>ПРОДАЖИ: Отвалы</x:v>
      </x:c>
      <x:c r="F608" t="str">
        <x:v>Иван Халин</x:v>
      </x:c>
      <x:c r="G608" t="str">
        <x:v>да</x:v>
      </x:c>
      <x:c r="H608" t="str">
        <x:v>нет</x:v>
      </x:c>
    </x:row>
    <x:row r="609">
      <x:c r="A609" t="str">
        <x:v>3806</x:v>
      </x:c>
      <x:c r="B609" t="str">
        <x:v>VitalDent</x:v>
      </x:c>
      <x:c r="C609" t="e">
        <x:f>HYPERLINK("https://belberrycrm.bitrix24.ru/crm/deal/details/3806/","https://belberrycrm.bitrix24.ru/crm/deal/details/3806/")</x:f>
      </x:c>
      <x:c r="D609" t="str">
        <x:v>Реанимация</x:v>
      </x:c>
      <x:c r="E609" t="str">
        <x:v>ПРОДАЖИ: Отвалы</x:v>
      </x:c>
      <x:c r="F609" t="str">
        <x:v>Иван Халин</x:v>
      </x:c>
      <x:c r="G609" t="str">
        <x:v>нет</x:v>
      </x:c>
      <x:c r="H609" t="str">
        <x:v>нет</x:v>
      </x:c>
    </x:row>
    <x:row r="610">
      <x:c r="A610" t="str">
        <x:v>3816</x:v>
      </x:c>
      <x:c r="B610" t="str">
        <x:v>Стоматологиятула.рф</x:v>
      </x:c>
      <x:c r="C610" t="e">
        <x:f>HYPERLINK("https://belberrycrm.bitrix24.ru/crm/deal/details/3816/","https://belberrycrm.bitrix24.ru/crm/deal/details/3816/")</x:f>
      </x:c>
      <x:c r="D610" t="str">
        <x:v>Реанимация</x:v>
      </x:c>
      <x:c r="E610" t="str">
        <x:v>ПРОДАЖИ: Отвалы</x:v>
      </x:c>
      <x:c r="F610" t="str">
        <x:v>Иван Халин</x:v>
      </x:c>
      <x:c r="G610" t="str">
        <x:v>нет</x:v>
      </x:c>
      <x:c r="H610" t="str">
        <x:v>нет</x:v>
      </x:c>
    </x:row>
    <x:row r="611">
      <x:c r="A611" t="str">
        <x:v>3824</x:v>
      </x:c>
      <x:c r="B611" t="str">
        <x:v>prima-dentale-salon.ru</x:v>
      </x:c>
      <x:c r="C611" t="e">
        <x:f>HYPERLINK("https://belberrycrm.bitrix24.ru/crm/deal/details/3824/","https://belberrycrm.bitrix24.ru/crm/deal/details/3824/")</x:f>
      </x:c>
      <x:c r="D611" t="str">
        <x:v>Реанимация</x:v>
      </x:c>
      <x:c r="E611" t="str">
        <x:v>ПРОДАЖИ: Отвалы</x:v>
      </x:c>
      <x:c r="F611" t="str">
        <x:v>Иван Халин</x:v>
      </x:c>
      <x:c r="G611" t="str">
        <x:v>нет</x:v>
      </x:c>
      <x:c r="H611" t="str">
        <x:v>нет</x:v>
      </x:c>
    </x:row>
    <x:row r="612">
      <x:c r="A612" t="str">
        <x:v>3828</x:v>
      </x:c>
      <x:c r="B612" t="str">
        <x:v>o-estestvenno.ru</x:v>
      </x:c>
      <x:c r="C612" t="e">
        <x:f>HYPERLINK("https://belberrycrm.bitrix24.ru/crm/deal/details/3828/","https://belberrycrm.bitrix24.ru/crm/deal/details/3828/")</x:f>
      </x:c>
      <x:c r="D612" t="str">
        <x:v>Реанимация</x:v>
      </x:c>
      <x:c r="E612" t="str">
        <x:v>ПРОДАЖИ: Отвалы</x:v>
      </x:c>
      <x:c r="F612" t="str">
        <x:v>Иван Халин</x:v>
      </x:c>
      <x:c r="G612" t="str">
        <x:v>нет</x:v>
      </x:c>
      <x:c r="H612" t="str">
        <x:v>нет</x:v>
      </x:c>
    </x:row>
    <x:row r="613">
      <x:c r="A613" t="str">
        <x:v>3834</x:v>
      </x:c>
      <x:c r="B613" t="str">
        <x:v>gmmedical.ru</x:v>
      </x:c>
      <x:c r="C613" t="e">
        <x:f>HYPERLINK("https://belberrycrm.bitrix24.ru/crm/deal/details/3834/","https://belberrycrm.bitrix24.ru/crm/deal/details/3834/")</x:f>
      </x:c>
      <x:c r="D613" t="str">
        <x:v>Реанимация</x:v>
      </x:c>
      <x:c r="E613" t="str">
        <x:v>ПРОДАЖИ: Отвалы</x:v>
      </x:c>
      <x:c r="F613" t="str">
        <x:v>Иван Халин</x:v>
      </x:c>
      <x:c r="G613" t="str">
        <x:v>нет</x:v>
      </x:c>
      <x:c r="H613" t="str">
        <x:v>нет</x:v>
      </x:c>
    </x:row>
    <x:row r="614">
      <x:c r="A614" t="str">
        <x:v>3836</x:v>
      </x:c>
      <x:c r="B614" t="str">
        <x:v>narcologos.ru</x:v>
      </x:c>
      <x:c r="C614" t="e">
        <x:f>HYPERLINK("https://belberrycrm.bitrix24.ru/crm/deal/details/3836/","https://belberrycrm.bitrix24.ru/crm/deal/details/3836/")</x:f>
      </x:c>
      <x:c r="D614" t="str">
        <x:v>Реанимация</x:v>
      </x:c>
      <x:c r="E614" t="str">
        <x:v>ПРОДАЖИ: Отвалы</x:v>
      </x:c>
      <x:c r="F614" t="str">
        <x:v>Иван Халин</x:v>
      </x:c>
      <x:c r="G614" t="str">
        <x:v>да</x:v>
      </x:c>
      <x:c r="H614" t="str">
        <x:v>нет</x:v>
      </x:c>
    </x:row>
    <x:row r="615">
      <x:c r="A615" t="str">
        <x:v>3850</x:v>
      </x:c>
      <x:c r="B615" t="str">
        <x:v>articon-clinic.ru</x:v>
      </x:c>
      <x:c r="C615" t="e">
        <x:f>HYPERLINK("https://belberrycrm.bitrix24.ru/crm/deal/details/3850/","https://belberrycrm.bitrix24.ru/crm/deal/details/3850/")</x:f>
      </x:c>
      <x:c r="D615" t="str">
        <x:v>Реанимация</x:v>
      </x:c>
      <x:c r="E615" t="str">
        <x:v>ПРОДАЖИ: Отвалы</x:v>
      </x:c>
      <x:c r="F615" t="str">
        <x:v>Даниил Касаткин</x:v>
      </x:c>
      <x:c r="G615" t="str">
        <x:v>нет</x:v>
      </x:c>
      <x:c r="H615" t="str">
        <x:v>нет</x:v>
      </x:c>
    </x:row>
    <x:row r="616">
      <x:c r="A616" t="str">
        <x:v>3852</x:v>
      </x:c>
      <x:c r="B616" t="str">
        <x:v>dentamir2000.ru</x:v>
      </x:c>
      <x:c r="C616" t="e">
        <x:f>HYPERLINK("https://belberrycrm.bitrix24.ru/crm/deal/details/3852/","https://belberrycrm.bitrix24.ru/crm/deal/details/3852/")</x:f>
      </x:c>
      <x:c r="D616" t="str">
        <x:v>Реанимация</x:v>
      </x:c>
      <x:c r="E616" t="str">
        <x:v>ПРОДАЖИ: Отвалы</x:v>
      </x:c>
      <x:c r="F616" t="str">
        <x:v>Даниил Касаткин</x:v>
      </x:c>
      <x:c r="G616" t="str">
        <x:v>нет</x:v>
      </x:c>
      <x:c r="H616" t="str">
        <x:v>нет</x:v>
      </x:c>
    </x:row>
    <x:row r="617">
      <x:c r="A617" t="str">
        <x:v>3858</x:v>
      </x:c>
      <x:c r="B617" t="str">
        <x:v>lenarclinic.com</x:v>
      </x:c>
      <x:c r="C617" t="e">
        <x:f>HYPERLINK("https://belberrycrm.bitrix24.ru/crm/deal/details/3858/","https://belberrycrm.bitrix24.ru/crm/deal/details/3858/")</x:f>
      </x:c>
      <x:c r="D617" t="str">
        <x:v>Реанимация</x:v>
      </x:c>
      <x:c r="E617" t="str">
        <x:v>ПРОДАЖИ: Отвалы</x:v>
      </x:c>
      <x:c r="F617" t="str">
        <x:v>Иван Халин</x:v>
      </x:c>
      <x:c r="G617" t="str">
        <x:v>нет</x:v>
      </x:c>
      <x:c r="H617" t="str">
        <x:v>нет</x:v>
      </x:c>
    </x:row>
    <x:row r="618">
      <x:c r="A618" t="str">
        <x:v>3860</x:v>
      </x:c>
      <x:c r="B618" t="str">
        <x:v>wzglyad.ru</x:v>
      </x:c>
      <x:c r="C618" t="e">
        <x:f>HYPERLINK("https://belberrycrm.bitrix24.ru/crm/deal/details/3860/","https://belberrycrm.bitrix24.ru/crm/deal/details/3860/")</x:f>
      </x:c>
      <x:c r="D618" t="str">
        <x:v>Реанимация</x:v>
      </x:c>
      <x:c r="E618" t="str">
        <x:v>АРХИВ Общая</x:v>
      </x:c>
      <x:c r="F618" t="str">
        <x:v>Екатерина Апушкина</x:v>
      </x:c>
      <x:c r="G618" t="str">
        <x:v>нет</x:v>
      </x:c>
      <x:c r="H618" t="str">
        <x:v>нет</x:v>
      </x:c>
    </x:row>
    <x:row r="619">
      <x:c r="A619" t="str">
        <x:v>3868</x:v>
      </x:c>
      <x:c r="B619" t="str">
        <x:v>laserp.ru</x:v>
      </x:c>
      <x:c r="C619" t="e">
        <x:f>HYPERLINK("https://belberrycrm.bitrix24.ru/crm/deal/details/3868/","https://belberrycrm.bitrix24.ru/crm/deal/details/3868/")</x:f>
      </x:c>
      <x:c r="D619" t="str">
        <x:v>Реанимация</x:v>
      </x:c>
      <x:c r="E619" t="str">
        <x:v>ПРОДАЖИ: Отвалы</x:v>
      </x:c>
      <x:c r="F619" t="str">
        <x:v>Иван Халин</x:v>
      </x:c>
      <x:c r="G619" t="str">
        <x:v>нет</x:v>
      </x:c>
      <x:c r="H619" t="str">
        <x:v>нет</x:v>
      </x:c>
    </x:row>
    <x:row r="620">
      <x:c r="A620" t="str">
        <x:v>3872</x:v>
      </x:c>
      <x:c r="B620" t="str">
        <x:v>Сеть клиник НЕ БОЛЬНО</x:v>
      </x:c>
      <x:c r="C620" t="e">
        <x:f>HYPERLINK("https://belberrycrm.bitrix24.ru/crm/deal/details/3872/","https://belberrycrm.bitrix24.ru/crm/deal/details/3872/")</x:f>
      </x:c>
      <x:c r="D620" t="str">
        <x:v>Реанимация</x:v>
      </x:c>
      <x:c r="E620" t="str">
        <x:v>ПРОДАЖИ: Отвалы</x:v>
      </x:c>
      <x:c r="F620" t="str">
        <x:v>Иван Халин</x:v>
      </x:c>
      <x:c r="G620" t="str">
        <x:v>нет</x:v>
      </x:c>
      <x:c r="H620" t="str">
        <x:v>нет</x:v>
      </x:c>
    </x:row>
    <x:row r="621">
      <x:c r="A621" t="str">
        <x:v>3874</x:v>
      </x:c>
      <x:c r="B621" t="str">
        <x:v>ec-line.ru</x:v>
      </x:c>
      <x:c r="C621" t="e">
        <x:f>HYPERLINK("https://belberrycrm.bitrix24.ru/crm/deal/details/3874/","https://belberrycrm.bitrix24.ru/crm/deal/details/3874/")</x:f>
      </x:c>
      <x:c r="D621" t="str">
        <x:v>Реанимация</x:v>
      </x:c>
      <x:c r="E621" t="str">
        <x:v>ПРОДАЖИ: Отвалы</x:v>
      </x:c>
      <x:c r="F621" t="str">
        <x:v>Иван Халин</x:v>
      </x:c>
      <x:c r="G621" t="str">
        <x:v>нет</x:v>
      </x:c>
      <x:c r="H621" t="str">
        <x:v>нет</x:v>
      </x:c>
    </x:row>
    <x:row r="622">
      <x:c r="A622" t="str">
        <x:v>3876</x:v>
      </x:c>
      <x:c r="B622" t="str">
        <x:v>Евгения Солопенкова (личный бренд врача косметолога)</x:v>
      </x:c>
      <x:c r="C622" t="e">
        <x:f>HYPERLINK("https://belberrycrm.bitrix24.ru/crm/deal/details/3876/","https://belberrycrm.bitrix24.ru/crm/deal/details/3876/")</x:f>
      </x:c>
      <x:c r="D622" t="str">
        <x:v>Реанимация</x:v>
      </x:c>
      <x:c r="E622" t="str">
        <x:v>ПРОДАЖИ: Отвалы</x:v>
      </x:c>
      <x:c r="F622" t="str">
        <x:v>Иван Халин</x:v>
      </x:c>
      <x:c r="G622" t="str">
        <x:v>нет</x:v>
      </x:c>
      <x:c r="H622" t="str">
        <x:v>нет</x:v>
      </x:c>
    </x:row>
    <x:row r="623">
      <x:c r="A623" t="str">
        <x:v>3878</x:v>
      </x:c>
      <x:c r="B623" t="str">
        <x:v>zubnoy-doktor.ru</x:v>
      </x:c>
      <x:c r="C623" t="e">
        <x:f>HYPERLINK("https://belberrycrm.bitrix24.ru/crm/deal/details/3878/","https://belberrycrm.bitrix24.ru/crm/deal/details/3878/")</x:f>
      </x:c>
      <x:c r="D623" t="str">
        <x:v>Реанимация</x:v>
      </x:c>
      <x:c r="E623" t="str">
        <x:v>ПРОДАЖИ: Отвалы</x:v>
      </x:c>
      <x:c r="F623" t="str">
        <x:v>Иван Халин</x:v>
      </x:c>
      <x:c r="G623" t="str">
        <x:v>нет</x:v>
      </x:c>
      <x:c r="H623" t="str">
        <x:v>нет</x:v>
      </x:c>
    </x:row>
    <x:row r="624">
      <x:c r="A624" t="str">
        <x:v>3888</x:v>
      </x:c>
      <x:c r="B624" t="str">
        <x:v>selenamedkor.ru</x:v>
      </x:c>
      <x:c r="C624" t="e">
        <x:f>HYPERLINK("https://belberrycrm.bitrix24.ru/crm/deal/details/3888/","https://belberrycrm.bitrix24.ru/crm/deal/details/3888/")</x:f>
      </x:c>
      <x:c r="D624" t="str">
        <x:v>Реанимация</x:v>
      </x:c>
      <x:c r="E624" t="str">
        <x:v>ПРОДАЖИ: Отвалы</x:v>
      </x:c>
      <x:c r="F624" t="str">
        <x:v>Даниил Касаткин</x:v>
      </x:c>
      <x:c r="G624" t="str">
        <x:v>нет</x:v>
      </x:c>
      <x:c r="H624" t="str">
        <x:v>нет</x:v>
      </x:c>
    </x:row>
    <x:row r="625">
      <x:c r="A625" t="str">
        <x:v>3898</x:v>
      </x:c>
      <x:c r="B625" t="str">
        <x:v>zvktools.ru</x:v>
      </x:c>
      <x:c r="C625" t="e">
        <x:f>HYPERLINK("https://belberrycrm.bitrix24.ru/crm/deal/details/3898/","https://belberrycrm.bitrix24.ru/crm/deal/details/3898/")</x:f>
      </x:c>
      <x:c r="D625" t="str">
        <x:v>Реанимация</x:v>
      </x:c>
      <x:c r="E625" t="str">
        <x:v>ПРОДАЖИ: Отвалы</x:v>
      </x:c>
      <x:c r="F625" t="str">
        <x:v>Иван Халин</x:v>
      </x:c>
      <x:c r="G625" t="str">
        <x:v>нет</x:v>
      </x:c>
      <x:c r="H625" t="str">
        <x:v>нет</x:v>
      </x:c>
    </x:row>
    <x:row r="626">
      <x:c r="A626" t="str">
        <x:v>3900</x:v>
      </x:c>
      <x:c r="B626" t="str">
        <x:v>stepmedicals.com</x:v>
      </x:c>
      <x:c r="C626" t="e">
        <x:f>HYPERLINK("https://belberrycrm.bitrix24.ru/crm/deal/details/3900/","https://belberrycrm.bitrix24.ru/crm/deal/details/3900/")</x:f>
      </x:c>
      <x:c r="D626" t="str">
        <x:v>Реанимация</x:v>
      </x:c>
      <x:c r="E626" t="str">
        <x:v>ПРОДАЖИ: Отвалы</x:v>
      </x:c>
      <x:c r="F626" t="str">
        <x:v>Иван Халин</x:v>
      </x:c>
      <x:c r="G626" t="str">
        <x:v>нет</x:v>
      </x:c>
      <x:c r="H626" t="str">
        <x:v>нет</x:v>
      </x:c>
    </x:row>
    <x:row r="627">
      <x:c r="A627" t="str">
        <x:v>3902</x:v>
      </x:c>
      <x:c r="B627" t="str">
        <x:v>svo.aero</x:v>
      </x:c>
      <x:c r="C627" t="e">
        <x:f>HYPERLINK("https://belberrycrm.bitrix24.ru/crm/deal/details/3902/","https://belberrycrm.bitrix24.ru/crm/deal/details/3902/")</x:f>
      </x:c>
      <x:c r="D627" t="str">
        <x:v>Реанимация</x:v>
      </x:c>
      <x:c r="E627" t="str">
        <x:v>ПРОДАЖИ: Отвалы</x:v>
      </x:c>
      <x:c r="F627" t="str">
        <x:v>Даниил Касаткин</x:v>
      </x:c>
      <x:c r="G627" t="str">
        <x:v>нет</x:v>
      </x:c>
      <x:c r="H627" t="str">
        <x:v>нет</x:v>
      </x:c>
    </x:row>
    <x:row r="628">
      <x:c r="A628" t="str">
        <x:v>3904</x:v>
      </x:c>
      <x:c r="B628" t="str">
        <x:v>v3me.ru</x:v>
      </x:c>
      <x:c r="C628" t="e">
        <x:f>HYPERLINK("https://belberrycrm.bitrix24.ru/crm/deal/details/3904/","https://belberrycrm.bitrix24.ru/crm/deal/details/3904/")</x:f>
      </x:c>
      <x:c r="D628" t="str">
        <x:v>Реанимация</x:v>
      </x:c>
      <x:c r="E628" t="str">
        <x:v>ПРОДАЖИ: Отвалы</x:v>
      </x:c>
      <x:c r="F628" t="str">
        <x:v>Иван Халин</x:v>
      </x:c>
      <x:c r="G628" t="str">
        <x:v>нет</x:v>
      </x:c>
      <x:c r="H628" t="str">
        <x:v>нет</x:v>
      </x:c>
    </x:row>
    <x:row r="629">
      <x:c r="A629" t="str">
        <x:v>3907</x:v>
      </x:c>
      <x:c r="B629" t="str">
        <x:v>cimripm.ru</x:v>
      </x:c>
      <x:c r="C629" t="e">
        <x:f>HYPERLINK("https://belberrycrm.bitrix24.ru/crm/deal/details/3907/","https://belberrycrm.bitrix24.ru/crm/deal/details/3907/")</x:f>
      </x:c>
      <x:c r="D629" t="str">
        <x:v>Реанимация</x:v>
      </x:c>
      <x:c r="E629" t="str">
        <x:v>ПРОДАЖИ: Отвалы</x:v>
      </x:c>
      <x:c r="F629" t="str">
        <x:v>Иван Халин</x:v>
      </x:c>
      <x:c r="G629" t="str">
        <x:v>нет</x:v>
      </x:c>
      <x:c r="H629" t="str">
        <x:v>нет</x:v>
      </x:c>
    </x:row>
    <x:row r="630">
      <x:c r="A630" t="str">
        <x:v>3908</x:v>
      </x:c>
      <x:c r="B630" t="str">
        <x:v>glazy.ru</x:v>
      </x:c>
      <x:c r="C630" t="e">
        <x:f>HYPERLINK("https://belberrycrm.bitrix24.ru/crm/deal/details/3908/","https://belberrycrm.bitrix24.ru/crm/deal/details/3908/")</x:f>
      </x:c>
      <x:c r="D630" t="str">
        <x:v>Реанимация</x:v>
      </x:c>
      <x:c r="E630" t="str">
        <x:v>ПРОДАЖИ: Отвалы</x:v>
      </x:c>
      <x:c r="F630" t="str">
        <x:v>Иван Халин</x:v>
      </x:c>
      <x:c r="G630" t="str">
        <x:v>нет</x:v>
      </x:c>
      <x:c r="H630" t="str">
        <x:v>нет</x:v>
      </x:c>
    </x:row>
    <x:row r="631">
      <x:c r="A631" t="str">
        <x:v>3910</x:v>
      </x:c>
      <x:c r="B631" t="str">
        <x:v>onixstom.ru</x:v>
      </x:c>
      <x:c r="C631" t="e">
        <x:f>HYPERLINK("https://belberrycrm.bitrix24.ru/crm/deal/details/3910/","https://belberrycrm.bitrix24.ru/crm/deal/details/3910/")</x:f>
      </x:c>
      <x:c r="D631" t="str">
        <x:v>Реанимация</x:v>
      </x:c>
      <x:c r="E631" t="str">
        <x:v>ПРОДАЖИ: Отвалы</x:v>
      </x:c>
      <x:c r="F631" t="str">
        <x:v>Иван Халин</x:v>
      </x:c>
      <x:c r="G631" t="str">
        <x:v>нет</x:v>
      </x:c>
      <x:c r="H631" t="str">
        <x:v>нет</x:v>
      </x:c>
    </x:row>
    <x:row r="632">
      <x:c r="A632" t="str">
        <x:v>3920</x:v>
      </x:c>
      <x:c r="B632" t="str">
        <x:v>Новая клиника Екатерина вход</x:v>
      </x:c>
      <x:c r="C632" t="e">
        <x:f>HYPERLINK("https://belberrycrm.bitrix24.ru/crm/deal/details/3920/","https://belberrycrm.bitrix24.ru/crm/deal/details/3920/")</x:f>
      </x:c>
      <x:c r="D632" t="str">
        <x:v>Реанимация</x:v>
      </x:c>
      <x:c r="E632" t="str">
        <x:v>ПРОДАЖИ: Отвалы</x:v>
      </x:c>
      <x:c r="F632" t="str">
        <x:v>Иван Халин</x:v>
      </x:c>
      <x:c r="G632" t="str">
        <x:v>нет</x:v>
      </x:c>
      <x:c r="H632" t="str">
        <x:v>нет</x:v>
      </x:c>
    </x:row>
    <x:row r="633">
      <x:c r="A633" t="str">
        <x:v>3922</x:v>
      </x:c>
      <x:c r="B633" t="str">
        <x:v>1deva.ru</x:v>
      </x:c>
      <x:c r="C633" t="e">
        <x:f>HYPERLINK("https://belberrycrm.bitrix24.ru/crm/deal/details/3922/","https://belberrycrm.bitrix24.ru/crm/deal/details/3922/")</x:f>
      </x:c>
      <x:c r="D633" t="str">
        <x:v>Реанимация</x:v>
      </x:c>
      <x:c r="E633" t="str">
        <x:v>ПРОДАЖИ: Отвалы</x:v>
      </x:c>
      <x:c r="F633" t="str">
        <x:v>Админ всея Belberry</x:v>
      </x:c>
      <x:c r="G633" t="str">
        <x:v>да</x:v>
      </x:c>
      <x:c r="H633" t="str">
        <x:v>нет</x:v>
      </x:c>
    </x:row>
    <x:row r="634">
      <x:c r="A634" t="str">
        <x:v>3928</x:v>
      </x:c>
      <x:c r="B634" t="str">
        <x:v>Кирилл Вход Акула</x:v>
      </x:c>
      <x:c r="C634" t="e">
        <x:f>HYPERLINK("https://belberrycrm.bitrix24.ru/crm/deal/details/3928/","https://belberrycrm.bitrix24.ru/crm/deal/details/3928/")</x:f>
      </x:c>
      <x:c r="D634" t="str">
        <x:v>Реанимация</x:v>
      </x:c>
      <x:c r="E634" t="str">
        <x:v>ПРОДАЖИ: Отвалы</x:v>
      </x:c>
      <x:c r="F634" t="str">
        <x:v>Даниил Касаткин</x:v>
      </x:c>
      <x:c r="G634" t="str">
        <x:v>нет</x:v>
      </x:c>
      <x:c r="H634" t="str">
        <x:v>нет</x:v>
      </x:c>
    </x:row>
    <x:row r="635">
      <x:c r="A635" t="str">
        <x:v>3930</x:v>
      </x:c>
      <x:c r="B635" t="str">
        <x:v>Dr kosachenko</x:v>
      </x:c>
      <x:c r="C635" t="e">
        <x:f>HYPERLINK("https://belberrycrm.bitrix24.ru/crm/deal/details/3930/","https://belberrycrm.bitrix24.ru/crm/deal/details/3930/")</x:f>
      </x:c>
      <x:c r="D635" t="str">
        <x:v>Реанимация</x:v>
      </x:c>
      <x:c r="E635" t="str">
        <x:v>ПРОДАЖИ: Отвалы</x:v>
      </x:c>
      <x:c r="F635" t="str">
        <x:v>Иван Халин</x:v>
      </x:c>
      <x:c r="G635" t="str">
        <x:v>нет</x:v>
      </x:c>
      <x:c r="H635" t="str">
        <x:v>нет</x:v>
      </x:c>
    </x:row>
    <x:row r="636">
      <x:c r="A636" t="str">
        <x:v>3932</x:v>
      </x:c>
      <x:c r="B636" t="str">
        <x:v>underson.clinic</x:v>
      </x:c>
      <x:c r="C636" t="e">
        <x:f>HYPERLINK("https://belberrycrm.bitrix24.ru/crm/deal/details/3932/","https://belberrycrm.bitrix24.ru/crm/deal/details/3932/")</x:f>
      </x:c>
      <x:c r="D636" t="str">
        <x:v>Реанимация</x:v>
      </x:c>
      <x:c r="E636" t="str">
        <x:v>ПРОДАЖИ: Отвалы</x:v>
      </x:c>
      <x:c r="F636" t="str">
        <x:v>Иван Халин</x:v>
      </x:c>
      <x:c r="G636" t="str">
        <x:v>нет</x:v>
      </x:c>
      <x:c r="H636" t="str">
        <x:v>нет</x:v>
      </x:c>
    </x:row>
    <x:row r="637">
      <x:c r="A637" t="str">
        <x:v>3934</x:v>
      </x:c>
      <x:c r="B637" t="str">
        <x:v>andreevawedding.ru</x:v>
      </x:c>
      <x:c r="C637" t="e">
        <x:f>HYPERLINK("https://belberrycrm.bitrix24.ru/crm/deal/details/3934/","https://belberrycrm.bitrix24.ru/crm/deal/details/3934/")</x:f>
      </x:c>
      <x:c r="D637" t="str">
        <x:v>Реанимация</x:v>
      </x:c>
      <x:c r="E637" t="str">
        <x:v>ПРОДАЖИ: Отвалы</x:v>
      </x:c>
      <x:c r="F637" t="str">
        <x:v>Иван Халин</x:v>
      </x:c>
      <x:c r="G637" t="str">
        <x:v>нет</x:v>
      </x:c>
      <x:c r="H637" t="str">
        <x:v>нет</x:v>
      </x:c>
    </x:row>
    <x:row r="638">
      <x:c r="A638" t="str">
        <x:v>3936</x:v>
      </x:c>
      <x:c r="B638" t="str">
        <x:v>t-med.kz</x:v>
      </x:c>
      <x:c r="C638" t="e">
        <x:f>HYPERLINK("https://belberrycrm.bitrix24.ru/crm/deal/details/3936/","https://belberrycrm.bitrix24.ru/crm/deal/details/3936/")</x:f>
      </x:c>
      <x:c r="D638" t="str">
        <x:v>Реанимация</x:v>
      </x:c>
      <x:c r="E638" t="str">
        <x:v>ПРОДАЖИ: Отвалы</x:v>
      </x:c>
      <x:c r="F638" t="str">
        <x:v>Иван Халин</x:v>
      </x:c>
      <x:c r="G638" t="str">
        <x:v>нет</x:v>
      </x:c>
      <x:c r="H638" t="str">
        <x:v>нет</x:v>
      </x:c>
    </x:row>
    <x:row r="639">
      <x:c r="A639" t="str">
        <x:v>3962</x:v>
      </x:c>
      <x:c r="B639" t="str">
        <x:v>cambridgejunior.ru</x:v>
      </x:c>
      <x:c r="C639" t="e">
        <x:f>HYPERLINK("https://belberrycrm.bitrix24.ru/crm/deal/details/3962/","https://belberrycrm.bitrix24.ru/crm/deal/details/3962/")</x:f>
      </x:c>
      <x:c r="D639" t="str">
        <x:v>Реанимация</x:v>
      </x:c>
      <x:c r="E639" t="str">
        <x:v>ПРОДАЖИ: Отвалы</x:v>
      </x:c>
      <x:c r="F639" t="str">
        <x:v>Даниил Касаткин</x:v>
      </x:c>
      <x:c r="G639" t="str">
        <x:v>нет</x:v>
      </x:c>
      <x:c r="H639" t="str">
        <x:v>нет</x:v>
      </x:c>
    </x:row>
    <x:row r="640">
      <x:c r="A640" t="str">
        <x:v>3964</x:v>
      </x:c>
      <x:c r="B640" t="str">
        <x:v>kimhouse.rest.tilda.ws</x:v>
      </x:c>
      <x:c r="C640" t="e">
        <x:f>HYPERLINK("https://belberrycrm.bitrix24.ru/crm/deal/details/3964/","https://belberrycrm.bitrix24.ru/crm/deal/details/3964/")</x:f>
      </x:c>
      <x:c r="D640" t="str">
        <x:v>Реанимация</x:v>
      </x:c>
      <x:c r="E640" t="str">
        <x:v>ПРОДАЖИ: Отвалы</x:v>
      </x:c>
      <x:c r="F640" t="str">
        <x:v>Иван Халин</x:v>
      </x:c>
      <x:c r="G640" t="str">
        <x:v>нет</x:v>
      </x:c>
      <x:c r="H640" t="str">
        <x:v>нет</x:v>
      </x:c>
    </x:row>
    <x:row r="641">
      <x:c r="A641" t="str">
        <x:v>3982</x:v>
      </x:c>
      <x:c r="B641" t="str">
        <x:v>Елена (Новая клиника, мед центр)</x:v>
      </x:c>
      <x:c r="C641" t="e">
        <x:f>HYPERLINK("https://belberrycrm.bitrix24.ru/crm/deal/details/3982/","https://belberrycrm.bitrix24.ru/crm/deal/details/3982/")</x:f>
      </x:c>
      <x:c r="D641" t="str">
        <x:v>Реанимация</x:v>
      </x:c>
      <x:c r="E641" t="str">
        <x:v>ПРОДАЖИ: Отвалы</x:v>
      </x:c>
      <x:c r="F641" t="str">
        <x:v>Иван Халин</x:v>
      </x:c>
      <x:c r="G641" t="str">
        <x:v>нет</x:v>
      </x:c>
      <x:c r="H641" t="str">
        <x:v>нет</x:v>
      </x:c>
    </x:row>
    <x:row r="642">
      <x:c r="A642" t="str">
        <x:v>3990</x:v>
      </x:c>
      <x:c r="B642" t="str">
        <x:v>BABYBU</x:v>
      </x:c>
      <x:c r="C642" t="e">
        <x:f>HYPERLINK("https://belberrycrm.bitrix24.ru/crm/deal/details/3990/","https://belberrycrm.bitrix24.ru/crm/deal/details/3990/")</x:f>
      </x:c>
      <x:c r="D642" t="str">
        <x:v>Реанимация</x:v>
      </x:c>
      <x:c r="E642" t="str">
        <x:v>ПРОДАЖИ: Отвалы</x:v>
      </x:c>
      <x:c r="F642" t="str">
        <x:v>Иван Халин</x:v>
      </x:c>
      <x:c r="G642" t="str">
        <x:v>нет</x:v>
      </x:c>
      <x:c r="H642" t="str">
        <x:v>нет</x:v>
      </x:c>
    </x:row>
    <x:row r="643">
      <x:c r="A643" t="str">
        <x:v>3992</x:v>
      </x:c>
      <x:c r="B643" t="str">
        <x:v>postium.ru</x:v>
      </x:c>
      <x:c r="C643" t="e">
        <x:f>HYPERLINK("https://belberrycrm.bitrix24.ru/crm/deal/details/3992/","https://belberrycrm.bitrix24.ru/crm/deal/details/3992/")</x:f>
      </x:c>
      <x:c r="D643" t="str">
        <x:v>Реанимация</x:v>
      </x:c>
      <x:c r="E643" t="str">
        <x:v>ПРОДАЖИ: Отвалы</x:v>
      </x:c>
      <x:c r="F643" t="str">
        <x:v>Иван Халин</x:v>
      </x:c>
      <x:c r="G643" t="str">
        <x:v>нет</x:v>
      </x:c>
      <x:c r="H643" t="str">
        <x:v>нет</x:v>
      </x:c>
    </x:row>
    <x:row r="644">
      <x:c r="A644" t="str">
        <x:v>3998</x:v>
      </x:c>
      <x:c r="B644" t="str">
        <x:v>Георгий (разработка однастраничного сайта) для салона красоты</x:v>
      </x:c>
      <x:c r="C644" t="e">
        <x:f>HYPERLINK("https://belberrycrm.bitrix24.ru/crm/deal/details/3998/","https://belberrycrm.bitrix24.ru/crm/deal/details/3998/")</x:f>
      </x:c>
      <x:c r="D644" t="str">
        <x:v>Реанимация</x:v>
      </x:c>
      <x:c r="E644" t="str">
        <x:v>ПРОДАЖИ: Отвалы</x:v>
      </x:c>
      <x:c r="F644" t="str">
        <x:v>Иван Халин</x:v>
      </x:c>
      <x:c r="G644" t="str">
        <x:v>нет</x:v>
      </x:c>
      <x:c r="H644" t="str">
        <x:v>нет</x:v>
      </x:c>
    </x:row>
    <x:row r="645">
      <x:c r="A645" t="str">
        <x:v>4000</x:v>
      </x:c>
      <x:c r="B645" t="str">
        <x:v>biotekfarm-m.ru</x:v>
      </x:c>
      <x:c r="C645" t="e">
        <x:f>HYPERLINK("https://belberrycrm.bitrix24.ru/crm/deal/details/4000/","https://belberrycrm.bitrix24.ru/crm/deal/details/4000/")</x:f>
      </x:c>
      <x:c r="D645" t="str">
        <x:v>Реанимация</x:v>
      </x:c>
      <x:c r="E645" t="str">
        <x:v>ПРОДАЖИ: Отвалы</x:v>
      </x:c>
      <x:c r="F645" t="str">
        <x:v>Даниил Касаткин</x:v>
      </x:c>
      <x:c r="G645" t="str">
        <x:v>нет</x:v>
      </x:c>
      <x:c r="H645" t="str">
        <x:v>нет</x:v>
      </x:c>
    </x:row>
    <x:row r="646">
      <x:c r="A646" t="str">
        <x:v>4006</x:v>
      </x:c>
      <x:c r="B646" t="str">
        <x:v>st-louise.com</x:v>
      </x:c>
      <x:c r="C646" t="e">
        <x:f>HYPERLINK("https://belberrycrm.bitrix24.ru/crm/deal/details/4006/","https://belberrycrm.bitrix24.ru/crm/deal/details/4006/")</x:f>
      </x:c>
      <x:c r="D646" t="str">
        <x:v>Реанимация</x:v>
      </x:c>
      <x:c r="E646" t="str">
        <x:v>ПРОДАЖИ: Отвалы</x:v>
      </x:c>
      <x:c r="F646" t="str">
        <x:v>Владислав Ткачук</x:v>
      </x:c>
      <x:c r="G646" t="str">
        <x:v>нет</x:v>
      </x:c>
      <x:c r="H646" t="str">
        <x:v>нет</x:v>
      </x:c>
    </x:row>
    <x:row r="647">
      <x:c r="A647" t="str">
        <x:v>4010</x:v>
      </x:c>
      <x:c r="B647" t="str">
        <x:v>gloria-centr.ru</x:v>
      </x:c>
      <x:c r="C647" t="e">
        <x:f>HYPERLINK("https://belberrycrm.bitrix24.ru/crm/deal/details/4010/","https://belberrycrm.bitrix24.ru/crm/deal/details/4010/")</x:f>
      </x:c>
      <x:c r="D647" t="str">
        <x:v>Реанимация</x:v>
      </x:c>
      <x:c r="E647" t="str">
        <x:v>ПРОДАЖИ: Отвалы</x:v>
      </x:c>
      <x:c r="F647" t="str">
        <x:v>Иван Халин</x:v>
      </x:c>
      <x:c r="G647" t="str">
        <x:v>нет</x:v>
      </x:c>
      <x:c r="H647" t="str">
        <x:v>нет</x:v>
      </x:c>
    </x:row>
    <x:row r="648">
      <x:c r="A648" t="str">
        <x:v>4012</x:v>
      </x:c>
      <x:c r="B648" t="str">
        <x:v>avto-status.ru</x:v>
      </x:c>
      <x:c r="C648" t="e">
        <x:f>HYPERLINK("https://belberrycrm.bitrix24.ru/crm/deal/details/4012/","https://belberrycrm.bitrix24.ru/crm/deal/details/4012/")</x:f>
      </x:c>
      <x:c r="D648" t="str">
        <x:v>Реанимация</x:v>
      </x:c>
      <x:c r="E648" t="str">
        <x:v>ПРОДАЖИ: Отвалы</x:v>
      </x:c>
      <x:c r="F648" t="str">
        <x:v>Данила Кочуров</x:v>
      </x:c>
      <x:c r="G648" t="str">
        <x:v>да</x:v>
      </x:c>
      <x:c r="H648" t="str">
        <x:v>нет</x:v>
      </x:c>
    </x:row>
    <x:row r="649">
      <x:c r="A649" t="str">
        <x:v>4024</x:v>
      </x:c>
      <x:c r="B649" t="str">
        <x:v>Андрей Иващенко (разработка сайта для подологии)</x:v>
      </x:c>
      <x:c r="C649" t="e">
        <x:f>HYPERLINK("https://belberrycrm.bitrix24.ru/crm/deal/details/4024/","https://belberrycrm.bitrix24.ru/crm/deal/details/4024/")</x:f>
      </x:c>
      <x:c r="D649" t="str">
        <x:v>Реанимация</x:v>
      </x:c>
      <x:c r="E649" t="str">
        <x:v>ПРОДАЖИ: Отвалы</x:v>
      </x:c>
      <x:c r="F649" t="str">
        <x:v>Иван Халин</x:v>
      </x:c>
      <x:c r="G649" t="str">
        <x:v>нет</x:v>
      </x:c>
      <x:c r="H649" t="str">
        <x:v>нет</x:v>
      </x:c>
    </x:row>
    <x:row r="650">
      <x:c r="A650" t="str">
        <x:v>4032</x:v>
      </x:c>
      <x:c r="B650" t="str">
        <x:v>formulavision.ru</x:v>
      </x:c>
      <x:c r="C650" t="e">
        <x:f>HYPERLINK("https://belberrycrm.bitrix24.ru/crm/deal/details/4032/","https://belberrycrm.bitrix24.ru/crm/deal/details/4032/")</x:f>
      </x:c>
      <x:c r="D650" t="str">
        <x:v>Реанимация</x:v>
      </x:c>
      <x:c r="E650" t="str">
        <x:v>ПРОДАЖИ: Отвалы</x:v>
      </x:c>
      <x:c r="F650" t="str">
        <x:v>Админ всея Belberry</x:v>
      </x:c>
      <x:c r="G650" t="str">
        <x:v>нет</x:v>
      </x:c>
      <x:c r="H650" t="str">
        <x:v>нет</x:v>
      </x:c>
    </x:row>
    <x:row r="651">
      <x:c r="A651" t="str">
        <x:v>4036</x:v>
      </x:c>
      <x:c r="B651" t="str">
        <x:v>bcarparts.ru</x:v>
      </x:c>
      <x:c r="C651" t="e">
        <x:f>HYPERLINK("https://belberrycrm.bitrix24.ru/crm/deal/details/4036/","https://belberrycrm.bitrix24.ru/crm/deal/details/4036/")</x:f>
      </x:c>
      <x:c r="D651" t="str">
        <x:v>Реанимация</x:v>
      </x:c>
      <x:c r="E651" t="str">
        <x:v>ПРОДАЖИ: Отвалы</x:v>
      </x:c>
      <x:c r="F651" t="str">
        <x:v>Даниил Касаткин</x:v>
      </x:c>
      <x:c r="G651" t="str">
        <x:v>нет</x:v>
      </x:c>
      <x:c r="H651" t="str">
        <x:v>нет</x:v>
      </x:c>
    </x:row>
    <x:row r="652">
      <x:c r="A652" t="str">
        <x:v>4044</x:v>
      </x:c>
      <x:c r="B652" t="str">
        <x:v>arte-spb.ru</x:v>
      </x:c>
      <x:c r="C652" t="e">
        <x:f>HYPERLINK("https://belberrycrm.bitrix24.ru/crm/deal/details/4044/","https://belberrycrm.bitrix24.ru/crm/deal/details/4044/")</x:f>
      </x:c>
      <x:c r="D652" t="str">
        <x:v>Реанимация</x:v>
      </x:c>
      <x:c r="E652" t="str">
        <x:v>ПРОДАЖИ: Отвалы</x:v>
      </x:c>
      <x:c r="F652" t="str">
        <x:v>Даниил Касаткин</x:v>
      </x:c>
      <x:c r="G652" t="str">
        <x:v>нет</x:v>
      </x:c>
      <x:c r="H652" t="str">
        <x:v>нет</x:v>
      </x:c>
    </x:row>
    <x:row r="653">
      <x:c r="A653" t="str">
        <x:v>4048</x:v>
      </x:c>
      <x:c r="B653" t="str">
        <x:v>olimpic.ru</x:v>
      </x:c>
      <x:c r="C653" t="e">
        <x:f>HYPERLINK("https://belberrycrm.bitrix24.ru/crm/deal/details/4048/","https://belberrycrm.bitrix24.ru/crm/deal/details/4048/")</x:f>
      </x:c>
      <x:c r="D653" t="str">
        <x:v>Реанимация</x:v>
      </x:c>
      <x:c r="E653" t="str">
        <x:v>ПРОДАЖИ: Отвалы</x:v>
      </x:c>
      <x:c r="F653" t="str">
        <x:v>Даниил Касаткин</x:v>
      </x:c>
      <x:c r="G653" t="str">
        <x:v>нет</x:v>
      </x:c>
      <x:c r="H653" t="str">
        <x:v>нет</x:v>
      </x:c>
    </x:row>
    <x:row r="654">
      <x:c r="A654" t="str">
        <x:v>4052</x:v>
      </x:c>
      <x:c r="B654" t="str">
        <x:v>altamedplus.ru</x:v>
      </x:c>
      <x:c r="C654" t="e">
        <x:f>HYPERLINK("https://belberrycrm.bitrix24.ru/crm/deal/details/4052/","https://belberrycrm.bitrix24.ru/crm/deal/details/4052/")</x:f>
      </x:c>
      <x:c r="D654" t="str">
        <x:v>Реанимация</x:v>
      </x:c>
      <x:c r="E654" t="str">
        <x:v>ПРОДАЖИ: Отвалы</x:v>
      </x:c>
      <x:c r="F654" t="str">
        <x:v>Даниил Касаткин</x:v>
      </x:c>
      <x:c r="G654" t="str">
        <x:v>нет</x:v>
      </x:c>
      <x:c r="H654" t="str">
        <x:v>нет</x:v>
      </x:c>
    </x:row>
    <x:row r="655">
      <x:c r="A655" t="str">
        <x:v>4054</x:v>
      </x:c>
      <x:c r="B655" t="str">
        <x:v>Анна (врач косметолог, открывает собственную клинику)</x:v>
      </x:c>
      <x:c r="C655" t="e">
        <x:f>HYPERLINK("https://belberrycrm.bitrix24.ru/crm/deal/details/4054/","https://belberrycrm.bitrix24.ru/crm/deal/details/4054/")</x:f>
      </x:c>
      <x:c r="D655" t="str">
        <x:v>Реанимация</x:v>
      </x:c>
      <x:c r="E655" t="str">
        <x:v>ПРОДАЖИ: Отвалы</x:v>
      </x:c>
      <x:c r="F655" t="str">
        <x:v>Иван Халин</x:v>
      </x:c>
      <x:c r="G655" t="str">
        <x:v>нет</x:v>
      </x:c>
      <x:c r="H655" t="str">
        <x:v>нет</x:v>
      </x:c>
    </x:row>
    <x:row r="656">
      <x:c r="A656" t="str">
        <x:v>4058</x:v>
      </x:c>
      <x:c r="B656" t="str">
        <x:v>vtsgroup.com</x:v>
      </x:c>
      <x:c r="C656" t="e">
        <x:f>HYPERLINK("https://belberrycrm.bitrix24.ru/crm/deal/details/4058/","https://belberrycrm.bitrix24.ru/crm/deal/details/4058/")</x:f>
      </x:c>
      <x:c r="D656" t="str">
        <x:v>Реанимация</x:v>
      </x:c>
      <x:c r="E656" t="str">
        <x:v>ПРОДАЖИ: Отвалы</x:v>
      </x:c>
      <x:c r="F656" t="str">
        <x:v>Даниил Касаткин</x:v>
      </x:c>
      <x:c r="G656" t="str">
        <x:v>да</x:v>
      </x:c>
      <x:c r="H656" t="str">
        <x:v>нет</x:v>
      </x:c>
    </x:row>
    <x:row r="657">
      <x:c r="A657" t="str">
        <x:v>4068</x:v>
      </x:c>
      <x:c r="B657" t="str">
        <x:v>mayakmc.ru</x:v>
      </x:c>
      <x:c r="C657" t="e">
        <x:f>HYPERLINK("https://belberrycrm.bitrix24.ru/crm/deal/details/4068/","https://belberrycrm.bitrix24.ru/crm/deal/details/4068/")</x:f>
      </x:c>
      <x:c r="D657" t="str">
        <x:v>Реанимация</x:v>
      </x:c>
      <x:c r="E657" t="str">
        <x:v>ПРОДАЖИ: Отвалы</x:v>
      </x:c>
      <x:c r="F657" t="str">
        <x:v>Даниил Касаткин</x:v>
      </x:c>
      <x:c r="G657" t="str">
        <x:v>нет</x:v>
      </x:c>
      <x:c r="H657" t="str">
        <x:v>нет</x:v>
      </x:c>
    </x:row>
    <x:row r="658">
      <x:c r="A658" t="str">
        <x:v>4072</x:v>
      </x:c>
      <x:c r="B658" t="str">
        <x:v>NudeEstetic</x:v>
      </x:c>
      <x:c r="C658" t="e">
        <x:f>HYPERLINK("https://belberrycrm.bitrix24.ru/crm/deal/details/4072/","https://belberrycrm.bitrix24.ru/crm/deal/details/4072/")</x:f>
      </x:c>
      <x:c r="D658" t="str">
        <x:v>Реанимация</x:v>
      </x:c>
      <x:c r="E658" t="str">
        <x:v>ПРОДАЖИ: Отвалы</x:v>
      </x:c>
      <x:c r="F658" t="str">
        <x:v>Иван Халин</x:v>
      </x:c>
      <x:c r="G658" t="str">
        <x:v>нет</x:v>
      </x:c>
      <x:c r="H658" t="str">
        <x:v>нет</x:v>
      </x:c>
    </x:row>
    <x:row r="659">
      <x:c r="A659" t="str">
        <x:v>4076</x:v>
      </x:c>
      <x:c r="B659" t="str">
        <x:v>Симаков Александр Юрьевич (Клиника Травматология и Подология)</x:v>
      </x:c>
      <x:c r="C659" t="e">
        <x:f>HYPERLINK("https://belberrycrm.bitrix24.ru/crm/deal/details/4076/","https://belberrycrm.bitrix24.ru/crm/deal/details/4076/")</x:f>
      </x:c>
      <x:c r="D659" t="str">
        <x:v>Реанимация</x:v>
      </x:c>
      <x:c r="E659" t="str">
        <x:v>ПРОДАЖИ: Отвалы</x:v>
      </x:c>
      <x:c r="F659" t="str">
        <x:v>Иван Халин</x:v>
      </x:c>
      <x:c r="G659" t="str">
        <x:v>нет</x:v>
      </x:c>
      <x:c r="H659" t="str">
        <x:v>нет</x:v>
      </x:c>
    </x:row>
    <x:row r="660">
      <x:c r="A660" t="str">
        <x:v>4086</x:v>
      </x:c>
      <x:c r="B660" t="str">
        <x:v>masterdent36.ru</x:v>
      </x:c>
      <x:c r="C660" t="e">
        <x:f>HYPERLINK("https://belberrycrm.bitrix24.ru/crm/deal/details/4086/","https://belberrycrm.bitrix24.ru/crm/deal/details/4086/")</x:f>
      </x:c>
      <x:c r="D660" t="str">
        <x:v>Реанимация</x:v>
      </x:c>
      <x:c r="E660" t="str">
        <x:v>ПРОДАЖИ: Отвалы</x:v>
      </x:c>
      <x:c r="F660" t="str">
        <x:v>Иван Халин</x:v>
      </x:c>
      <x:c r="G660" t="str">
        <x:v>нет</x:v>
      </x:c>
      <x:c r="H660" t="str">
        <x:v>нет</x:v>
      </x:c>
    </x:row>
    <x:row r="661">
      <x:c r="A661" t="str">
        <x:v>4088</x:v>
      </x:c>
      <x:c r="B661" t="str">
        <x:v>lemarkllc.ru</x:v>
      </x:c>
      <x:c r="C661" t="e">
        <x:f>HYPERLINK("https://belberrycrm.bitrix24.ru/crm/deal/details/4088/","https://belberrycrm.bitrix24.ru/crm/deal/details/4088/")</x:f>
      </x:c>
      <x:c r="D661" t="str">
        <x:v>Реанимация</x:v>
      </x:c>
      <x:c r="E661" t="str">
        <x:v>ПРОДАЖИ: Отвалы</x:v>
      </x:c>
      <x:c r="F661" t="str">
        <x:v>Владислав Ткачук</x:v>
      </x:c>
      <x:c r="G661" t="str">
        <x:v>нет</x:v>
      </x:c>
      <x:c r="H661" t="str">
        <x:v>нет</x:v>
      </x:c>
    </x:row>
    <x:row r="662">
      <x:c r="A662" t="str">
        <x:v>4092</x:v>
      </x:c>
      <x:c r="B662" t="str">
        <x:v>Екатерина (входящая заявка)</x:v>
      </x:c>
      <x:c r="C662" t="e">
        <x:f>HYPERLINK("https://belberrycrm.bitrix24.ru/crm/deal/details/4092/","https://belberrycrm.bitrix24.ru/crm/deal/details/4092/")</x:f>
      </x:c>
      <x:c r="D662" t="str">
        <x:v>Реанимация</x:v>
      </x:c>
      <x:c r="E662" t="str">
        <x:v>ПРОДАЖИ: Отвалы</x:v>
      </x:c>
      <x:c r="F662" t="str">
        <x:v>Даниил Касаткин</x:v>
      </x:c>
      <x:c r="G662" t="str">
        <x:v>нет</x:v>
      </x:c>
      <x:c r="H662" t="str">
        <x:v>нет</x:v>
      </x:c>
    </x:row>
    <x:row r="663">
      <x:c r="A663" t="str">
        <x:v>4094</x:v>
      </x:c>
      <x:c r="B663" t="str">
        <x:v>Tkanix.Ru</x:v>
      </x:c>
      <x:c r="C663" t="e">
        <x:f>HYPERLINK("https://belberrycrm.bitrix24.ru/crm/deal/details/4094/","https://belberrycrm.bitrix24.ru/crm/deal/details/4094/")</x:f>
      </x:c>
      <x:c r="D663" t="str">
        <x:v>Реанимация</x:v>
      </x:c>
      <x:c r="E663" t="str">
        <x:v>ПРОДАЖИ: Отвалы</x:v>
      </x:c>
      <x:c r="F663" t="str">
        <x:v>Владислав Ткачук</x:v>
      </x:c>
      <x:c r="G663" t="str">
        <x:v>нет</x:v>
      </x:c>
      <x:c r="H663" t="str">
        <x:v>нет</x:v>
      </x:c>
    </x:row>
    <x:row r="664">
      <x:c r="A664" t="str">
        <x:v>4100</x:v>
      </x:c>
      <x:c r="B664" t="str">
        <x:v>oncocareclinic.ru</x:v>
      </x:c>
      <x:c r="C664" t="e">
        <x:f>HYPERLINK("https://belberrycrm.bitrix24.ru/crm/deal/details/4100/","https://belberrycrm.bitrix24.ru/crm/deal/details/4100/")</x:f>
      </x:c>
      <x:c r="D664" t="str">
        <x:v>Реанимация</x:v>
      </x:c>
      <x:c r="E664" t="str">
        <x:v>ПРОДАЖИ: Отвалы</x:v>
      </x:c>
      <x:c r="F664" t="str">
        <x:v>Иван Халин</x:v>
      </x:c>
      <x:c r="G664" t="str">
        <x:v>нет</x:v>
      </x:c>
      <x:c r="H664" t="str">
        <x:v>нет</x:v>
      </x:c>
    </x:row>
    <x:row r="665">
      <x:c r="A665" t="str">
        <x:v>4104</x:v>
      </x:c>
      <x:c r="B665" t="str">
        <x:v>Цифровая Зубная Лаборатория</x:v>
      </x:c>
      <x:c r="C665" t="e">
        <x:f>HYPERLINK("https://belberrycrm.bitrix24.ru/crm/deal/details/4104/","https://belberrycrm.bitrix24.ru/crm/deal/details/4104/")</x:f>
      </x:c>
      <x:c r="D665" t="str">
        <x:v>Реанимация</x:v>
      </x:c>
      <x:c r="E665" t="str">
        <x:v>ПРОДАЖИ: Отвалы</x:v>
      </x:c>
      <x:c r="F665" t="str">
        <x:v>Иван Халин</x:v>
      </x:c>
      <x:c r="G665" t="str">
        <x:v>нет</x:v>
      </x:c>
      <x:c r="H665" t="str">
        <x:v>нет</x:v>
      </x:c>
    </x:row>
    <x:row r="666">
      <x:c r="A666" t="str">
        <x:v>4110</x:v>
      </x:c>
      <x:c r="B666" t="str">
        <x:v>clinican.ru</x:v>
      </x:c>
      <x:c r="C666" t="e">
        <x:f>HYPERLINK("https://belberrycrm.bitrix24.ru/crm/deal/details/4110/","https://belberrycrm.bitrix24.ru/crm/deal/details/4110/")</x:f>
      </x:c>
      <x:c r="D666" t="str">
        <x:v>Реанимация</x:v>
      </x:c>
      <x:c r="E666" t="str">
        <x:v>ПРОДАЖИ: Отвалы</x:v>
      </x:c>
      <x:c r="F666" t="str">
        <x:v>Иван Халин</x:v>
      </x:c>
      <x:c r="G666" t="str">
        <x:v>нет</x:v>
      </x:c>
      <x:c r="H666" t="str">
        <x:v>нет</x:v>
      </x:c>
    </x:row>
    <x:row r="667">
      <x:c r="A667" t="str">
        <x:v>4116</x:v>
      </x:c>
      <x:c r="B667" t="str">
        <x:v>Salta.moscow</x:v>
      </x:c>
      <x:c r="C667" t="e">
        <x:f>HYPERLINK("https://belberrycrm.bitrix24.ru/crm/deal/details/4116/","https://belberrycrm.bitrix24.ru/crm/deal/details/4116/")</x:f>
      </x:c>
      <x:c r="D667" t="str">
        <x:v>Реанимация</x:v>
      </x:c>
      <x:c r="E667" t="str">
        <x:v>ПРОДАЖИ: Отвалы</x:v>
      </x:c>
      <x:c r="F667" t="str">
        <x:v>Владислав Ткачук</x:v>
      </x:c>
      <x:c r="G667" t="str">
        <x:v>нет</x:v>
      </x:c>
      <x:c r="H667" t="str">
        <x:v>нет</x:v>
      </x:c>
    </x:row>
    <x:row r="668">
      <x:c r="A668" t="str">
        <x:v>4118</x:v>
      </x:c>
      <x:c r="B668" t="str">
        <x:v>a-mediya.ru</x:v>
      </x:c>
      <x:c r="C668" t="e">
        <x:f>HYPERLINK("https://belberrycrm.bitrix24.ru/crm/deal/details/4118/","https://belberrycrm.bitrix24.ru/crm/deal/details/4118/")</x:f>
      </x:c>
      <x:c r="D668" t="str">
        <x:v>Реанимация</x:v>
      </x:c>
      <x:c r="E668" t="str">
        <x:v>ПРОДАЖИ: Отвалы</x:v>
      </x:c>
      <x:c r="F668" t="str">
        <x:v>Даниил Касаткин</x:v>
      </x:c>
      <x:c r="G668" t="str">
        <x:v>нет</x:v>
      </x:c>
      <x:c r="H668" t="str">
        <x:v>нет</x:v>
      </x:c>
    </x:row>
    <x:row r="669">
      <x:c r="A669" t="str">
        <x:v>4122</x:v>
      </x:c>
      <x:c r="B669" t="str">
        <x:v>Элит.москва</x:v>
      </x:c>
      <x:c r="C669" t="e">
        <x:f>HYPERLINK("https://belberrycrm.bitrix24.ru/crm/deal/details/4122/","https://belberrycrm.bitrix24.ru/crm/deal/details/4122/")</x:f>
      </x:c>
      <x:c r="D669" t="str">
        <x:v>Реанимация</x:v>
      </x:c>
      <x:c r="E669" t="str">
        <x:v>ПРОДАЖИ: Отвалы</x:v>
      </x:c>
      <x:c r="F669" t="str">
        <x:v>Иван Халин</x:v>
      </x:c>
      <x:c r="G669" t="str">
        <x:v>нет</x:v>
      </x:c>
      <x:c r="H669" t="str">
        <x:v>нет</x:v>
      </x:c>
    </x:row>
    <x:row r="670">
      <x:c r="A670" t="str">
        <x:v>4124</x:v>
      </x:c>
      <x:c r="B670" t="str">
        <x:v>ascreengroup.ru</x:v>
      </x:c>
      <x:c r="C670" t="e">
        <x:f>HYPERLINK("https://belberrycrm.bitrix24.ru/crm/deal/details/4124/","https://belberrycrm.bitrix24.ru/crm/deal/details/4124/")</x:f>
      </x:c>
      <x:c r="D670" t="str">
        <x:v>Реанимация</x:v>
      </x:c>
      <x:c r="E670" t="str">
        <x:v>ПРОДАЖИ: Отвалы</x:v>
      </x:c>
      <x:c r="F670" t="str">
        <x:v>Даниил Касаткин</x:v>
      </x:c>
      <x:c r="G670" t="str">
        <x:v>нет</x:v>
      </x:c>
      <x:c r="H670" t="str">
        <x:v>нет</x:v>
      </x:c>
    </x:row>
    <x:row r="671">
      <x:c r="A671" t="str">
        <x:v>4126</x:v>
      </x:c>
      <x:c r="B671" t="str">
        <x:v>Новая клиника в Балашихе Сергей</x:v>
      </x:c>
      <x:c r="C671" t="e">
        <x:f>HYPERLINK("https://belberrycrm.bitrix24.ru/crm/deal/details/4126/","https://belberrycrm.bitrix24.ru/crm/deal/details/4126/")</x:f>
      </x:c>
      <x:c r="D671" t="str">
        <x:v>Реанимация</x:v>
      </x:c>
      <x:c r="E671" t="str">
        <x:v>ПРОДАЖИ: Отвалы</x:v>
      </x:c>
      <x:c r="F671" t="str">
        <x:v>Даниил Касаткин</x:v>
      </x:c>
      <x:c r="G671" t="str">
        <x:v>нет</x:v>
      </x:c>
      <x:c r="H671" t="str">
        <x:v>нет</x:v>
      </x:c>
    </x:row>
    <x:row r="672">
      <x:c r="A672" t="str">
        <x:v>4136</x:v>
      </x:c>
      <x:c r="B672" t="str">
        <x:v>Александр (Офтальмологическая клиника)</x:v>
      </x:c>
      <x:c r="C672" t="e">
        <x:f>HYPERLINK("https://belberrycrm.bitrix24.ru/crm/deal/details/4136/","https://belberrycrm.bitrix24.ru/crm/deal/details/4136/")</x:f>
      </x:c>
      <x:c r="D672" t="str">
        <x:v>Реанимация</x:v>
      </x:c>
      <x:c r="E672" t="str">
        <x:v>ПРОДАЖИ: Отвалы</x:v>
      </x:c>
      <x:c r="F672" t="str">
        <x:v>Иван Халин</x:v>
      </x:c>
      <x:c r="G672" t="str">
        <x:v>нет</x:v>
      </x:c>
      <x:c r="H672" t="str">
        <x:v>нет</x:v>
      </x:c>
    </x:row>
    <x:row r="673">
      <x:c r="A673" t="str">
        <x:v>4146</x:v>
      </x:c>
      <x:c r="B673" t="str">
        <x:v>vizhuvse.ru</x:v>
      </x:c>
      <x:c r="C673" t="e">
        <x:f>HYPERLINK("https://belberrycrm.bitrix24.ru/crm/deal/details/4146/","https://belberrycrm.bitrix24.ru/crm/deal/details/4146/")</x:f>
      </x:c>
      <x:c r="D673" t="str">
        <x:v>Реанимация</x:v>
      </x:c>
      <x:c r="E673" t="str">
        <x:v>ПРОДАЖИ: Отвалы</x:v>
      </x:c>
      <x:c r="F673" t="str">
        <x:v>Даниил Касаткин</x:v>
      </x:c>
      <x:c r="G673" t="str">
        <x:v>нет</x:v>
      </x:c>
      <x:c r="H673" t="str">
        <x:v>нет</x:v>
      </x:c>
    </x:row>
    <x:row r="674">
      <x:c r="A674" t="str">
        <x:v>4148</x:v>
      </x:c>
      <x:c r="B674" t="str">
        <x:v>gkb-31.ru</x:v>
      </x:c>
      <x:c r="C674" t="e">
        <x:f>HYPERLINK("https://belberrycrm.bitrix24.ru/crm/deal/details/4148/","https://belberrycrm.bitrix24.ru/crm/deal/details/4148/")</x:f>
      </x:c>
      <x:c r="D674" t="str">
        <x:v>Реанимация</x:v>
      </x:c>
      <x:c r="E674" t="str">
        <x:v>ПРОДАЖИ: Отвалы</x:v>
      </x:c>
      <x:c r="F674" t="str">
        <x:v>Даниил Касаткин</x:v>
      </x:c>
      <x:c r="G674" t="str">
        <x:v>да</x:v>
      </x:c>
      <x:c r="H674" t="str">
        <x:v>нет</x:v>
      </x:c>
    </x:row>
    <x:row r="675">
      <x:c r="A675" t="str">
        <x:v>4158</x:v>
      </x:c>
      <x:c r="B675" t="str">
        <x:v>glaznaya-clinika.ru</x:v>
      </x:c>
      <x:c r="C675" t="e">
        <x:f>HYPERLINK("https://belberrycrm.bitrix24.ru/crm/deal/details/4158/","https://belberrycrm.bitrix24.ru/crm/deal/details/4158/")</x:f>
      </x:c>
      <x:c r="D675" t="str">
        <x:v>Реанимация</x:v>
      </x:c>
      <x:c r="E675" t="str">
        <x:v>База для реанимации</x:v>
      </x:c>
      <x:c r="F675" t="str">
        <x:v>Петр Дудин</x:v>
      </x:c>
      <x:c r="G675" t="str">
        <x:v>да</x:v>
      </x:c>
      <x:c r="H675" t="str">
        <x:v>нет</x:v>
      </x:c>
    </x:row>
    <x:row r="676">
      <x:c r="A676" t="str">
        <x:v>4170</x:v>
      </x:c>
      <x:c r="B676" t="str">
        <x:v>Александр (врач кардиолог)</x:v>
      </x:c>
      <x:c r="C676" t="e">
        <x:f>HYPERLINK("https://belberrycrm.bitrix24.ru/crm/deal/details/4170/","https://belberrycrm.bitrix24.ru/crm/deal/details/4170/")</x:f>
      </x:c>
      <x:c r="D676" t="str">
        <x:v>Реанимация</x:v>
      </x:c>
      <x:c r="E676" t="str">
        <x:v>ПРОДАЖИ: Отвалы</x:v>
      </x:c>
      <x:c r="F676" t="str">
        <x:v>Иван Халин</x:v>
      </x:c>
      <x:c r="G676" t="str">
        <x:v>нет</x:v>
      </x:c>
      <x:c r="H676" t="str">
        <x:v>нет</x:v>
      </x:c>
    </x:row>
    <x:row r="677">
      <x:c r="A677" t="str">
        <x:v>4172</x:v>
      </x:c>
      <x:c r="B677" t="str">
        <x:v>Дмитрий Алтунин (роды в Аргентине)</x:v>
      </x:c>
      <x:c r="C677" t="e">
        <x:f>HYPERLINK("https://belberrycrm.bitrix24.ru/crm/deal/details/4172/","https://belberrycrm.bitrix24.ru/crm/deal/details/4172/")</x:f>
      </x:c>
      <x:c r="D677" t="str">
        <x:v>Реанимация</x:v>
      </x:c>
      <x:c r="E677" t="str">
        <x:v>ПРОДАЖИ: Отвалы</x:v>
      </x:c>
      <x:c r="F677" t="str">
        <x:v>Иван Халин</x:v>
      </x:c>
      <x:c r="G677" t="str">
        <x:v>нет</x:v>
      </x:c>
      <x:c r="H677" t="str">
        <x:v>нет</x:v>
      </x:c>
    </x:row>
    <x:row r="678">
      <x:c r="A678" t="str">
        <x:v>4180</x:v>
      </x:c>
      <x:c r="B678" t="str">
        <x:v>Новая стоматологическая клиника в г. Москва</x:v>
      </x:c>
      <x:c r="C678" t="e">
        <x:f>HYPERLINK("https://belberrycrm.bitrix24.ru/crm/deal/details/4180/","https://belberrycrm.bitrix24.ru/crm/deal/details/4180/")</x:f>
      </x:c>
      <x:c r="D678" t="str">
        <x:v>Реанимация</x:v>
      </x:c>
      <x:c r="E678" t="str">
        <x:v>ПРОДАЖИ: Отвалы</x:v>
      </x:c>
      <x:c r="F678" t="str">
        <x:v>Иван Халин</x:v>
      </x:c>
      <x:c r="G678" t="str">
        <x:v>нет</x:v>
      </x:c>
      <x:c r="H678" t="str">
        <x:v>нет</x:v>
      </x:c>
    </x:row>
    <x:row r="679">
      <x:c r="A679" t="str">
        <x:v>4190</x:v>
      </x:c>
      <x:c r="B679" t="str">
        <x:v>gorclinica.ru</x:v>
      </x:c>
      <x:c r="C679" t="e">
        <x:f>HYPERLINK("https://belberrycrm.bitrix24.ru/crm/deal/details/4190/","https://belberrycrm.bitrix24.ru/crm/deal/details/4190/")</x:f>
      </x:c>
      <x:c r="D679" t="str">
        <x:v>Реанимация</x:v>
      </x:c>
      <x:c r="E679" t="str">
        <x:v>ПРОДАЖИ: Отвалы</x:v>
      </x:c>
      <x:c r="F679" t="str">
        <x:v>Иван Халин</x:v>
      </x:c>
      <x:c r="G679" t="str">
        <x:v>нет</x:v>
      </x:c>
      <x:c r="H679" t="str">
        <x:v>нет</x:v>
      </x:c>
    </x:row>
    <x:row r="680">
      <x:c r="A680" t="str">
        <x:v>4192</x:v>
      </x:c>
      <x:c r="B680" t="str">
        <x:v>karat-smr.ru</x:v>
      </x:c>
      <x:c r="C680" t="e">
        <x:f>HYPERLINK("https://belberrycrm.bitrix24.ru/crm/deal/details/4192/","https://belberrycrm.bitrix24.ru/crm/deal/details/4192/")</x:f>
      </x:c>
      <x:c r="D680" t="str">
        <x:v>Реанимация</x:v>
      </x:c>
      <x:c r="E680" t="str">
        <x:v>ПРОДАЖИ: Отвалы</x:v>
      </x:c>
      <x:c r="F680" t="str">
        <x:v>Иван Халин</x:v>
      </x:c>
      <x:c r="G680" t="str">
        <x:v>нет</x:v>
      </x:c>
      <x:c r="H680" t="str">
        <x:v>нет</x:v>
      </x:c>
    </x:row>
    <x:row r="681">
      <x:c r="A681" t="str">
        <x:v>4194</x:v>
      </x:c>
      <x:c r="B681" t="str">
        <x:v>blagoclinic.ru</x:v>
      </x:c>
      <x:c r="C681" t="e">
        <x:f>HYPERLINK("https://belberrycrm.bitrix24.ru/crm/deal/details/4194/","https://belberrycrm.bitrix24.ru/crm/deal/details/4194/")</x:f>
      </x:c>
      <x:c r="D681" t="str">
        <x:v>Реанимация</x:v>
      </x:c>
      <x:c r="E681" t="str">
        <x:v>ПРОДАЖИ: Отвалы</x:v>
      </x:c>
      <x:c r="F681" t="str">
        <x:v>Иван Халин</x:v>
      </x:c>
      <x:c r="G681" t="str">
        <x:v>нет</x:v>
      </x:c>
      <x:c r="H681" t="str">
        <x:v>нет</x:v>
      </x:c>
    </x:row>
    <x:row r="682">
      <x:c r="A682" t="str">
        <x:v>4196</x:v>
      </x:c>
      <x:c r="B682" t="str">
        <x:v>Алёна (врач-пластический хирург из Новосибирска)</x:v>
      </x:c>
      <x:c r="C682" t="e">
        <x:f>HYPERLINK("https://belberrycrm.bitrix24.ru/crm/deal/details/4196/","https://belberrycrm.bitrix24.ru/crm/deal/details/4196/")</x:f>
      </x:c>
      <x:c r="D682" t="str">
        <x:v>Реанимация</x:v>
      </x:c>
      <x:c r="E682" t="str">
        <x:v>ПРОДАЖИ: Отвалы</x:v>
      </x:c>
      <x:c r="F682" t="str">
        <x:v>Иван Халин</x:v>
      </x:c>
      <x:c r="G682" t="str">
        <x:v>нет</x:v>
      </x:c>
      <x:c r="H682" t="str">
        <x:v>нет</x:v>
      </x:c>
    </x:row>
    <x:row r="683">
      <x:c r="A683" t="str">
        <x:v>4198</x:v>
      </x:c>
      <x:c r="B683" t="str">
        <x:v>eyeopen.ru</x:v>
      </x:c>
      <x:c r="C683" t="e">
        <x:f>HYPERLINK("https://belberrycrm.bitrix24.ru/crm/deal/details/4198/","https://belberrycrm.bitrix24.ru/crm/deal/details/4198/")</x:f>
      </x:c>
      <x:c r="D683" t="str">
        <x:v>Реанимация</x:v>
      </x:c>
      <x:c r="E683" t="str">
        <x:v>ПРОДАЖИ: Отвалы</x:v>
      </x:c>
      <x:c r="F683" t="str">
        <x:v>Даниил Касаткин</x:v>
      </x:c>
      <x:c r="G683" t="str">
        <x:v>нет</x:v>
      </x:c>
      <x:c r="H683" t="str">
        <x:v>нет</x:v>
      </x:c>
    </x:row>
    <x:row r="684">
      <x:c r="A684" t="str">
        <x:v>4202</x:v>
      </x:c>
      <x:c r="B684" t="str">
        <x:v>kavitron-clinic.ru</x:v>
      </x:c>
      <x:c r="C684" t="e">
        <x:f>HYPERLINK("https://belberrycrm.bitrix24.ru/crm/deal/details/4202/","https://belberrycrm.bitrix24.ru/crm/deal/details/4202/")</x:f>
      </x:c>
      <x:c r="D684" t="str">
        <x:v>Реанимация</x:v>
      </x:c>
      <x:c r="E684" t="str">
        <x:v>ПРОДАЖИ: Отвалы</x:v>
      </x:c>
      <x:c r="F684" t="str">
        <x:v>Иван Халин</x:v>
      </x:c>
      <x:c r="G684" t="str">
        <x:v>нет</x:v>
      </x:c>
      <x:c r="H684" t="str">
        <x:v>нет</x:v>
      </x:c>
    </x:row>
    <x:row r="685">
      <x:c r="A685" t="str">
        <x:v>4206</x:v>
      </x:c>
      <x:c r="B685" t="str">
        <x:v>Новый многопрофильный центр в г. Солнечногорск</x:v>
      </x:c>
      <x:c r="C685" t="e">
        <x:f>HYPERLINK("https://belberrycrm.bitrix24.ru/crm/deal/details/4206/","https://belberrycrm.bitrix24.ru/crm/deal/details/4206/")</x:f>
      </x:c>
      <x:c r="D685" t="str">
        <x:v>Реанимация</x:v>
      </x:c>
      <x:c r="E685" t="str">
        <x:v>ПРОДАЖИ: Отвалы</x:v>
      </x:c>
      <x:c r="F685" t="str">
        <x:v>Иван Халин</x:v>
      </x:c>
      <x:c r="G685" t="str">
        <x:v>нет</x:v>
      </x:c>
      <x:c r="H685" t="str">
        <x:v>нет</x:v>
      </x:c>
    </x:row>
    <x:row r="686">
      <x:c r="A686" t="str">
        <x:v>4208</x:v>
      </x:c>
      <x:c r="B686" t="str">
        <x:v>duoclinic.ru</x:v>
      </x:c>
      <x:c r="C686" t="e">
        <x:f>HYPERLINK("https://belberrycrm.bitrix24.ru/crm/deal/details/4208/","https://belberrycrm.bitrix24.ru/crm/deal/details/4208/")</x:f>
      </x:c>
      <x:c r="D686" t="str">
        <x:v>Реанимация</x:v>
      </x:c>
      <x:c r="E686" t="str">
        <x:v>ПРОДАЖИ: Отвалы</x:v>
      </x:c>
      <x:c r="F686" t="str">
        <x:v>Иван Халин</x:v>
      </x:c>
      <x:c r="G686" t="str">
        <x:v>нет</x:v>
      </x:c>
      <x:c r="H686" t="str">
        <x:v>нет</x:v>
      </x:c>
    </x:row>
    <x:row r="687">
      <x:c r="A687" t="str">
        <x:v>4212</x:v>
      </x:c>
      <x:c r="B687" t="str">
        <x:v>sculpturesmile.ru</x:v>
      </x:c>
      <x:c r="C687" t="e">
        <x:f>HYPERLINK("https://belberrycrm.bitrix24.ru/crm/deal/details/4212/","https://belberrycrm.bitrix24.ru/crm/deal/details/4212/")</x:f>
      </x:c>
      <x:c r="D687" t="str">
        <x:v>Реанимация</x:v>
      </x:c>
      <x:c r="E687" t="str">
        <x:v>ПРОДАЖИ: Отвалы</x:v>
      </x:c>
      <x:c r="F687" t="str">
        <x:v>Владислав Ткачук</x:v>
      </x:c>
      <x:c r="G687" t="str">
        <x:v>нет</x:v>
      </x:c>
      <x:c r="H687" t="str">
        <x:v>нет</x:v>
      </x:c>
    </x:row>
    <x:row r="688">
      <x:c r="A688" t="str">
        <x:v>4216</x:v>
      </x:c>
      <x:c r="B688" t="str">
        <x:v>Лаура (курс по продвижению клиник и врачей)</x:v>
      </x:c>
      <x:c r="C688" t="e">
        <x:f>HYPERLINK("https://belberrycrm.bitrix24.ru/crm/deal/details/4216/","https://belberrycrm.bitrix24.ru/crm/deal/details/4216/")</x:f>
      </x:c>
      <x:c r="D688" t="str">
        <x:v>Реанимация</x:v>
      </x:c>
      <x:c r="E688" t="str">
        <x:v>ПРОДАЖИ: Отвалы</x:v>
      </x:c>
      <x:c r="F688" t="str">
        <x:v>Иван Халин</x:v>
      </x:c>
      <x:c r="G688" t="str">
        <x:v>нет</x:v>
      </x:c>
      <x:c r="H688" t="str">
        <x:v>нет</x:v>
      </x:c>
    </x:row>
    <x:row r="689">
      <x:c r="A689" t="str">
        <x:v>4218</x:v>
      </x:c>
      <x:c r="B689" t="str">
        <x:v>kosmetologmsk.ru</x:v>
      </x:c>
      <x:c r="C689" t="e">
        <x:f>HYPERLINK("https://belberrycrm.bitrix24.ru/crm/deal/details/4218/","https://belberrycrm.bitrix24.ru/crm/deal/details/4218/")</x:f>
      </x:c>
      <x:c r="D689" t="str">
        <x:v>Реанимация</x:v>
      </x:c>
      <x:c r="E689" t="str">
        <x:v>ПРОДАЖИ: Отвалы</x:v>
      </x:c>
      <x:c r="F689" t="str">
        <x:v>Иван Халин</x:v>
      </x:c>
      <x:c r="G689" t="str">
        <x:v>нет</x:v>
      </x:c>
      <x:c r="H689" t="str">
        <x:v>нет</x:v>
      </x:c>
    </x:row>
    <x:row r="690">
      <x:c r="A690" t="str">
        <x:v>4220</x:v>
      </x:c>
      <x:c r="B690" t="str">
        <x:v>Тестовая сделка</x:v>
      </x:c>
      <x:c r="C690" t="e">
        <x:f>HYPERLINK("https://belberrycrm.bitrix24.ru/crm/deal/details/4220/","https://belberrycrm.bitrix24.ru/crm/deal/details/4220/")</x:f>
      </x:c>
      <x:c r="D690" t="str">
        <x:v>Реанимация</x:v>
      </x:c>
      <x:c r="E690" t="str">
        <x:v>ПРОДАЖИ: Отвалы</x:v>
      </x:c>
      <x:c r="F690" t="str">
        <x:v>Владислав Ткачук</x:v>
      </x:c>
      <x:c r="G690" t="str">
        <x:v>нет</x:v>
      </x:c>
      <x:c r="H690" t="str">
        <x:v>нет</x:v>
      </x:c>
    </x:row>
    <x:row r="691">
      <x:c r="A691" t="str">
        <x:v>4226</x:v>
      </x:c>
      <x:c r="B691" t="str">
        <x:v>asb-voevoda.ru</x:v>
      </x:c>
      <x:c r="C691" t="e">
        <x:f>HYPERLINK("https://belberrycrm.bitrix24.ru/crm/deal/details/4226/","https://belberrycrm.bitrix24.ru/crm/deal/details/4226/")</x:f>
      </x:c>
      <x:c r="D691" t="str">
        <x:v>Реанимация</x:v>
      </x:c>
      <x:c r="E691" t="str">
        <x:v>ПРОДАЖИ: Отвалы</x:v>
      </x:c>
      <x:c r="F691" t="str">
        <x:v>Даниил Касаткин</x:v>
      </x:c>
      <x:c r="G691" t="str">
        <x:v>нет</x:v>
      </x:c>
      <x:c r="H691" t="str">
        <x:v>нет</x:v>
      </x:c>
    </x:row>
    <x:row r="692">
      <x:c r="A692" t="str">
        <x:v>4228</x:v>
      </x:c>
      <x:c r="B692" t="str">
        <x:v>stom-desna.ru</x:v>
      </x:c>
      <x:c r="C692" t="e">
        <x:f>HYPERLINK("https://belberrycrm.bitrix24.ru/crm/deal/details/4228/","https://belberrycrm.bitrix24.ru/crm/deal/details/4228/")</x:f>
      </x:c>
      <x:c r="D692" t="str">
        <x:v>Реанимация</x:v>
      </x:c>
      <x:c r="E692" t="str">
        <x:v>ПРОДАЖИ: Отвалы</x:v>
      </x:c>
      <x:c r="F692" t="str">
        <x:v>Иван Халин</x:v>
      </x:c>
      <x:c r="G692" t="str">
        <x:v>нет</x:v>
      </x:c>
      <x:c r="H692" t="str">
        <x:v>нет</x:v>
      </x:c>
    </x:row>
    <x:row r="693">
      <x:c r="A693" t="str">
        <x:v>4230</x:v>
      </x:c>
      <x:c r="B693" t="str">
        <x:v>vitamir.ru</x:v>
      </x:c>
      <x:c r="C693" t="e">
        <x:f>HYPERLINK("https://belberrycrm.bitrix24.ru/crm/deal/details/4230/","https://belberrycrm.bitrix24.ru/crm/deal/details/4230/")</x:f>
      </x:c>
      <x:c r="D693" t="str">
        <x:v>Реанимация</x:v>
      </x:c>
      <x:c r="E693" t="str">
        <x:v>ПРОДАЖИ: Отвалы</x:v>
      </x:c>
      <x:c r="F693" t="str">
        <x:v>Иван Халин</x:v>
      </x:c>
      <x:c r="G693" t="str">
        <x:v>нет</x:v>
      </x:c>
      <x:c r="H693" t="str">
        <x:v>нет</x:v>
      </x:c>
    </x:row>
    <x:row r="694">
      <x:c r="A694" t="str">
        <x:v>4236</x:v>
      </x:c>
      <x:c r="B694" t="str">
        <x:v>ООО Сектор</x:v>
      </x:c>
      <x:c r="C694" t="e">
        <x:f>HYPERLINK("https://belberrycrm.bitrix24.ru/crm/deal/details/4236/","https://belberrycrm.bitrix24.ru/crm/deal/details/4236/")</x:f>
      </x:c>
      <x:c r="D694" t="str">
        <x:v>Реанимация</x:v>
      </x:c>
      <x:c r="E694" t="str">
        <x:v>ПРОДАЖИ: Отвалы</x:v>
      </x:c>
      <x:c r="F694" t="str">
        <x:v>Даниил Касаткин</x:v>
      </x:c>
      <x:c r="G694" t="str">
        <x:v>да</x:v>
      </x:c>
      <x:c r="H694" t="str">
        <x:v>нет</x:v>
      </x:c>
    </x:row>
    <x:row r="695">
      <x:c r="A695" t="str">
        <x:v>4238</x:v>
      </x:c>
      <x:c r="B695" t="str">
        <x:v>Василий, 27.05.2023</x:v>
      </x:c>
      <x:c r="C695" t="e">
        <x:f>HYPERLINK("https://belberrycrm.bitrix24.ru/crm/deal/details/4238/","https://belberrycrm.bitrix24.ru/crm/deal/details/4238/")</x:f>
      </x:c>
      <x:c r="D695" t="str">
        <x:v>Реанимация</x:v>
      </x:c>
      <x:c r="E695" t="str">
        <x:v>ПРОДАЖИ: Отвалы</x:v>
      </x:c>
      <x:c r="F695" t="str">
        <x:v>Данила Кочуров</x:v>
      </x:c>
      <x:c r="G695" t="str">
        <x:v>да</x:v>
      </x:c>
      <x:c r="H695" t="str">
        <x:v>нет</x:v>
      </x:c>
    </x:row>
    <x:row r="696">
      <x:c r="A696" t="str">
        <x:v>4242</x:v>
      </x:c>
      <x:c r="B696" t="str">
        <x:v>stomatplus.ru</x:v>
      </x:c>
      <x:c r="C696" t="e">
        <x:f>HYPERLINK("https://belberrycrm.bitrix24.ru/crm/deal/details/4242/","https://belberrycrm.bitrix24.ru/crm/deal/details/4242/")</x:f>
      </x:c>
      <x:c r="D696" t="str">
        <x:v>Реанимация</x:v>
      </x:c>
      <x:c r="E696" t="str">
        <x:v>ПРОДАЖИ: Отвалы</x:v>
      </x:c>
      <x:c r="F696" t="str">
        <x:v>Даниил Касаткин</x:v>
      </x:c>
      <x:c r="G696" t="str">
        <x:v>нет</x:v>
      </x:c>
      <x:c r="H696" t="str">
        <x:v>нет</x:v>
      </x:c>
    </x:row>
    <x:row r="697">
      <x:c r="A697" t="str">
        <x:v>4244</x:v>
      </x:c>
      <x:c r="B697" t="str">
        <x:v>Мета Медика</x:v>
      </x:c>
      <x:c r="C697" t="e">
        <x:f>HYPERLINK("https://belberrycrm.bitrix24.ru/crm/deal/details/4244/","https://belberrycrm.bitrix24.ru/crm/deal/details/4244/")</x:f>
      </x:c>
      <x:c r="D697" t="str">
        <x:v>Реанимация</x:v>
      </x:c>
      <x:c r="E697" t="str">
        <x:v>ПРОДАЖИ: Отвалы</x:v>
      </x:c>
      <x:c r="F697" t="str">
        <x:v>Иван Халин</x:v>
      </x:c>
      <x:c r="G697" t="str">
        <x:v>да</x:v>
      </x:c>
      <x:c r="H697" t="str">
        <x:v>нет</x:v>
      </x:c>
    </x:row>
    <x:row r="698">
      <x:c r="A698" t="str">
        <x:v>4248</x:v>
      </x:c>
      <x:c r="B698" t="str">
        <x:v>Новая клиника Ташкент</x:v>
      </x:c>
      <x:c r="C698" t="e">
        <x:f>HYPERLINK("https://belberrycrm.bitrix24.ru/crm/deal/details/4248/","https://belberrycrm.bitrix24.ru/crm/deal/details/4248/")</x:f>
      </x:c>
      <x:c r="D698" t="str">
        <x:v>Реанимация</x:v>
      </x:c>
      <x:c r="E698" t="str">
        <x:v>ПРОДАЖИ: Отвалы</x:v>
      </x:c>
      <x:c r="F698" t="str">
        <x:v>Даниил Касаткин</x:v>
      </x:c>
      <x:c r="G698" t="str">
        <x:v>нет</x:v>
      </x:c>
      <x:c r="H698" t="str">
        <x:v>нет</x:v>
      </x:c>
    </x:row>
    <x:row r="699">
      <x:c r="A699" t="str">
        <x:v>4250</x:v>
      </x:c>
      <x:c r="B699" t="str">
        <x:v>dentaleclinic.ru</x:v>
      </x:c>
      <x:c r="C699" t="e">
        <x:f>HYPERLINK("https://belberrycrm.bitrix24.ru/crm/deal/details/4250/","https://belberrycrm.bitrix24.ru/crm/deal/details/4250/")</x:f>
      </x:c>
      <x:c r="D699" t="str">
        <x:v>Реанимация</x:v>
      </x:c>
      <x:c r="E699" t="str">
        <x:v>ПРОДАЖИ: Отвалы</x:v>
      </x:c>
      <x:c r="F699" t="str">
        <x:v>Даниил Касаткин</x:v>
      </x:c>
      <x:c r="G699" t="str">
        <x:v>нет</x:v>
      </x:c>
      <x:c r="H699" t="str">
        <x:v>нет</x:v>
      </x:c>
    </x:row>
    <x:row r="700">
      <x:c r="A700" t="str">
        <x:v>4254</x:v>
      </x:c>
      <x:c r="B700" t="str">
        <x:v>teodorus.art</x:v>
      </x:c>
      <x:c r="C700" t="e">
        <x:f>HYPERLINK("https://belberrycrm.bitrix24.ru/crm/deal/details/4254/","https://belberrycrm.bitrix24.ru/crm/deal/details/4254/")</x:f>
      </x:c>
      <x:c r="D700" t="str">
        <x:v>Реанимация</x:v>
      </x:c>
      <x:c r="E700" t="str">
        <x:v>ПРОДАЖИ: Отвалы</x:v>
      </x:c>
      <x:c r="F700" t="str">
        <x:v>Владислав Ткачук</x:v>
      </x:c>
      <x:c r="G700" t="str">
        <x:v>нет</x:v>
      </x:c>
      <x:c r="H700" t="str">
        <x:v>нет</x:v>
      </x:c>
    </x:row>
    <x:row r="701">
      <x:c r="A701" t="str">
        <x:v>4256</x:v>
      </x:c>
      <x:c r="B701" t="str">
        <x:v>лорврач.online</x:v>
      </x:c>
      <x:c r="C701" t="e">
        <x:f>HYPERLINK("https://belberrycrm.bitrix24.ru/crm/deal/details/4256/","https://belberrycrm.bitrix24.ru/crm/deal/details/4256/")</x:f>
      </x:c>
      <x:c r="D701" t="str">
        <x:v>Реанимация</x:v>
      </x:c>
      <x:c r="E701" t="str">
        <x:v>ПРОДАЖИ: Отвалы</x:v>
      </x:c>
      <x:c r="F701" t="str">
        <x:v>Даниил Касаткин</x:v>
      </x:c>
      <x:c r="G701" t="str">
        <x:v>да</x:v>
      </x:c>
      <x:c r="H701" t="str">
        <x:v>нет</x:v>
      </x:c>
    </x:row>
    <x:row r="702">
      <x:c r="A702" t="str">
        <x:v>4260</x:v>
      </x:c>
      <x:c r="B702" t="str">
        <x:v>Клиника Виктории Жидковой</x:v>
      </x:c>
      <x:c r="C702" t="e">
        <x:f>HYPERLINK("https://belberrycrm.bitrix24.ru/crm/deal/details/4260/","https://belberrycrm.bitrix24.ru/crm/deal/details/4260/")</x:f>
      </x:c>
      <x:c r="D702" t="str">
        <x:v>Реанимация</x:v>
      </x:c>
      <x:c r="E702" t="str">
        <x:v>ПРОДАЖИ: Отвалы</x:v>
      </x:c>
      <x:c r="F702" t="str">
        <x:v>Даниил Касаткин</x:v>
      </x:c>
      <x:c r="G702" t="str">
        <x:v>нет</x:v>
      </x:c>
      <x:c r="H702" t="str">
        <x:v>нет</x:v>
      </x:c>
    </x:row>
    <x:row r="703">
      <x:c r="A703" t="str">
        <x:v>4262</x:v>
      </x:c>
      <x:c r="B703" t="str">
        <x:v>mrt96.ru</x:v>
      </x:c>
      <x:c r="C703" t="e">
        <x:f>HYPERLINK("https://belberrycrm.bitrix24.ru/crm/deal/details/4262/","https://belberrycrm.bitrix24.ru/crm/deal/details/4262/")</x:f>
      </x:c>
      <x:c r="D703" t="str">
        <x:v>Реанимация</x:v>
      </x:c>
      <x:c r="E703" t="str">
        <x:v>ПРОДАЖИ: Отвалы</x:v>
      </x:c>
      <x:c r="F703" t="str">
        <x:v>Иван Халин</x:v>
      </x:c>
      <x:c r="G703" t="str">
        <x:v>нет</x:v>
      </x:c>
      <x:c r="H703" t="str">
        <x:v>нет</x:v>
      </x:c>
    </x:row>
    <x:row r="704">
      <x:c r="A704" t="str">
        <x:v>4266</x:v>
      </x:c>
      <x:c r="B704" t="str">
        <x:v>Клиника в Нижнем Новгороде</x:v>
      </x:c>
      <x:c r="C704" t="e">
        <x:f>HYPERLINK("https://belberrycrm.bitrix24.ru/crm/deal/details/4266/","https://belberrycrm.bitrix24.ru/crm/deal/details/4266/")</x:f>
      </x:c>
      <x:c r="D704" t="str">
        <x:v>Реанимация</x:v>
      </x:c>
      <x:c r="E704" t="str">
        <x:v>ПРОДАЖИ: Отвалы</x:v>
      </x:c>
      <x:c r="F704" t="str">
        <x:v>Иван Халин</x:v>
      </x:c>
      <x:c r="G704" t="str">
        <x:v>нет</x:v>
      </x:c>
      <x:c r="H704" t="str">
        <x:v>нет</x:v>
      </x:c>
    </x:row>
    <x:row r="705">
      <x:c r="A705" t="str">
        <x:v>4268</x:v>
      </x:c>
      <x:c r="B705" t="str">
        <x:v>docmaximova.ru</x:v>
      </x:c>
      <x:c r="C705" t="e">
        <x:f>HYPERLINK("https://belberrycrm.bitrix24.ru/crm/deal/details/4268/","https://belberrycrm.bitrix24.ru/crm/deal/details/4268/")</x:f>
      </x:c>
      <x:c r="D705" t="str">
        <x:v>Реанимация</x:v>
      </x:c>
      <x:c r="E705" t="str">
        <x:v>ПРОДАЖИ: Отвалы</x:v>
      </x:c>
      <x:c r="F705" t="str">
        <x:v>Иван Халин</x:v>
      </x:c>
      <x:c r="G705" t="str">
        <x:v>да</x:v>
      </x:c>
      <x:c r="H705" t="str">
        <x:v>нет</x:v>
      </x:c>
    </x:row>
    <x:row r="706">
      <x:c r="A706" t="str">
        <x:v>4270</x:v>
      </x:c>
      <x:c r="B706" t="str">
        <x:v>Юлия (входящая заявка)</x:v>
      </x:c>
      <x:c r="C706" t="e">
        <x:f>HYPERLINK("https://belberrycrm.bitrix24.ru/crm/deal/details/4270/","https://belberrycrm.bitrix24.ru/crm/deal/details/4270/")</x:f>
      </x:c>
      <x:c r="D706" t="str">
        <x:v>Реанимация</x:v>
      </x:c>
      <x:c r="E706" t="str">
        <x:v>ПРОДАЖИ: Отвалы</x:v>
      </x:c>
      <x:c r="F706" t="str">
        <x:v>Иван Халин</x:v>
      </x:c>
      <x:c r="G706" t="str">
        <x:v>нет</x:v>
      </x:c>
      <x:c r="H706" t="str">
        <x:v>нет</x:v>
      </x:c>
    </x:row>
    <x:row r="707">
      <x:c r="A707" t="str">
        <x:v>4274</x:v>
      </x:c>
      <x:c r="B707" t="str">
        <x:v>Новая клиника Кирилл</x:v>
      </x:c>
      <x:c r="C707" t="e">
        <x:f>HYPERLINK("https://belberrycrm.bitrix24.ru/crm/deal/details/4274/","https://belberrycrm.bitrix24.ru/crm/deal/details/4274/")</x:f>
      </x:c>
      <x:c r="D707" t="str">
        <x:v>Реанимация</x:v>
      </x:c>
      <x:c r="E707" t="str">
        <x:v>ПРОДАЖИ: Отвалы</x:v>
      </x:c>
      <x:c r="F707" t="str">
        <x:v>Даниил Касаткин</x:v>
      </x:c>
      <x:c r="G707" t="str">
        <x:v>нет</x:v>
      </x:c>
      <x:c r="H707" t="str">
        <x:v>нет</x:v>
      </x:c>
    </x:row>
    <x:row r="708">
      <x:c r="A708" t="str">
        <x:v>4280</x:v>
      </x:c>
      <x:c r="B708" t="str">
        <x:v>evanetwork.ru</x:v>
      </x:c>
      <x:c r="C708" t="e">
        <x:f>HYPERLINK("https://belberrycrm.bitrix24.ru/crm/deal/details/4280/","https://belberrycrm.bitrix24.ru/crm/deal/details/4280/")</x:f>
      </x:c>
      <x:c r="D708" t="str">
        <x:v>Реанимация</x:v>
      </x:c>
      <x:c r="E708" t="str">
        <x:v>ПРОДАЖИ: Отвалы</x:v>
      </x:c>
      <x:c r="F708" t="str">
        <x:v>Владислав Ткачук</x:v>
      </x:c>
      <x:c r="G708" t="str">
        <x:v>да</x:v>
      </x:c>
      <x:c r="H708" t="str">
        <x:v>нет</x:v>
      </x:c>
    </x:row>
    <x:row r="709">
      <x:c r="A709" t="str">
        <x:v>4282</x:v>
      </x:c>
      <x:c r="B709" t="str">
        <x:v>BESOPHLI</x:v>
      </x:c>
      <x:c r="C709" t="e">
        <x:f>HYPERLINK("https://belberrycrm.bitrix24.ru/crm/deal/details/4282/","https://belberrycrm.bitrix24.ru/crm/deal/details/4282/")</x:f>
      </x:c>
      <x:c r="D709" t="str">
        <x:v>Реанимация</x:v>
      </x:c>
      <x:c r="E709" t="str">
        <x:v>ПРОДАЖИ: Отвалы</x:v>
      </x:c>
      <x:c r="F709" t="str">
        <x:v>Даниил Касаткин</x:v>
      </x:c>
      <x:c r="G709" t="str">
        <x:v>нет</x:v>
      </x:c>
      <x:c r="H709" t="str">
        <x:v>нет</x:v>
      </x:c>
    </x:row>
    <x:row r="710">
      <x:c r="A710" t="str">
        <x:v>4286</x:v>
      </x:c>
      <x:c r="B710" t="str">
        <x:v>margaritakoroleva.ru</x:v>
      </x:c>
      <x:c r="C710" t="e">
        <x:f>HYPERLINK("https://belberrycrm.bitrix24.ru/crm/deal/details/4286/","https://belberrycrm.bitrix24.ru/crm/deal/details/4286/")</x:f>
      </x:c>
      <x:c r="D710" t="str">
        <x:v>Реанимация</x:v>
      </x:c>
      <x:c r="E710" t="str">
        <x:v>ПРОДАЖИ: Отвалы</x:v>
      </x:c>
      <x:c r="F710" t="str">
        <x:v>Иван Халин</x:v>
      </x:c>
      <x:c r="G710" t="str">
        <x:v>нет</x:v>
      </x:c>
      <x:c r="H710" t="str">
        <x:v>нет</x:v>
      </x:c>
    </x:row>
    <x:row r="711">
      <x:c r="A711" t="str">
        <x:v>4298</x:v>
      </x:c>
      <x:c r="B711" t="str">
        <x:v>Алексей, заявка на копию сайта ТЦ Миля</x:v>
      </x:c>
      <x:c r="C711" t="e">
        <x:f>HYPERLINK("https://belberrycrm.bitrix24.ru/crm/deal/details/4298/","https://belberrycrm.bitrix24.ru/crm/deal/details/4298/")</x:f>
      </x:c>
      <x:c r="D711" t="str">
        <x:v>Реанимация</x:v>
      </x:c>
      <x:c r="E711" t="str">
        <x:v>ПРОДАЖИ: Отвалы</x:v>
      </x:c>
      <x:c r="F711" t="str">
        <x:v>Владислав Ткачук</x:v>
      </x:c>
      <x:c r="G711" t="str">
        <x:v>да</x:v>
      </x:c>
      <x:c r="H711" t="str">
        <x:v>нет</x:v>
      </x:c>
    </x:row>
    <x:row r="712">
      <x:c r="A712" t="str">
        <x:v>4304</x:v>
      </x:c>
      <x:c r="B712" t="str">
        <x:v>Евгений Гармаев (разработка лендинга под элайнеры)</x:v>
      </x:c>
      <x:c r="C712" t="e">
        <x:f>HYPERLINK("https://belberrycrm.bitrix24.ru/crm/deal/details/4304/","https://belberrycrm.bitrix24.ru/crm/deal/details/4304/")</x:f>
      </x:c>
      <x:c r="D712" t="str">
        <x:v>Реанимация</x:v>
      </x:c>
      <x:c r="E712" t="str">
        <x:v>ПРОДАЖИ: Отвалы</x:v>
      </x:c>
      <x:c r="F712" t="str">
        <x:v>Иван Халин</x:v>
      </x:c>
      <x:c r="G712" t="str">
        <x:v>нет</x:v>
      </x:c>
      <x:c r="H712" t="str">
        <x:v>нет</x:v>
      </x:c>
    </x:row>
    <x:row r="713">
      <x:c r="A713" t="str">
        <x:v>4306</x:v>
      </x:c>
      <x:c r="B713" t="str">
        <x:v>service-conditioners.pro</x:v>
      </x:c>
      <x:c r="C713" t="e">
        <x:f>HYPERLINK("https://belberrycrm.bitrix24.ru/crm/deal/details/4306/","https://belberrycrm.bitrix24.ru/crm/deal/details/4306/")</x:f>
      </x:c>
      <x:c r="D713" t="str">
        <x:v>Реанимация</x:v>
      </x:c>
      <x:c r="E713" t="str">
        <x:v>ПРОДАЖИ: Отвалы</x:v>
      </x:c>
      <x:c r="F713" t="str">
        <x:v>Данила Кочуров</x:v>
      </x:c>
      <x:c r="G713" t="str">
        <x:v>да</x:v>
      </x:c>
      <x:c r="H713" t="str">
        <x:v>нет</x:v>
      </x:c>
    </x:row>
    <x:row r="714">
      <x:c r="A714" t="str">
        <x:v>4314</x:v>
      </x:c>
      <x:c r="B714" t="str">
        <x:v>Елена, Бухучёт.</x:v>
      </x:c>
      <x:c r="C714" t="e">
        <x:f>HYPERLINK("https://belberrycrm.bitrix24.ru/crm/deal/details/4314/","https://belberrycrm.bitrix24.ru/crm/deal/details/4314/")</x:f>
      </x:c>
      <x:c r="D714" t="str">
        <x:v>Реанимация</x:v>
      </x:c>
      <x:c r="E714" t="str">
        <x:v>ПРОДАЖИ: Отвалы</x:v>
      </x:c>
      <x:c r="F714" t="str">
        <x:v>Владислав Ткачук</x:v>
      </x:c>
      <x:c r="G714" t="str">
        <x:v>нет</x:v>
      </x:c>
      <x:c r="H714" t="str">
        <x:v>нет</x:v>
      </x:c>
    </x:row>
    <x:row r="715">
      <x:c r="A715" t="str">
        <x:v>4320</x:v>
      </x:c>
      <x:c r="B715" t="str">
        <x:v>elite-denta.ru</x:v>
      </x:c>
      <x:c r="C715" t="e">
        <x:f>HYPERLINK("https://belberrycrm.bitrix24.ru/crm/deal/details/4320/","https://belberrycrm.bitrix24.ru/crm/deal/details/4320/")</x:f>
      </x:c>
      <x:c r="D715" t="str">
        <x:v>Реанимация</x:v>
      </x:c>
      <x:c r="E715" t="str">
        <x:v>ПРОДАЖИ: Отвалы</x:v>
      </x:c>
      <x:c r="F715" t="str">
        <x:v>Иван Халин</x:v>
      </x:c>
      <x:c r="G715" t="str">
        <x:v>нет</x:v>
      </x:c>
      <x:c r="H715" t="str">
        <x:v>нет</x:v>
      </x:c>
    </x:row>
    <x:row r="716">
      <x:c r="A716" t="str">
        <x:v>4322</x:v>
      </x:c>
      <x:c r="B716" t="str">
        <x:v>ecredit.one</x:v>
      </x:c>
      <x:c r="C716" t="e">
        <x:f>HYPERLINK("https://belberrycrm.bitrix24.ru/crm/deal/details/4322/","https://belberrycrm.bitrix24.ru/crm/deal/details/4322/")</x:f>
      </x:c>
      <x:c r="D716" t="str">
        <x:v>Реанимация</x:v>
      </x:c>
      <x:c r="E716" t="str">
        <x:v>ПРОДАЖИ: Отвалы</x:v>
      </x:c>
      <x:c r="F716" t="str">
        <x:v>Даниил Касаткин</x:v>
      </x:c>
      <x:c r="G716" t="str">
        <x:v>да</x:v>
      </x:c>
      <x:c r="H716" t="str">
        <x:v>нет</x:v>
      </x:c>
    </x:row>
    <x:row r="717">
      <x:c r="A717" t="str">
        <x:v>4330</x:v>
      </x:c>
      <x:c r="B717" t="str">
        <x:v>neurodens.ru</x:v>
      </x:c>
      <x:c r="C717" t="e">
        <x:f>HYPERLINK("https://belberrycrm.bitrix24.ru/crm/deal/details/4330/","https://belberrycrm.bitrix24.ru/crm/deal/details/4330/")</x:f>
      </x:c>
      <x:c r="D717" t="str">
        <x:v>Реанимация</x:v>
      </x:c>
      <x:c r="E717" t="str">
        <x:v>ПРОДАЖИ: Отвалы</x:v>
      </x:c>
      <x:c r="F717" t="str">
        <x:v>Даниил Касаткин</x:v>
      </x:c>
      <x:c r="G717" t="str">
        <x:v>да</x:v>
      </x:c>
      <x:c r="H717" t="str">
        <x:v>нет</x:v>
      </x:c>
    </x:row>
    <x:row r="718">
      <x:c r="A718" t="str">
        <x:v>4336</x:v>
      </x:c>
      <x:c r="B718" t="str">
        <x:v>ljubercy.medcentr-endomedlab.ru</x:v>
      </x:c>
      <x:c r="C718" t="e">
        <x:f>HYPERLINK("https://belberrycrm.bitrix24.ru/crm/deal/details/4336/","https://belberrycrm.bitrix24.ru/crm/deal/details/4336/")</x:f>
      </x:c>
      <x:c r="D718" t="str">
        <x:v>Реанимация</x:v>
      </x:c>
      <x:c r="E718" t="str">
        <x:v>ПРОДАЖИ: Отвалы</x:v>
      </x:c>
      <x:c r="F718" t="str">
        <x:v>Даниил Касаткин</x:v>
      </x:c>
      <x:c r="G718" t="str">
        <x:v>нет</x:v>
      </x:c>
      <x:c r="H718" t="str">
        <x:v>нет</x:v>
      </x:c>
    </x:row>
    <x:row r="719">
      <x:c r="A719" t="str">
        <x:v>4348</x:v>
      </x:c>
      <x:c r="B719" t="str">
        <x:v>Новая многопрофильная клиника в г. Воронеж</x:v>
      </x:c>
      <x:c r="C719" t="e">
        <x:f>HYPERLINK("https://belberrycrm.bitrix24.ru/crm/deal/details/4348/","https://belberrycrm.bitrix24.ru/crm/deal/details/4348/")</x:f>
      </x:c>
      <x:c r="D719" t="str">
        <x:v>Реанимация</x:v>
      </x:c>
      <x:c r="E719" t="str">
        <x:v>ПРОДАЖИ: Отвалы</x:v>
      </x:c>
      <x:c r="F719" t="str">
        <x:v>Иван Халин</x:v>
      </x:c>
      <x:c r="G719" t="str">
        <x:v>нет</x:v>
      </x:c>
      <x:c r="H719" t="str">
        <x:v>нет</x:v>
      </x:c>
    </x:row>
    <x:row r="720">
      <x:c r="A720" t="str">
        <x:v>4350</x:v>
      </x:c>
      <x:c r="B720" t="str">
        <x:v>Десятникова Светлана Александровна</x:v>
      </x:c>
      <x:c r="C720" t="e">
        <x:f>HYPERLINK("https://belberrycrm.bitrix24.ru/crm/deal/details/4350/","https://belberrycrm.bitrix24.ru/crm/deal/details/4350/")</x:f>
      </x:c>
      <x:c r="D720" t="str">
        <x:v>Реанимация</x:v>
      </x:c>
      <x:c r="E720" t="str">
        <x:v>ПРОДАЖИ: Отвалы</x:v>
      </x:c>
      <x:c r="F720" t="str">
        <x:v>Иван Халин</x:v>
      </x:c>
      <x:c r="G720" t="str">
        <x:v>да</x:v>
      </x:c>
      <x:c r="H720" t="str">
        <x:v>нет</x:v>
      </x:c>
    </x:row>
    <x:row r="721">
      <x:c r="A721" t="str">
        <x:v>4354</x:v>
      </x:c>
      <x:c r="B721" t="str">
        <x:v>medintourist.ru</x:v>
      </x:c>
      <x:c r="C721" t="e">
        <x:f>HYPERLINK("https://belberrycrm.bitrix24.ru/crm/deal/details/4354/","https://belberrycrm.bitrix24.ru/crm/deal/details/4354/")</x:f>
      </x:c>
      <x:c r="D721" t="str">
        <x:v>Реанимация</x:v>
      </x:c>
      <x:c r="E721" t="str">
        <x:v>ПРОДАЖИ: Отвалы</x:v>
      </x:c>
      <x:c r="F721" t="str">
        <x:v>Иван Халин</x:v>
      </x:c>
      <x:c r="G721" t="str">
        <x:v>нет</x:v>
      </x:c>
      <x:c r="H721" t="str">
        <x:v>нет</x:v>
      </x:c>
    </x:row>
    <x:row r="722">
      <x:c r="A722" t="str">
        <x:v>4356</x:v>
      </x:c>
      <x:c r="B722" t="str">
        <x:v>narodstom.ru</x:v>
      </x:c>
      <x:c r="C722" t="e">
        <x:f>HYPERLINK("https://belberrycrm.bitrix24.ru/crm/deal/details/4356/","https://belberrycrm.bitrix24.ru/crm/deal/details/4356/")</x:f>
      </x:c>
      <x:c r="D722" t="str">
        <x:v>Реанимация</x:v>
      </x:c>
      <x:c r="E722" t="str">
        <x:v>ПРОДАЖИ: Отвалы</x:v>
      </x:c>
      <x:c r="F722" t="str">
        <x:v>Иван Халин</x:v>
      </x:c>
      <x:c r="G722" t="str">
        <x:v>да</x:v>
      </x:c>
      <x:c r="H722" t="str">
        <x:v>нет</x:v>
      </x:c>
    </x:row>
    <x:row r="723">
      <x:c r="A723" t="str">
        <x:v>4358</x:v>
      </x:c>
      <x:c r="B723" t="str">
        <x:v>мистер-фиш.рф</x:v>
      </x:c>
      <x:c r="C723" t="e">
        <x:f>HYPERLINK("https://belberrycrm.bitrix24.ru/crm/deal/details/4358/","https://belberrycrm.bitrix24.ru/crm/deal/details/4358/")</x:f>
      </x:c>
      <x:c r="D723" t="str">
        <x:v>Реанимация</x:v>
      </x:c>
      <x:c r="E723" t="str">
        <x:v>ПРОДАЖИ: Отвалы</x:v>
      </x:c>
      <x:c r="F723" t="str">
        <x:v>Иван Халин</x:v>
      </x:c>
      <x:c r="G723" t="str">
        <x:v>нет</x:v>
      </x:c>
      <x:c r="H723" t="str">
        <x:v>нет</x:v>
      </x:c>
    </x:row>
    <x:row r="724">
      <x:c r="A724" t="str">
        <x:v>4364</x:v>
      </x:c>
      <x:c r="B724" t="str">
        <x:v>shinedent.ru</x:v>
      </x:c>
      <x:c r="C724" t="e">
        <x:f>HYPERLINK("https://belberrycrm.bitrix24.ru/crm/deal/details/4364/","https://belberrycrm.bitrix24.ru/crm/deal/details/4364/")</x:f>
      </x:c>
      <x:c r="D724" t="str">
        <x:v>Реанимация</x:v>
      </x:c>
      <x:c r="E724" t="str">
        <x:v>ПРОДАЖИ: Отвалы</x:v>
      </x:c>
      <x:c r="F724" t="str">
        <x:v>Иван Халин</x:v>
      </x:c>
      <x:c r="G724" t="str">
        <x:v>нет</x:v>
      </x:c>
      <x:c r="H724" t="str">
        <x:v>нет</x:v>
      </x:c>
    </x:row>
    <x:row r="725">
      <x:c r="A725" t="str">
        <x:v>4376</x:v>
      </x:c>
      <x:c r="B725" t="str">
        <x:v>fiorebags.ru</x:v>
      </x:c>
      <x:c r="C725" t="e">
        <x:f>HYPERLINK("https://belberrycrm.bitrix24.ru/crm/deal/details/4376/","https://belberrycrm.bitrix24.ru/crm/deal/details/4376/")</x:f>
      </x:c>
      <x:c r="D725" t="str">
        <x:v>Реанимация</x:v>
      </x:c>
      <x:c r="E725" t="str">
        <x:v>ПРОДАЖИ: Отвалы</x:v>
      </x:c>
      <x:c r="F725" t="str">
        <x:v>Даниил Касаткин</x:v>
      </x:c>
      <x:c r="G725" t="str">
        <x:v>да</x:v>
      </x:c>
      <x:c r="H725" t="str">
        <x:v>нет</x:v>
      </x:c>
    </x:row>
    <x:row r="726">
      <x:c r="A726" t="str">
        <x:v>4378</x:v>
      </x:c>
      <x:c r="B726" t="str">
        <x:v>evomed-clinic.ru</x:v>
      </x:c>
      <x:c r="C726" t="e">
        <x:f>HYPERLINK("https://belberrycrm.bitrix24.ru/crm/deal/details/4378/","https://belberrycrm.bitrix24.ru/crm/deal/details/4378/")</x:f>
      </x:c>
      <x:c r="D726" t="str">
        <x:v>Реанимация</x:v>
      </x:c>
      <x:c r="E726" t="str">
        <x:v>ПРОДАЖИ: Отвалы</x:v>
      </x:c>
      <x:c r="F726" t="str">
        <x:v>Иван Халин</x:v>
      </x:c>
      <x:c r="G726" t="str">
        <x:v>да</x:v>
      </x:c>
      <x:c r="H726" t="str">
        <x:v>нет</x:v>
      </x:c>
    </x:row>
    <x:row r="727">
      <x:c r="A727" t="str">
        <x:v>4384</x:v>
      </x:c>
      <x:c r="B727" t="str">
        <x:v>Любовь (скорая помощь)</x:v>
      </x:c>
      <x:c r="C727" t="e">
        <x:f>HYPERLINK("https://belberrycrm.bitrix24.ru/crm/deal/details/4384/","https://belberrycrm.bitrix24.ru/crm/deal/details/4384/")</x:f>
      </x:c>
      <x:c r="D727" t="str">
        <x:v>Реанимация</x:v>
      </x:c>
      <x:c r="E727" t="str">
        <x:v>ПРОДАЖИ: Отвалы</x:v>
      </x:c>
      <x:c r="F727" t="str">
        <x:v>Иван Халин</x:v>
      </x:c>
      <x:c r="G727" t="str">
        <x:v>нет</x:v>
      </x:c>
      <x:c r="H727" t="str">
        <x:v>нет</x:v>
      </x:c>
    </x:row>
    <x:row r="728">
      <x:c r="A728" t="str">
        <x:v>4386</x:v>
      </x:c>
      <x:c r="B728" t="str">
        <x:v>hotel-istra.ru</x:v>
      </x:c>
      <x:c r="C728" t="e">
        <x:f>HYPERLINK("https://belberrycrm.bitrix24.ru/crm/deal/details/4386/","https://belberrycrm.bitrix24.ru/crm/deal/details/4386/")</x:f>
      </x:c>
      <x:c r="D728" t="str">
        <x:v>Реанимация</x:v>
      </x:c>
      <x:c r="E728" t="str">
        <x:v>ПРОДАЖИ: Отвалы</x:v>
      </x:c>
      <x:c r="F728" t="str">
        <x:v>Даниил Касаткин</x:v>
      </x:c>
      <x:c r="G728" t="str">
        <x:v>нет</x:v>
      </x:c>
      <x:c r="H728" t="str">
        <x:v>нет</x:v>
      </x:c>
    </x:row>
    <x:row r="729">
      <x:c r="A729" t="str">
        <x:v>4390</x:v>
      </x:c>
      <x:c r="B729" t="str">
        <x:v>radissonhotels.com</x:v>
      </x:c>
      <x:c r="C729" t="e">
        <x:f>HYPERLINK("https://belberrycrm.bitrix24.ru/crm/deal/details/4390/","https://belberrycrm.bitrix24.ru/crm/deal/details/4390/")</x:f>
      </x:c>
      <x:c r="D729" t="str">
        <x:v>Реанимация</x:v>
      </x:c>
      <x:c r="E729" t="str">
        <x:v>ПРОДАЖИ: Отвалы</x:v>
      </x:c>
      <x:c r="F729" t="str">
        <x:v>Даниил Касаткин</x:v>
      </x:c>
      <x:c r="G729" t="str">
        <x:v>нет</x:v>
      </x:c>
      <x:c r="H729" t="str">
        <x:v>нет</x:v>
      </x:c>
    </x:row>
    <x:row r="730">
      <x:c r="A730" t="str">
        <x:v>4412</x:v>
      </x:c>
      <x:c r="B730" t="str">
        <x:v>Panorama.ws</x:v>
      </x:c>
      <x:c r="C730" t="e">
        <x:f>HYPERLINK("https://belberrycrm.bitrix24.ru/crm/deal/details/4412/","https://belberrycrm.bitrix24.ru/crm/deal/details/4412/")</x:f>
      </x:c>
      <x:c r="D730" t="str">
        <x:v>Реанимация</x:v>
      </x:c>
      <x:c r="E730" t="str">
        <x:v>ПРОДАЖИ: Отвалы</x:v>
      </x:c>
      <x:c r="F730" t="str">
        <x:v>Даниил Касаткин</x:v>
      </x:c>
      <x:c r="G730" t="str">
        <x:v>нет</x:v>
      </x:c>
      <x:c r="H730" t="str">
        <x:v>нет</x:v>
      </x:c>
    </x:row>
    <x:row r="731">
      <x:c r="A731" t="str">
        <x:v>4414</x:v>
      </x:c>
      <x:c r="B731" t="str">
        <x:v>deklarantonline.ru</x:v>
      </x:c>
      <x:c r="C731" t="e">
        <x:f>HYPERLINK("https://belberrycrm.bitrix24.ru/crm/deal/details/4414/","https://belberrycrm.bitrix24.ru/crm/deal/details/4414/")</x:f>
      </x:c>
      <x:c r="D731" t="str">
        <x:v>Реанимация</x:v>
      </x:c>
      <x:c r="E731" t="str">
        <x:v>ПРОДАЖИ: Отвалы</x:v>
      </x:c>
      <x:c r="F731" t="str">
        <x:v>Даниил Касаткин</x:v>
      </x:c>
      <x:c r="G731" t="str">
        <x:v>нет</x:v>
      </x:c>
      <x:c r="H731" t="str">
        <x:v>нет</x:v>
      </x:c>
    </x:row>
    <x:row r="732">
      <x:c r="A732" t="str">
        <x:v>4420</x:v>
      </x:c>
      <x:c r="B732" t="str">
        <x:v>arles-msk.ru</x:v>
      </x:c>
      <x:c r="C732" t="e">
        <x:f>HYPERLINK("https://belberrycrm.bitrix24.ru/crm/deal/details/4420/","https://belberrycrm.bitrix24.ru/crm/deal/details/4420/")</x:f>
      </x:c>
      <x:c r="D732" t="str">
        <x:v>Реанимация</x:v>
      </x:c>
      <x:c r="E732" t="str">
        <x:v>ПРОДАЖИ: Отвалы</x:v>
      </x:c>
      <x:c r="F732" t="str">
        <x:v>Даниил Касаткин</x:v>
      </x:c>
      <x:c r="G732" t="str">
        <x:v>нет</x:v>
      </x:c>
      <x:c r="H732" t="str">
        <x:v>нет</x:v>
      </x:c>
    </x:row>
    <x:row r="733">
      <x:c r="A733" t="str">
        <x:v>4426</x:v>
      </x:c>
      <x:c r="B733" t="str">
        <x:v>hi-techclinic.ru</x:v>
      </x:c>
      <x:c r="C733" t="e">
        <x:f>HYPERLINK("https://belberrycrm.bitrix24.ru/crm/deal/details/4426/","https://belberrycrm.bitrix24.ru/crm/deal/details/4426/")</x:f>
      </x:c>
      <x:c r="D733" t="str">
        <x:v>Реанимация</x:v>
      </x:c>
      <x:c r="E733" t="str">
        <x:v>ПРОДАЖИ: Отвалы</x:v>
      </x:c>
      <x:c r="F733" t="str">
        <x:v>Иван Халин</x:v>
      </x:c>
      <x:c r="G733" t="str">
        <x:v>нет</x:v>
      </x:c>
      <x:c r="H733" t="str">
        <x:v>нет</x:v>
      </x:c>
    </x:row>
    <x:row r="734">
      <x:c r="A734" t="str">
        <x:v>4432</x:v>
      </x:c>
      <x:c r="B734" t="str">
        <x:v>faceconcept.ru</x:v>
      </x:c>
      <x:c r="C734" t="e">
        <x:f>HYPERLINK("https://belberrycrm.bitrix24.ru/crm/deal/details/4432/","https://belberrycrm.bitrix24.ru/crm/deal/details/4432/")</x:f>
      </x:c>
      <x:c r="D734" t="str">
        <x:v>Реанимация</x:v>
      </x:c>
      <x:c r="E734" t="str">
        <x:v>ПРОДАЖИ: Отвалы</x:v>
      </x:c>
      <x:c r="F734" t="str">
        <x:v>Иван Халин</x:v>
      </x:c>
      <x:c r="G734" t="str">
        <x:v>да</x:v>
      </x:c>
      <x:c r="H734" t="str">
        <x:v>нет</x:v>
      </x:c>
    </x:row>
    <x:row r="735">
      <x:c r="A735" t="str">
        <x:v>4434</x:v>
      </x:c>
      <x:c r="B735" t="str">
        <x:v>zubkivsem.ru</x:v>
      </x:c>
      <x:c r="C735" t="e">
        <x:f>HYPERLINK("https://belberrycrm.bitrix24.ru/crm/deal/details/4434/","https://belberrycrm.bitrix24.ru/crm/deal/details/4434/")</x:f>
      </x:c>
      <x:c r="D735" t="str">
        <x:v>Реанимация</x:v>
      </x:c>
      <x:c r="E735" t="str">
        <x:v>ПРОДАЖИ: Отвалы</x:v>
      </x:c>
      <x:c r="F735" t="str">
        <x:v>Иван Халин</x:v>
      </x:c>
      <x:c r="G735" t="str">
        <x:v>нет</x:v>
      </x:c>
      <x:c r="H735" t="str">
        <x:v>нет</x:v>
      </x:c>
    </x:row>
    <x:row r="736">
      <x:c r="A736" t="str">
        <x:v>4436</x:v>
      </x:c>
      <x:c r="B736" t="str">
        <x:v>novdenta.ru</x:v>
      </x:c>
      <x:c r="C736" t="e">
        <x:f>HYPERLINK("https://belberrycrm.bitrix24.ru/crm/deal/details/4436/","https://belberrycrm.bitrix24.ru/crm/deal/details/4436/")</x:f>
      </x:c>
      <x:c r="D736" t="str">
        <x:v>Реанимация</x:v>
      </x:c>
      <x:c r="E736" t="str">
        <x:v>ПРОДАЖИ: Отвалы</x:v>
      </x:c>
      <x:c r="F736" t="str">
        <x:v>Иван Халин</x:v>
      </x:c>
      <x:c r="G736" t="str">
        <x:v>нет</x:v>
      </x:c>
      <x:c r="H736" t="str">
        <x:v>нет</x:v>
      </x:c>
    </x:row>
    <x:row r="737">
      <x:c r="A737" t="str">
        <x:v>4444</x:v>
      </x:c>
      <x:c r="B737" t="str">
        <x:v>sale.adv-exeed.ru</x:v>
      </x:c>
      <x:c r="C737" t="e">
        <x:f>HYPERLINK("https://belberrycrm.bitrix24.ru/crm/deal/details/4444/","https://belberrycrm.bitrix24.ru/crm/deal/details/4444/")</x:f>
      </x:c>
      <x:c r="D737" t="str">
        <x:v>Реанимация</x:v>
      </x:c>
      <x:c r="E737" t="str">
        <x:v>ПРОДАЖИ: Отвалы</x:v>
      </x:c>
      <x:c r="F737" t="str">
        <x:v>Даниил Касаткин</x:v>
      </x:c>
      <x:c r="G737" t="str">
        <x:v>нет</x:v>
      </x:c>
      <x:c r="H737" t="str">
        <x:v>нет</x:v>
      </x:c>
    </x:row>
    <x:row r="738">
      <x:c r="A738" t="str">
        <x:v>4454</x:v>
      </x:c>
      <x:c r="B738" t="str">
        <x:v>Елена Сергеевна (стоматология в Москве)</x:v>
      </x:c>
      <x:c r="C738" t="e">
        <x:f>HYPERLINK("https://belberrycrm.bitrix24.ru/crm/deal/details/4454/","https://belberrycrm.bitrix24.ru/crm/deal/details/4454/")</x:f>
      </x:c>
      <x:c r="D738" t="str">
        <x:v>Реанимация</x:v>
      </x:c>
      <x:c r="E738" t="str">
        <x:v>ПРОДАЖИ: Отвалы</x:v>
      </x:c>
      <x:c r="F738" t="str">
        <x:v>Иван Халин</x:v>
      </x:c>
      <x:c r="G738" t="str">
        <x:v>нет</x:v>
      </x:c>
      <x:c r="H738" t="str">
        <x:v>нет</x:v>
      </x:c>
    </x:row>
    <x:row r="739">
      <x:c r="A739" t="str">
        <x:v>4464</x:v>
      </x:c>
      <x:c r="B739" t="str">
        <x:v>gerat-parts.ru</x:v>
      </x:c>
      <x:c r="C739" t="e">
        <x:f>HYPERLINK("https://belberrycrm.bitrix24.ru/crm/deal/details/4464/","https://belberrycrm.bitrix24.ru/crm/deal/details/4464/")</x:f>
      </x:c>
      <x:c r="D739" t="str">
        <x:v>Реанимация</x:v>
      </x:c>
      <x:c r="E739" t="str">
        <x:v>ПРОДАЖИ: Отвалы</x:v>
      </x:c>
      <x:c r="F739" t="str">
        <x:v>Даниил Касаткин</x:v>
      </x:c>
      <x:c r="G739" t="str">
        <x:v>нет</x:v>
      </x:c>
      <x:c r="H739" t="str">
        <x:v>нет</x:v>
      </x:c>
    </x:row>
    <x:row r="740">
      <x:c r="A740" t="str">
        <x:v>4466</x:v>
      </x:c>
      <x:c r="B740" t="str">
        <x:v>askona38.ru</x:v>
      </x:c>
      <x:c r="C740" t="e">
        <x:f>HYPERLINK("https://belberrycrm.bitrix24.ru/crm/deal/details/4466/","https://belberrycrm.bitrix24.ru/crm/deal/details/4466/")</x:f>
      </x:c>
      <x:c r="D740" t="str">
        <x:v>Реанимация</x:v>
      </x:c>
      <x:c r="E740" t="str">
        <x:v>ПРОДАЖИ: Отвалы</x:v>
      </x:c>
      <x:c r="F740" t="str">
        <x:v>Даниил Касаткин</x:v>
      </x:c>
      <x:c r="G740" t="str">
        <x:v>нет</x:v>
      </x:c>
      <x:c r="H740" t="str">
        <x:v>нет</x:v>
      </x:c>
    </x:row>
    <x:row r="741">
      <x:c r="A741" t="str">
        <x:v>4474</x:v>
      </x:c>
      <x:c r="B741" t="str">
        <x:v>tf-tc.com</x:v>
      </x:c>
      <x:c r="C741" t="e">
        <x:f>HYPERLINK("https://belberrycrm.bitrix24.ru/crm/deal/details/4474/","https://belberrycrm.bitrix24.ru/crm/deal/details/4474/")</x:f>
      </x:c>
      <x:c r="D741" t="str">
        <x:v>Реанимация</x:v>
      </x:c>
      <x:c r="E741" t="str">
        <x:v>ПРОДАЖИ: Отвалы</x:v>
      </x:c>
      <x:c r="F741" t="str">
        <x:v>Даниил Касаткин</x:v>
      </x:c>
      <x:c r="G741" t="str">
        <x:v>да</x:v>
      </x:c>
      <x:c r="H741" t="str">
        <x:v>нет</x:v>
      </x:c>
    </x:row>
    <x:row r="742">
      <x:c r="A742" t="str">
        <x:v>4486</x:v>
      </x:c>
      <x:c r="B742" t="str">
        <x:v>sanel.store</x:v>
      </x:c>
      <x:c r="C742" t="e">
        <x:f>HYPERLINK("https://belberrycrm.bitrix24.ru/crm/deal/details/4486/","https://belberrycrm.bitrix24.ru/crm/deal/details/4486/")</x:f>
      </x:c>
      <x:c r="D742" t="str">
        <x:v>Реанимация</x:v>
      </x:c>
      <x:c r="E742" t="str">
        <x:v>ПРОДАЖИ: Отвалы</x:v>
      </x:c>
      <x:c r="F742" t="str">
        <x:v>Даниил Касаткин</x:v>
      </x:c>
      <x:c r="G742" t="str">
        <x:v>нет</x:v>
      </x:c>
      <x:c r="H742" t="str">
        <x:v>нет</x:v>
      </x:c>
    </x:row>
    <x:row r="743">
      <x:c r="A743" t="str">
        <x:v>4492</x:v>
      </x:c>
      <x:c r="B743" t="str">
        <x:v>ventadetn.wixsite.com</x:v>
      </x:c>
      <x:c r="C743" t="e">
        <x:f>HYPERLINK("https://belberrycrm.bitrix24.ru/crm/deal/details/4492/","https://belberrycrm.bitrix24.ru/crm/deal/details/4492/")</x:f>
      </x:c>
      <x:c r="D743" t="str">
        <x:v>Реанимация</x:v>
      </x:c>
      <x:c r="E743" t="str">
        <x:v>ПРОДАЖИ: Отвалы</x:v>
      </x:c>
      <x:c r="F743" t="str">
        <x:v>Иван Халин</x:v>
      </x:c>
      <x:c r="G743" t="str">
        <x:v>нет</x:v>
      </x:c>
      <x:c r="H743" t="str">
        <x:v>нет</x:v>
      </x:c>
    </x:row>
    <x:row r="744">
      <x:c r="A744" t="str">
        <x:v>4498</x:v>
      </x:c>
      <x:c r="B744" t="str">
        <x:v>ostrov-parkhotel.ru</x:v>
      </x:c>
      <x:c r="C744" t="e">
        <x:f>HYPERLINK("https://belberrycrm.bitrix24.ru/crm/deal/details/4498/","https://belberrycrm.bitrix24.ru/crm/deal/details/4498/")</x:f>
      </x:c>
      <x:c r="D744" t="str">
        <x:v>Реанимация</x:v>
      </x:c>
      <x:c r="E744" t="str">
        <x:v>ПРОДАЖИ: Отвалы</x:v>
      </x:c>
      <x:c r="F744" t="str">
        <x:v>Даниил Касаткин</x:v>
      </x:c>
      <x:c r="G744" t="str">
        <x:v>да</x:v>
      </x:c>
      <x:c r="H744" t="str">
        <x:v>нет</x:v>
      </x:c>
    </x:row>
    <x:row r="745">
      <x:c r="A745" t="str">
        <x:v>4514</x:v>
      </x:c>
      <x:c r="B745" t="str">
        <x:v>meltis.ru</x:v>
      </x:c>
      <x:c r="C745" t="e">
        <x:f>HYPERLINK("https://belberrycrm.bitrix24.ru/crm/deal/details/4514/","https://belberrycrm.bitrix24.ru/crm/deal/details/4514/")</x:f>
      </x:c>
      <x:c r="D745" t="str">
        <x:v>Реанимация</x:v>
      </x:c>
      <x:c r="E745" t="str">
        <x:v>ПРОДАЖИ: Отвалы</x:v>
      </x:c>
      <x:c r="F745" t="str">
        <x:v>Данила Кочуров</x:v>
      </x:c>
      <x:c r="G745" t="str">
        <x:v>нет</x:v>
      </x:c>
      <x:c r="H745" t="str">
        <x:v>нет</x:v>
      </x:c>
    </x:row>
    <x:row r="746">
      <x:c r="A746" t="str">
        <x:v>4516</x:v>
      </x:c>
      <x:c r="B746" t="str">
        <x:v>Дезинфекция помещений</x:v>
      </x:c>
      <x:c r="C746" t="e">
        <x:f>HYPERLINK("https://belberrycrm.bitrix24.ru/crm/deal/details/4516/","https://belberrycrm.bitrix24.ru/crm/deal/details/4516/")</x:f>
      </x:c>
      <x:c r="D746" t="str">
        <x:v>Реанимация</x:v>
      </x:c>
      <x:c r="E746" t="str">
        <x:v>ПРОДАЖИ: Отвалы</x:v>
      </x:c>
      <x:c r="F746" t="str">
        <x:v>Владислав Ткачук</x:v>
      </x:c>
      <x:c r="G746" t="str">
        <x:v>нет</x:v>
      </x:c>
      <x:c r="H746" t="str">
        <x:v>нет</x:v>
      </x:c>
    </x:row>
    <x:row r="747">
      <x:c r="A747" t="str">
        <x:v>4524</x:v>
      </x:c>
      <x:c r="B747" t="str">
        <x:v>dr-hit-smile.ru</x:v>
      </x:c>
      <x:c r="C747" t="e">
        <x:f>HYPERLINK("https://belberrycrm.bitrix24.ru/crm/deal/details/4524/","https://belberrycrm.bitrix24.ru/crm/deal/details/4524/")</x:f>
      </x:c>
      <x:c r="D747" t="str">
        <x:v>Реанимация</x:v>
      </x:c>
      <x:c r="E747" t="str">
        <x:v>ПРОДАЖИ: Отвалы</x:v>
      </x:c>
      <x:c r="F747" t="str">
        <x:v>Иван Халин</x:v>
      </x:c>
      <x:c r="G747" t="str">
        <x:v>нет</x:v>
      </x:c>
      <x:c r="H747" t="str">
        <x:v>нет</x:v>
      </x:c>
    </x:row>
    <x:row r="748">
      <x:c r="A748" t="str">
        <x:v>4540</x:v>
      </x:c>
      <x:c r="B748" t="str">
        <x:v>Сохам (врач терапевт)</x:v>
      </x:c>
      <x:c r="C748" t="e">
        <x:f>HYPERLINK("https://belberrycrm.bitrix24.ru/crm/deal/details/4540/","https://belberrycrm.bitrix24.ru/crm/deal/details/4540/")</x:f>
      </x:c>
      <x:c r="D748" t="str">
        <x:v>Реанимация</x:v>
      </x:c>
      <x:c r="E748" t="str">
        <x:v>ПРОДАЖИ: Отвалы</x:v>
      </x:c>
      <x:c r="F748" t="str">
        <x:v>Владислав Ткачук</x:v>
      </x:c>
      <x:c r="G748" t="str">
        <x:v>нет</x:v>
      </x:c>
      <x:c r="H748" t="str">
        <x:v>нет</x:v>
      </x:c>
    </x:row>
    <x:row r="749">
      <x:c r="A749" t="str">
        <x:v>4542</x:v>
      </x:c>
      <x:c r="B749" t="str">
        <x:v>principalbm.ru</x:v>
      </x:c>
      <x:c r="C749" t="e">
        <x:f>HYPERLINK("https://belberrycrm.bitrix24.ru/crm/deal/details/4542/","https://belberrycrm.bitrix24.ru/crm/deal/details/4542/")</x:f>
      </x:c>
      <x:c r="D749" t="str">
        <x:v>Реанимация</x:v>
      </x:c>
      <x:c r="E749" t="str">
        <x:v>ПРОДАЖИ: Отвалы</x:v>
      </x:c>
      <x:c r="F749" t="str">
        <x:v>Владислав Ткачук</x:v>
      </x:c>
      <x:c r="G749" t="str">
        <x:v>нет</x:v>
      </x:c>
      <x:c r="H749" t="str">
        <x:v>нет</x:v>
      </x:c>
    </x:row>
    <x:row r="750">
      <x:c r="A750" t="str">
        <x:v>4548</x:v>
      </x:c>
      <x:c r="B750" t="str">
        <x:v>Наталья, пиксель, 21.08</x:v>
      </x:c>
      <x:c r="C750" t="e">
        <x:f>HYPERLINK("https://belberrycrm.bitrix24.ru/crm/deal/details/4548/","https://belberrycrm.bitrix24.ru/crm/deal/details/4548/")</x:f>
      </x:c>
      <x:c r="D750" t="str">
        <x:v>Реанимация</x:v>
      </x:c>
      <x:c r="E750" t="str">
        <x:v>ПРОДАЖИ: Отвалы</x:v>
      </x:c>
      <x:c r="F750" t="str">
        <x:v>Владислав Ткачук</x:v>
      </x:c>
      <x:c r="G750" t="str">
        <x:v>нет</x:v>
      </x:c>
      <x:c r="H750" t="str">
        <x:v>нет</x:v>
      </x:c>
    </x:row>
    <x:row r="751">
      <x:c r="A751" t="str">
        <x:v>4550</x:v>
      </x:c>
      <x:c r="B751" t="str">
        <x:v>Доктор Преображенский</x:v>
      </x:c>
      <x:c r="C751" t="e">
        <x:f>HYPERLINK("https://belberrycrm.bitrix24.ru/crm/deal/details/4550/","https://belberrycrm.bitrix24.ru/crm/deal/details/4550/")</x:f>
      </x:c>
      <x:c r="D751" t="str">
        <x:v>Реанимация</x:v>
      </x:c>
      <x:c r="E751" t="str">
        <x:v>ПРОДАЖИ: Отвалы</x:v>
      </x:c>
      <x:c r="F751" t="str">
        <x:v>Даниил Касаткин</x:v>
      </x:c>
      <x:c r="G751" t="str">
        <x:v>да</x:v>
      </x:c>
      <x:c r="H751" t="str">
        <x:v>нет</x:v>
      </x:c>
    </x:row>
    <x:row r="752">
      <x:c r="A752" t="str">
        <x:v>4554</x:v>
      </x:c>
      <x:c r="B752" t="str">
        <x:v>Екатерина Вход Печи</x:v>
      </x:c>
      <x:c r="C752" t="e">
        <x:f>HYPERLINK("https://belberrycrm.bitrix24.ru/crm/deal/details/4554/","https://belberrycrm.bitrix24.ru/crm/deal/details/4554/")</x:f>
      </x:c>
      <x:c r="D752" t="str">
        <x:v>Реанимация</x:v>
      </x:c>
      <x:c r="E752" t="str">
        <x:v>ПРОДАЖИ: Отвалы</x:v>
      </x:c>
      <x:c r="F752" t="str">
        <x:v>Даниил Касаткин</x:v>
      </x:c>
      <x:c r="G752" t="str">
        <x:v>нет</x:v>
      </x:c>
      <x:c r="H752" t="str">
        <x:v>нет</x:v>
      </x:c>
    </x:row>
    <x:row r="753">
      <x:c r="A753" t="str">
        <x:v>4562</x:v>
      </x:c>
      <x:c r="B753" t="str">
        <x:v>bravodent.ru</x:v>
      </x:c>
      <x:c r="C753" t="e">
        <x:f>HYPERLINK("https://belberrycrm.bitrix24.ru/crm/deal/details/4562/","https://belberrycrm.bitrix24.ru/crm/deal/details/4562/")</x:f>
      </x:c>
      <x:c r="D753" t="str">
        <x:v>Реанимация</x:v>
      </x:c>
      <x:c r="E753" t="str">
        <x:v>ПРОДАЖИ: Отвалы</x:v>
      </x:c>
      <x:c r="F753" t="str">
        <x:v>Иван Халин</x:v>
      </x:c>
      <x:c r="G753" t="str">
        <x:v>нет</x:v>
      </x:c>
      <x:c r="H753" t="str">
        <x:v>нет</x:v>
      </x:c>
    </x:row>
    <x:row r="754">
      <x:c r="A754" t="str">
        <x:v>4566</x:v>
      </x:c>
      <x:c r="B754" t="str">
        <x:v>Мария (разработка сайта для клиники)</x:v>
      </x:c>
      <x:c r="C754" t="e">
        <x:f>HYPERLINK("https://belberrycrm.bitrix24.ru/crm/deal/details/4566/","https://belberrycrm.bitrix24.ru/crm/deal/details/4566/")</x:f>
      </x:c>
      <x:c r="D754" t="str">
        <x:v>Реанимация</x:v>
      </x:c>
      <x:c r="E754" t="str">
        <x:v>ПРОДАЖИ: Отвалы</x:v>
      </x:c>
      <x:c r="F754" t="str">
        <x:v>Иван Халин</x:v>
      </x:c>
      <x:c r="G754" t="str">
        <x:v>нет</x:v>
      </x:c>
      <x:c r="H754" t="str">
        <x:v>нет</x:v>
      </x:c>
    </x:row>
    <x:row r="755">
      <x:c r="A755" t="str">
        <x:v>4570</x:v>
      </x:c>
      <x:c r="B755" t="str">
        <x:v>orteka.ru</x:v>
      </x:c>
      <x:c r="C755" t="e">
        <x:f>HYPERLINK("https://belberrycrm.bitrix24.ru/crm/deal/details/4570/","https://belberrycrm.bitrix24.ru/crm/deal/details/4570/")</x:f>
      </x:c>
      <x:c r="D755" t="str">
        <x:v>Реанимация</x:v>
      </x:c>
      <x:c r="E755" t="str">
        <x:v>ПРОДАЖИ: Отвалы</x:v>
      </x:c>
      <x:c r="F755" t="str">
        <x:v>Иван Халин</x:v>
      </x:c>
      <x:c r="G755" t="str">
        <x:v>нет</x:v>
      </x:c>
      <x:c r="H755" t="str">
        <x:v>нет</x:v>
      </x:c>
    </x:row>
    <x:row r="756">
      <x:c r="A756" t="str">
        <x:v>4574</x:v>
      </x:c>
      <x:c r="B756" t="str">
        <x:v>next-apart.ru</x:v>
      </x:c>
      <x:c r="C756" t="e">
        <x:f>HYPERLINK("https://belberrycrm.bitrix24.ru/crm/deal/details/4574/","https://belberrycrm.bitrix24.ru/crm/deal/details/4574/")</x:f>
      </x:c>
      <x:c r="D756" t="str">
        <x:v>Реанимация</x:v>
      </x:c>
      <x:c r="E756" t="str">
        <x:v>ПРОДАЖИ: Отвалы</x:v>
      </x:c>
      <x:c r="F756" t="str">
        <x:v>Данила Кочуров</x:v>
      </x:c>
      <x:c r="G756" t="str">
        <x:v>нет</x:v>
      </x:c>
      <x:c r="H756" t="str">
        <x:v>нет</x:v>
      </x:c>
    </x:row>
    <x:row r="757">
      <x:c r="A757" t="str">
        <x:v>4584</x:v>
      </x:c>
      <x:c r="B757" t="str">
        <x:v>mco3.ru</x:v>
      </x:c>
      <x:c r="C757" t="e">
        <x:f>HYPERLINK("https://belberrycrm.bitrix24.ru/crm/deal/details/4584/","https://belberrycrm.bitrix24.ru/crm/deal/details/4584/")</x:f>
      </x:c>
      <x:c r="D757" t="str">
        <x:v>Реанимация</x:v>
      </x:c>
      <x:c r="E757" t="str">
        <x:v>ПРОДАЖИ: Не сейчас</x:v>
      </x:c>
      <x:c r="F757" t="str">
        <x:v>Камиль Булатов</x:v>
      </x:c>
      <x:c r="G757" t="str">
        <x:v>да</x:v>
      </x:c>
      <x:c r="H757" t="str">
        <x:v>нет</x:v>
      </x:c>
    </x:row>
    <x:row r="758">
      <x:c r="A758" t="str">
        <x:v>4586</x:v>
      </x:c>
      <x:c r="B758" t="str">
        <x:v>Кристина, вход 01.09</x:v>
      </x:c>
      <x:c r="C758" t="e">
        <x:f>HYPERLINK("https://belberrycrm.bitrix24.ru/crm/deal/details/4586/","https://belberrycrm.bitrix24.ru/crm/deal/details/4586/")</x:f>
      </x:c>
      <x:c r="D758" t="str">
        <x:v>Реанимация</x:v>
      </x:c>
      <x:c r="E758" t="str">
        <x:v>ПРОДАЖИ: Отвалы</x:v>
      </x:c>
      <x:c r="F758" t="str">
        <x:v>Владислав Ткачук</x:v>
      </x:c>
      <x:c r="G758" t="str">
        <x:v>нет</x:v>
      </x:c>
      <x:c r="H758" t="str">
        <x:v>нет</x:v>
      </x:c>
    </x:row>
    <x:row r="759">
      <x:c r="A759" t="str">
        <x:v>4600</x:v>
      </x:c>
      <x:c r="B759" t="str">
        <x:v>ch1ef.ru</x:v>
      </x:c>
      <x:c r="C759" t="e">
        <x:f>HYPERLINK("https://belberrycrm.bitrix24.ru/crm/deal/details/4600/","https://belberrycrm.bitrix24.ru/crm/deal/details/4600/")</x:f>
      </x:c>
      <x:c r="D759" t="str">
        <x:v>Реанимация</x:v>
      </x:c>
      <x:c r="E759" t="str">
        <x:v>ПРОДАЖИ: Отвалы</x:v>
      </x:c>
      <x:c r="F759" t="str">
        <x:v>Даниил Касаткин</x:v>
      </x:c>
      <x:c r="G759" t="str">
        <x:v>да</x:v>
      </x:c>
      <x:c r="H759" t="str">
        <x:v>нет</x:v>
      </x:c>
    </x:row>
    <x:row r="760">
      <x:c r="A760" t="str">
        <x:v>4604</x:v>
      </x:c>
      <x:c r="B760" t="str">
        <x:v>immun.ru</x:v>
      </x:c>
      <x:c r="C760" t="e">
        <x:f>HYPERLINK("https://belberrycrm.bitrix24.ru/crm/deal/details/4604/","https://belberrycrm.bitrix24.ru/crm/deal/details/4604/")</x:f>
      </x:c>
      <x:c r="D760" t="str">
        <x:v>Реанимация</x:v>
      </x:c>
      <x:c r="E760" t="str">
        <x:v>ПРОДАЖИ: Отвалы</x:v>
      </x:c>
      <x:c r="F760" t="str">
        <x:v>Камиль Булатов</x:v>
      </x:c>
      <x:c r="G760" t="str">
        <x:v>нет</x:v>
      </x:c>
      <x:c r="H760" t="str">
        <x:v>нет</x:v>
      </x:c>
    </x:row>
    <x:row r="761">
      <x:c r="A761" t="str">
        <x:v>4606</x:v>
      </x:c>
      <x:c r="B761" t="str">
        <x:v>doctortai.ru</x:v>
      </x:c>
      <x:c r="C761" t="e">
        <x:f>HYPERLINK("https://belberrycrm.bitrix24.ru/crm/deal/details/4606/","https://belberrycrm.bitrix24.ru/crm/deal/details/4606/")</x:f>
      </x:c>
      <x:c r="D761" t="str">
        <x:v>Реанимация</x:v>
      </x:c>
      <x:c r="E761" t="str">
        <x:v>ПРОДАЖИ: Отвалы</x:v>
      </x:c>
      <x:c r="F761" t="str">
        <x:v>Камиль Булатов</x:v>
      </x:c>
      <x:c r="G761" t="str">
        <x:v>нет</x:v>
      </x:c>
      <x:c r="H761" t="str">
        <x:v>нет</x:v>
      </x:c>
    </x:row>
    <x:row r="762">
      <x:c r="A762" t="str">
        <x:v>4611</x:v>
      </x:c>
      <x:c r="B762" t="str">
        <x:v>medblago.ru</x:v>
      </x:c>
      <x:c r="C762" t="e">
        <x:f>HYPERLINK("https://belberrycrm.bitrix24.ru/crm/deal/details/4611/","https://belberrycrm.bitrix24.ru/crm/deal/details/4611/")</x:f>
      </x:c>
      <x:c r="D762" t="str">
        <x:v>Реанимация</x:v>
      </x:c>
      <x:c r="E762" t="str">
        <x:v>ПРОДАЖИ: Отвалы</x:v>
      </x:c>
      <x:c r="F762" t="str">
        <x:v>Камиль Булатов</x:v>
      </x:c>
      <x:c r="G762" t="str">
        <x:v>нет</x:v>
      </x:c>
      <x:c r="H762" t="str">
        <x:v>нет</x:v>
      </x:c>
    </x:row>
    <x:row r="763">
      <x:c r="A763" t="str">
        <x:v>4616</x:v>
      </x:c>
      <x:c r="B763" t="str">
        <x:v>versalign.ru</x:v>
      </x:c>
      <x:c r="C763" t="e">
        <x:f>HYPERLINK("https://belberrycrm.bitrix24.ru/crm/deal/details/4616/","https://belberrycrm.bitrix24.ru/crm/deal/details/4616/")</x:f>
      </x:c>
      <x:c r="D763" t="str">
        <x:v>Реанимация</x:v>
      </x:c>
      <x:c r="E763" t="str">
        <x:v>ПРОДАЖИ: Отвалы</x:v>
      </x:c>
      <x:c r="F763" t="str">
        <x:v>Иван Халин</x:v>
      </x:c>
      <x:c r="G763" t="str">
        <x:v>нет</x:v>
      </x:c>
      <x:c r="H763" t="str">
        <x:v>нет</x:v>
      </x:c>
    </x:row>
    <x:row r="764">
      <x:c r="A764" t="str">
        <x:v>4618</x:v>
      </x:c>
      <x:c r="B764" t="str">
        <x:v>medongroup-lub.ru</x:v>
      </x:c>
      <x:c r="C764" t="e">
        <x:f>HYPERLINK("https://belberrycrm.bitrix24.ru/crm/deal/details/4618/","https://belberrycrm.bitrix24.ru/crm/deal/details/4618/")</x:f>
      </x:c>
      <x:c r="D764" t="str">
        <x:v>Реанимация</x:v>
      </x:c>
      <x:c r="E764" t="str">
        <x:v>ПРОДАЖИ: Отвалы</x:v>
      </x:c>
      <x:c r="F764" t="str">
        <x:v>Иван Халин</x:v>
      </x:c>
      <x:c r="G764" t="str">
        <x:v>нет</x:v>
      </x:c>
      <x:c r="H764" t="str">
        <x:v>нет</x:v>
      </x:c>
    </x:row>
    <x:row r="765">
      <x:c r="A765" t="str">
        <x:v>4628</x:v>
      </x:c>
      <x:c r="B765" t="str">
        <x:v>amdlab1995.ru</x:v>
      </x:c>
      <x:c r="C765" t="e">
        <x:f>HYPERLINK("https://belberrycrm.bitrix24.ru/crm/deal/details/4628/","https://belberrycrm.bitrix24.ru/crm/deal/details/4628/")</x:f>
      </x:c>
      <x:c r="D765" t="str">
        <x:v>Реанимация</x:v>
      </x:c>
      <x:c r="E765" t="str">
        <x:v>ПРОДАЖИ: Отвалы</x:v>
      </x:c>
      <x:c r="F765" t="str">
        <x:v>Камиль Булатов</x:v>
      </x:c>
      <x:c r="G765" t="str">
        <x:v>нет</x:v>
      </x:c>
      <x:c r="H765" t="str">
        <x:v>нет</x:v>
      </x:c>
    </x:row>
    <x:row r="766">
      <x:c r="A766" t="str">
        <x:v>4636</x:v>
      </x:c>
      <x:c r="B766" t="str">
        <x:v>medicaplus.org</x:v>
      </x:c>
      <x:c r="C766" t="e">
        <x:f>HYPERLINK("https://belberrycrm.bitrix24.ru/crm/deal/details/4636/","https://belberrycrm.bitrix24.ru/crm/deal/details/4636/")</x:f>
      </x:c>
      <x:c r="D766" t="str">
        <x:v>Реанимация</x:v>
      </x:c>
      <x:c r="E766" t="str">
        <x:v>ПРОДАЖИ: Отвалы</x:v>
      </x:c>
      <x:c r="F766" t="str">
        <x:v>Даниил Касаткин</x:v>
      </x:c>
      <x:c r="G766" t="str">
        <x:v>нет</x:v>
      </x:c>
      <x:c r="H766" t="str">
        <x:v>нет</x:v>
      </x:c>
    </x:row>
    <x:row r="767">
      <x:c r="A767" t="str">
        <x:v>4640</x:v>
      </x:c>
      <x:c r="B767" t="str">
        <x:v>Тигран Владимирович (врач стоматолог)</x:v>
      </x:c>
      <x:c r="C767" t="e">
        <x:f>HYPERLINK("https://belberrycrm.bitrix24.ru/crm/deal/details/4640/","https://belberrycrm.bitrix24.ru/crm/deal/details/4640/")</x:f>
      </x:c>
      <x:c r="D767" t="str">
        <x:v>Реанимация</x:v>
      </x:c>
      <x:c r="E767" t="str">
        <x:v>ПРОДАЖИ: Отвалы</x:v>
      </x:c>
      <x:c r="F767" t="str">
        <x:v>Иван Халин</x:v>
      </x:c>
      <x:c r="G767" t="str">
        <x:v>нет</x:v>
      </x:c>
      <x:c r="H767" t="str">
        <x:v>нет</x:v>
      </x:c>
    </x:row>
    <x:row r="768">
      <x:c r="A768" t="str">
        <x:v>4642</x:v>
      </x:c>
      <x:c r="B768" t="str">
        <x:v>Татьяна Крук (Открывает бизнес по аренде ламп от желтушки)</x:v>
      </x:c>
      <x:c r="C768" t="e">
        <x:f>HYPERLINK("https://belberrycrm.bitrix24.ru/crm/deal/details/4642/","https://belberrycrm.bitrix24.ru/crm/deal/details/4642/")</x:f>
      </x:c>
      <x:c r="D768" t="str">
        <x:v>Реанимация</x:v>
      </x:c>
      <x:c r="E768" t="str">
        <x:v>ПРОДАЖИ: Отвалы</x:v>
      </x:c>
      <x:c r="F768" t="str">
        <x:v>Иван Халин</x:v>
      </x:c>
      <x:c r="G768" t="str">
        <x:v>нет</x:v>
      </x:c>
      <x:c r="H768" t="str">
        <x:v>нет</x:v>
      </x:c>
    </x:row>
    <x:row r="769">
      <x:c r="A769" t="str">
        <x:v>4646</x:v>
      </x:c>
      <x:c r="B769" t="str">
        <x:v>nmlikino.ru</x:v>
      </x:c>
      <x:c r="C769" t="e">
        <x:f>HYPERLINK("https://belberrycrm.bitrix24.ru/crm/deal/details/4646/","https://belberrycrm.bitrix24.ru/crm/deal/details/4646/")</x:f>
      </x:c>
      <x:c r="D769" t="str">
        <x:v>Реанимация</x:v>
      </x:c>
      <x:c r="E769" t="str">
        <x:v>ПРОДАЖИ: Отвалы</x:v>
      </x:c>
      <x:c r="F769" t="str">
        <x:v>Камиль Булатов</x:v>
      </x:c>
      <x:c r="G769" t="str">
        <x:v>нет</x:v>
      </x:c>
      <x:c r="H769" t="str">
        <x:v>нет</x:v>
      </x:c>
    </x:row>
    <x:row r="770">
      <x:c r="A770" t="str">
        <x:v>4652</x:v>
      </x:c>
      <x:c r="B770" t="str">
        <x:v>ИП Решетовская Екатерина</x:v>
      </x:c>
      <x:c r="C770" t="e">
        <x:f>HYPERLINK("https://belberrycrm.bitrix24.ru/crm/deal/details/4652/","https://belberrycrm.bitrix24.ru/crm/deal/details/4652/")</x:f>
      </x:c>
      <x:c r="D770" t="str">
        <x:v>Реанимация</x:v>
      </x:c>
      <x:c r="E770" t="str">
        <x:v>ПРОДАЖИ: Отвалы</x:v>
      </x:c>
      <x:c r="F770" t="str">
        <x:v>Владислав Ткачук</x:v>
      </x:c>
      <x:c r="G770" t="str">
        <x:v>да</x:v>
      </x:c>
      <x:c r="H770" t="str">
        <x:v>нет</x:v>
      </x:c>
    </x:row>
    <x:row r="771">
      <x:c r="A771" t="str">
        <x:v>4660</x:v>
      </x:c>
      <x:c r="B771" t="str">
        <x:v>Тест___</x:v>
      </x:c>
      <x:c r="C771" t="e">
        <x:f>HYPERLINK("https://belberrycrm.bitrix24.ru/crm/deal/details/4660/","https://belberrycrm.bitrix24.ru/crm/deal/details/4660/")</x:f>
      </x:c>
      <x:c r="D771" t="str">
        <x:v>Реанимация</x:v>
      </x:c>
      <x:c r="E771" t="str">
        <x:v>ПРОДАЖИ: Отвалы</x:v>
      </x:c>
      <x:c r="F771" t="str">
        <x:v>Камиль Булатов</x:v>
      </x:c>
      <x:c r="G771" t="str">
        <x:v>нет</x:v>
      </x:c>
      <x:c r="H771" t="str">
        <x:v>нет</x:v>
      </x:c>
    </x:row>
    <x:row r="772">
      <x:c r="A772" t="str">
        <x:v>4662</x:v>
      </x:c>
      <x:c r="B772" t="str">
        <x:v>magicdentalspb.ru</x:v>
      </x:c>
      <x:c r="C772" t="e">
        <x:f>HYPERLINK("https://belberrycrm.bitrix24.ru/crm/deal/details/4662/","https://belberrycrm.bitrix24.ru/crm/deal/details/4662/")</x:f>
      </x:c>
      <x:c r="D772" t="str">
        <x:v>Реанимация</x:v>
      </x:c>
      <x:c r="E772" t="str">
        <x:v>ПРОДАЖИ: Отвалы</x:v>
      </x:c>
      <x:c r="F772" t="str">
        <x:v>Камиль Булатов</x:v>
      </x:c>
      <x:c r="G772" t="str">
        <x:v>нет</x:v>
      </x:c>
      <x:c r="H772" t="str">
        <x:v>нет</x:v>
      </x:c>
    </x:row>
    <x:row r="773">
      <x:c r="A773" t="str">
        <x:v>4666</x:v>
      </x:c>
      <x:c r="B773" t="str">
        <x:v>ecodent-clinic.ru</x:v>
      </x:c>
      <x:c r="C773" t="e">
        <x:f>HYPERLINK("https://belberrycrm.bitrix24.ru/crm/deal/details/4666/","https://belberrycrm.bitrix24.ru/crm/deal/details/4666/")</x:f>
      </x:c>
      <x:c r="D773" t="str">
        <x:v>Реанимация</x:v>
      </x:c>
      <x:c r="E773" t="str">
        <x:v>ПРОДАЖИ: Отвалы</x:v>
      </x:c>
      <x:c r="F773" t="str">
        <x:v>Камиль Булатов</x:v>
      </x:c>
      <x:c r="G773" t="str">
        <x:v>нет</x:v>
      </x:c>
      <x:c r="H773" t="str">
        <x:v>нет</x:v>
      </x:c>
    </x:row>
    <x:row r="774">
      <x:c r="A774" t="str">
        <x:v>4682</x:v>
      </x:c>
      <x:c r="B774" t="str">
        <x:v>rusonar.ru</x:v>
      </x:c>
      <x:c r="C774" t="e">
        <x:f>HYPERLINK("https://belberrycrm.bitrix24.ru/crm/deal/details/4682/","https://belberrycrm.bitrix24.ru/crm/deal/details/4682/")</x:f>
      </x:c>
      <x:c r="D774" t="str">
        <x:v>Реанимация</x:v>
      </x:c>
      <x:c r="E774" t="str">
        <x:v>ПРОДАЖИ: Отвалы</x:v>
      </x:c>
      <x:c r="F774" t="str">
        <x:v>Даниил Касаткин</x:v>
      </x:c>
      <x:c r="G774" t="str">
        <x:v>да</x:v>
      </x:c>
      <x:c r="H774" t="str">
        <x:v>нет</x:v>
      </x:c>
    </x:row>
    <x:row r="775">
      <x:c r="A775" t="str">
        <x:v>4690</x:v>
      </x:c>
      <x:c r="B775" t="str">
        <x:v>wooyoungmed.ru</x:v>
      </x:c>
      <x:c r="C775" t="e">
        <x:f>HYPERLINK("https://belberrycrm.bitrix24.ru/crm/deal/details/4690/","https://belberrycrm.bitrix24.ru/crm/deal/details/4690/")</x:f>
      </x:c>
      <x:c r="D775" t="str">
        <x:v>Реанимация</x:v>
      </x:c>
      <x:c r="E775" t="str">
        <x:v>ПРОДАЖИ: Отвалы</x:v>
      </x:c>
      <x:c r="F775" t="str">
        <x:v>Даниил Касаткин</x:v>
      </x:c>
      <x:c r="G775" t="str">
        <x:v>нет</x:v>
      </x:c>
      <x:c r="H775" t="str">
        <x:v>нет</x:v>
      </x:c>
    </x:row>
    <x:row r="776">
      <x:c r="A776" t="str">
        <x:v>4700</x:v>
      </x:c>
      <x:c r="B776" t="str">
        <x:v>uptk65.ru</x:v>
      </x:c>
      <x:c r="C776" t="e">
        <x:f>HYPERLINK("https://belberrycrm.bitrix24.ru/crm/deal/details/4700/","https://belberrycrm.bitrix24.ru/crm/deal/details/4700/")</x:f>
      </x:c>
      <x:c r="D776" t="str">
        <x:v>Реанимация</x:v>
      </x:c>
      <x:c r="E776" t="str">
        <x:v>ПРОДАЖИ: Отвалы</x:v>
      </x:c>
      <x:c r="F776" t="str">
        <x:v>Евгения Гордиенко</x:v>
      </x:c>
      <x:c r="G776" t="str">
        <x:v>нет</x:v>
      </x:c>
      <x:c r="H776" t="str">
        <x:v>нет</x:v>
      </x:c>
    </x:row>
    <x:row r="777">
      <x:c r="A777" t="str">
        <x:v>4702</x:v>
      </x:c>
      <x:c r="B777" t="str">
        <x:v>makeuptattoostudio.ru</x:v>
      </x:c>
      <x:c r="C777" t="e">
        <x:f>HYPERLINK("https://belberrycrm.bitrix24.ru/crm/deal/details/4702/","https://belberrycrm.bitrix24.ru/crm/deal/details/4702/")</x:f>
      </x:c>
      <x:c r="D777" t="str">
        <x:v>Реанимация</x:v>
      </x:c>
      <x:c r="E777" t="str">
        <x:v>ПРОДАЖИ: Отвалы</x:v>
      </x:c>
      <x:c r="F777" t="str">
        <x:v>Даниил Касаткин</x:v>
      </x:c>
      <x:c r="G777" t="str">
        <x:v>нет</x:v>
      </x:c>
      <x:c r="H777" t="str">
        <x:v>нет</x:v>
      </x:c>
    </x:row>
    <x:row r="778">
      <x:c r="A778" t="str">
        <x:v>4708</x:v>
      </x:c>
      <x:c r="B778" t="str">
        <x:v>medical-star24.ru</x:v>
      </x:c>
      <x:c r="C778" t="e">
        <x:f>HYPERLINK("https://belberrycrm.bitrix24.ru/crm/deal/details/4708/","https://belberrycrm.bitrix24.ru/crm/deal/details/4708/")</x:f>
      </x:c>
      <x:c r="D778" t="str">
        <x:v>Реанимация</x:v>
      </x:c>
      <x:c r="E778" t="str">
        <x:v>ПРОДАЖИ: Отвалы</x:v>
      </x:c>
      <x:c r="F778" t="str">
        <x:v>Камиль Булатов</x:v>
      </x:c>
      <x:c r="G778" t="str">
        <x:v>нет</x:v>
      </x:c>
      <x:c r="H778" t="str">
        <x:v>нет</x:v>
      </x:c>
    </x:row>
    <x:row r="779">
      <x:c r="A779" t="str">
        <x:v>4710</x:v>
      </x:c>
      <x:c r="B779" t="str">
        <x:v>doc-ver.ru</x:v>
      </x:c>
      <x:c r="C779" t="e">
        <x:f>HYPERLINK("https://belberrycrm.bitrix24.ru/crm/deal/details/4710/","https://belberrycrm.bitrix24.ru/crm/deal/details/4710/")</x:f>
      </x:c>
      <x:c r="D779" t="str">
        <x:v>Реанимация</x:v>
      </x:c>
      <x:c r="E779" t="str">
        <x:v>ПРОДАЖИ: Не сейчас</x:v>
      </x:c>
      <x:c r="F779" t="str">
        <x:v>Камиль Булатов</x:v>
      </x:c>
      <x:c r="G779" t="str">
        <x:v>да</x:v>
      </x:c>
      <x:c r="H779" t="str">
        <x:v>нет</x:v>
      </x:c>
    </x:row>
    <x:row r="780">
      <x:c r="A780" t="str">
        <x:v>4712</x:v>
      </x:c>
      <x:c r="B780" t="str">
        <x:v>cmd-lubertsy.ru</x:v>
      </x:c>
      <x:c r="C780" t="e">
        <x:f>HYPERLINK("https://belberrycrm.bitrix24.ru/crm/deal/details/4712/","https://belberrycrm.bitrix24.ru/crm/deal/details/4712/")</x:f>
      </x:c>
      <x:c r="D780" t="str">
        <x:v>Реанимация</x:v>
      </x:c>
      <x:c r="E780" t="str">
        <x:v>ПРОДАЖИ: Не сейчас</x:v>
      </x:c>
      <x:c r="F780" t="str">
        <x:v>Иван Халин</x:v>
      </x:c>
      <x:c r="G780" t="str">
        <x:v>нет</x:v>
      </x:c>
      <x:c r="H780" t="str">
        <x:v>нет</x:v>
      </x:c>
    </x:row>
    <x:row r="781">
      <x:c r="A781" t="str">
        <x:v>4714</x:v>
      </x:c>
      <x:c r="B781" t="str">
        <x:v>miklinika.ru</x:v>
      </x:c>
      <x:c r="C781" t="e">
        <x:f>HYPERLINK("https://belberrycrm.bitrix24.ru/crm/deal/details/4714/","https://belberrycrm.bitrix24.ru/crm/deal/details/4714/")</x:f>
      </x:c>
      <x:c r="D781" t="str">
        <x:v>Реанимация</x:v>
      </x:c>
      <x:c r="E781" t="str">
        <x:v>ПРОДАЖИ: Не сейчас</x:v>
      </x:c>
      <x:c r="F781" t="str">
        <x:v>Камиль Булатов</x:v>
      </x:c>
      <x:c r="G781" t="str">
        <x:v>нет</x:v>
      </x:c>
      <x:c r="H781" t="str">
        <x:v>нет</x:v>
      </x:c>
    </x:row>
    <x:row r="782">
      <x:c r="A782" t="str">
        <x:v>4718</x:v>
      </x:c>
      <x:c r="B782" t="str">
        <x:v>ecootel76.ru</x:v>
      </x:c>
      <x:c r="C782" t="e">
        <x:f>HYPERLINK("https://belberrycrm.bitrix24.ru/crm/deal/details/4718/","https://belberrycrm.bitrix24.ru/crm/deal/details/4718/")</x:f>
      </x:c>
      <x:c r="D782" t="str">
        <x:v>Реанимация</x:v>
      </x:c>
      <x:c r="E782" t="str">
        <x:v>ПРОДАЖИ: Отвалы</x:v>
      </x:c>
      <x:c r="F782" t="str">
        <x:v>Даниил Касаткин</x:v>
      </x:c>
      <x:c r="G782" t="str">
        <x:v>да</x:v>
      </x:c>
      <x:c r="H782" t="str">
        <x:v>нет</x:v>
      </x:c>
    </x:row>
    <x:row r="783">
      <x:c r="A783" t="str">
        <x:v>4722</x:v>
      </x:c>
      <x:c r="B783" t="str">
        <x:v>voscopran.ru</x:v>
      </x:c>
      <x:c r="C783" t="e">
        <x:f>HYPERLINK("https://belberrycrm.bitrix24.ru/crm/deal/details/4722/","https://belberrycrm.bitrix24.ru/crm/deal/details/4722/")</x:f>
      </x:c>
      <x:c r="D783" t="str">
        <x:v>Реанимация</x:v>
      </x:c>
      <x:c r="E783" t="str">
        <x:v>ПРОДАЖИ: Не сейчас</x:v>
      </x:c>
      <x:c r="F783" t="str">
        <x:v>Камиль Булатов</x:v>
      </x:c>
      <x:c r="G783" t="str">
        <x:v>нет</x:v>
      </x:c>
      <x:c r="H783" t="str">
        <x:v>нет</x:v>
      </x:c>
    </x:row>
    <x:row r="784">
      <x:c r="A784" t="str">
        <x:v>4728</x:v>
      </x:c>
      <x:c r="B784" t="str">
        <x:v>Gps-mio.Ru</x:v>
      </x:c>
      <x:c r="C784" t="e">
        <x:f>HYPERLINK("https://belberrycrm.bitrix24.ru/crm/deal/details/4728/","https://belberrycrm.bitrix24.ru/crm/deal/details/4728/")</x:f>
      </x:c>
      <x:c r="D784" t="str">
        <x:v>Реанимация</x:v>
      </x:c>
      <x:c r="E784" t="str">
        <x:v>ПРОДАЖИ: Отвалы</x:v>
      </x:c>
      <x:c r="F784" t="str">
        <x:v>Даниил Касаткин</x:v>
      </x:c>
      <x:c r="G784" t="str">
        <x:v>нет</x:v>
      </x:c>
      <x:c r="H784" t="str">
        <x:v>нет</x:v>
      </x:c>
    </x:row>
    <x:row r="785">
      <x:c r="A785" t="str">
        <x:v>4730</x:v>
      </x:c>
      <x:c r="B785" t="str">
        <x:v>Тест (новая воронка)</x:v>
      </x:c>
      <x:c r="C785" t="e">
        <x:f>HYPERLINK("https://belberrycrm.bitrix24.ru/crm/deal/details/4730/","https://belberrycrm.bitrix24.ru/crm/deal/details/4730/")</x:f>
      </x:c>
      <x:c r="D785" t="str">
        <x:v>Реанимация</x:v>
      </x:c>
      <x:c r="E785" t="str">
        <x:v>АРХИВ Общая</x:v>
      </x:c>
      <x:c r="F785" t="str">
        <x:v>Екатерина Апушкина</x:v>
      </x:c>
      <x:c r="G785" t="str">
        <x:v>нет</x:v>
      </x:c>
      <x:c r="H785" t="str">
        <x:v>нет</x:v>
      </x:c>
    </x:row>
    <x:row r="786">
      <x:c r="A786" t="str">
        <x:v>4732</x:v>
      </x:c>
      <x:c r="B786" t="str">
        <x:v>themossishop.ru</x:v>
      </x:c>
      <x:c r="C786" t="e">
        <x:f>HYPERLINK("https://belberrycrm.bitrix24.ru/crm/deal/details/4732/","https://belberrycrm.bitrix24.ru/crm/deal/details/4732/")</x:f>
      </x:c>
      <x:c r="D786" t="str">
        <x:v>Реанимация</x:v>
      </x:c>
      <x:c r="E786" t="str">
        <x:v>ПРОДАЖИ: Отвалы</x:v>
      </x:c>
      <x:c r="F786" t="str">
        <x:v>Владислав Ткачук</x:v>
      </x:c>
      <x:c r="G786" t="str">
        <x:v>нет</x:v>
      </x:c>
      <x:c r="H786" t="str">
        <x:v>нет</x:v>
      </x:c>
    </x:row>
    <x:row r="787">
      <x:c r="A787" t="str">
        <x:v>4734</x:v>
      </x:c>
      <x:c r="B787" t="str">
        <x:v>Студия дизайна Ольги Антроповой</x:v>
      </x:c>
      <x:c r="C787" t="e">
        <x:f>HYPERLINK("https://belberrycrm.bitrix24.ru/crm/deal/details/4734/","https://belberrycrm.bitrix24.ru/crm/deal/details/4734/")</x:f>
      </x:c>
      <x:c r="D787" t="str">
        <x:v>Реанимация</x:v>
      </x:c>
      <x:c r="E787" t="str">
        <x:v>ПРОДАЖИ: Отвалы</x:v>
      </x:c>
      <x:c r="F787" t="str">
        <x:v>Даниил Касаткин</x:v>
      </x:c>
      <x:c r="G787" t="str">
        <x:v>нет</x:v>
      </x:c>
      <x:c r="H787" t="str">
        <x:v>нет</x:v>
      </x:c>
    </x:row>
    <x:row r="788">
      <x:c r="A788" t="str">
        <x:v>4742</x:v>
      </x:c>
      <x:c r="B788" t="str">
        <x:v>mrdentik.ru</x:v>
      </x:c>
      <x:c r="C788" t="e">
        <x:f>HYPERLINK("https://belberrycrm.bitrix24.ru/crm/deal/details/4742/","https://belberrycrm.bitrix24.ru/crm/deal/details/4742/")</x:f>
      </x:c>
      <x:c r="D788" t="str">
        <x:v>Реанимация</x:v>
      </x:c>
      <x:c r="E788" t="str">
        <x:v>ПРОДАЖИ: Отвалы</x:v>
      </x:c>
      <x:c r="F788" t="str">
        <x:v>Камиль Булатов</x:v>
      </x:c>
      <x:c r="G788" t="str">
        <x:v>нет</x:v>
      </x:c>
      <x:c r="H788" t="str">
        <x:v>нет</x:v>
      </x:c>
    </x:row>
    <x:row r="789">
      <x:c r="A789" t="str">
        <x:v>4744</x:v>
      </x:c>
      <x:c r="B789" t="str">
        <x:v>Bela Cristal</x:v>
      </x:c>
      <x:c r="C789" t="e">
        <x:f>HYPERLINK("https://belberrycrm.bitrix24.ru/crm/deal/details/4744/","https://belberrycrm.bitrix24.ru/crm/deal/details/4744/")</x:f>
      </x:c>
      <x:c r="D789" t="str">
        <x:v>Реанимация</x:v>
      </x:c>
      <x:c r="E789" t="str">
        <x:v>ПРОДАЖИ: Отвалы</x:v>
      </x:c>
      <x:c r="F789" t="str">
        <x:v>Даниил Касаткин</x:v>
      </x:c>
      <x:c r="G789" t="str">
        <x:v>нет</x:v>
      </x:c>
      <x:c r="H789" t="str">
        <x:v>нет</x:v>
      </x:c>
    </x:row>
    <x:row r="790">
      <x:c r="A790" t="str">
        <x:v>4746</x:v>
      </x:c>
      <x:c r="B790" t="str">
        <x:v>Лелейтнер Аделия (продвижение личного бренда её отца)</x:v>
      </x:c>
      <x:c r="C790" t="e">
        <x:f>HYPERLINK("https://belberrycrm.bitrix24.ru/crm/deal/details/4746/","https://belberrycrm.bitrix24.ru/crm/deal/details/4746/")</x:f>
      </x:c>
      <x:c r="D790" t="str">
        <x:v>Реанимация</x:v>
      </x:c>
      <x:c r="E790" t="str">
        <x:v>ПРОДАЖИ: Отвалы</x:v>
      </x:c>
      <x:c r="F790" t="str">
        <x:v>Даниил Касаткин</x:v>
      </x:c>
      <x:c r="G790" t="str">
        <x:v>нет</x:v>
      </x:c>
      <x:c r="H790" t="str">
        <x:v>нет</x:v>
      </x:c>
    </x:row>
    <x:row r="791">
      <x:c r="A791" t="str">
        <x:v>4750</x:v>
      </x:c>
      <x:c r="B791" t="str">
        <x:v>facebank.store</x:v>
      </x:c>
      <x:c r="C791" t="e">
        <x:f>HYPERLINK("https://belberrycrm.bitrix24.ru/crm/deal/details/4750/","https://belberrycrm.bitrix24.ru/crm/deal/details/4750/")</x:f>
      </x:c>
      <x:c r="D791" t="str">
        <x:v>Реанимация</x:v>
      </x:c>
      <x:c r="E791" t="str">
        <x:v>ПРОДАЖИ: Отвалы</x:v>
      </x:c>
      <x:c r="F791" t="str">
        <x:v>Даниил Касаткин</x:v>
      </x:c>
      <x:c r="G791" t="str">
        <x:v>нет</x:v>
      </x:c>
      <x:c r="H791" t="str">
        <x:v>нет</x:v>
      </x:c>
    </x:row>
    <x:row r="792">
      <x:c r="A792" t="str">
        <x:v>4760</x:v>
      </x:c>
      <x:c r="B792" t="str">
        <x:v>Цветы Уфа</x:v>
      </x:c>
      <x:c r="C792" t="e">
        <x:f>HYPERLINK("https://belberrycrm.bitrix24.ru/crm/deal/details/4760/","https://belberrycrm.bitrix24.ru/crm/deal/details/4760/")</x:f>
      </x:c>
      <x:c r="D792" t="str">
        <x:v>Реанимация</x:v>
      </x:c>
      <x:c r="E792" t="str">
        <x:v>ПРОДАЖИ: Отвалы</x:v>
      </x:c>
      <x:c r="F792" t="str">
        <x:v>Даниил Касаткин</x:v>
      </x:c>
      <x:c r="G792" t="str">
        <x:v>нет</x:v>
      </x:c>
      <x:c r="H792" t="str">
        <x:v>нет</x:v>
      </x:c>
    </x:row>
    <x:row r="793">
      <x:c r="A793" t="str">
        <x:v>4766</x:v>
      </x:c>
      <x:c r="B793" t="str">
        <x:v>dr_golub.turbo.site</x:v>
      </x:c>
      <x:c r="C793" t="e">
        <x:f>HYPERLINK("https://belberrycrm.bitrix24.ru/crm/deal/details/4766/","https://belberrycrm.bitrix24.ru/crm/deal/details/4766/")</x:f>
      </x:c>
      <x:c r="D793" t="str">
        <x:v>Реанимация</x:v>
      </x:c>
      <x:c r="E793" t="str">
        <x:v>ПРОДАЖИ: Не сейчас</x:v>
      </x:c>
      <x:c r="F793" t="str">
        <x:v>Иван Халин</x:v>
      </x:c>
      <x:c r="G793" t="str">
        <x:v>нет</x:v>
      </x:c>
      <x:c r="H793" t="str">
        <x:v>нет</x:v>
      </x:c>
    </x:row>
    <x:row r="794">
      <x:c r="A794" t="str">
        <x:v>4774</x:v>
      </x:c>
      <x:c r="B794" t="str">
        <x:v>Юлия (нужно ведение аккаунта в instagram)</x:v>
      </x:c>
      <x:c r="C794" t="e">
        <x:f>HYPERLINK("https://belberrycrm.bitrix24.ru/crm/deal/details/4774/","https://belberrycrm.bitrix24.ru/crm/deal/details/4774/")</x:f>
      </x:c>
      <x:c r="D794" t="str">
        <x:v>Реанимация</x:v>
      </x:c>
      <x:c r="E794" t="str">
        <x:v>ПРОДАЖИ: Отвалы</x:v>
      </x:c>
      <x:c r="F794" t="str">
        <x:v>Иван Халин</x:v>
      </x:c>
      <x:c r="G794" t="str">
        <x:v>нет</x:v>
      </x:c>
      <x:c r="H794" t="str">
        <x:v>нет</x:v>
      </x:c>
    </x:row>
    <x:row r="795">
      <x:c r="A795" t="str">
        <x:v>4776</x:v>
      </x:c>
      <x:c r="B795" t="str">
        <x:v>smartcinema.club</x:v>
      </x:c>
      <x:c r="C795" t="e">
        <x:f>HYPERLINK("https://belberrycrm.bitrix24.ru/crm/deal/details/4776/","https://belberrycrm.bitrix24.ru/crm/deal/details/4776/")</x:f>
      </x:c>
      <x:c r="D795" t="str">
        <x:v>Реанимация</x:v>
      </x:c>
      <x:c r="E795" t="str">
        <x:v>ПРОДАЖИ: Отвалы</x:v>
      </x:c>
      <x:c r="F795" t="str">
        <x:v>Даниил Касаткин</x:v>
      </x:c>
      <x:c r="G795" t="str">
        <x:v>нет</x:v>
      </x:c>
      <x:c r="H795" t="str">
        <x:v>нет</x:v>
      </x:c>
    </x:row>
    <x:row r="796">
      <x:c r="A796" t="str">
        <x:v>4782</x:v>
      </x:c>
      <x:c r="B796" t="str">
        <x:v>girumed.ru</x:v>
      </x:c>
      <x:c r="C796" t="e">
        <x:f>HYPERLINK("https://belberrycrm.bitrix24.ru/crm/deal/details/4782/","https://belberrycrm.bitrix24.ru/crm/deal/details/4782/")</x:f>
      </x:c>
      <x:c r="D796" t="str">
        <x:v>Реанимация</x:v>
      </x:c>
      <x:c r="E796" t="str">
        <x:v>ПРОДАЖИ: Отвалы</x:v>
      </x:c>
      <x:c r="F796" t="str">
        <x:v>Иван Халин</x:v>
      </x:c>
      <x:c r="G796" t="str">
        <x:v>нет</x:v>
      </x:c>
      <x:c r="H796" t="str">
        <x:v>нет</x:v>
      </x:c>
    </x:row>
    <x:row r="797">
      <x:c r="A797" t="str">
        <x:v>4786</x:v>
      </x:c>
      <x:c r="B797" t="str">
        <x:v>shop.mpamed.ru</x:v>
      </x:c>
      <x:c r="C797" t="e">
        <x:f>HYPERLINK("https://belberrycrm.bitrix24.ru/crm/deal/details/4786/","https://belberrycrm.bitrix24.ru/crm/deal/details/4786/")</x:f>
      </x:c>
      <x:c r="D797" t="str">
        <x:v>Реанимация</x:v>
      </x:c>
      <x:c r="E797" t="str">
        <x:v>ПРОДАЖИ: Отвалы</x:v>
      </x:c>
      <x:c r="F797" t="str">
        <x:v>Иван Халин</x:v>
      </x:c>
      <x:c r="G797" t="str">
        <x:v>нет</x:v>
      </x:c>
      <x:c r="H797" t="str">
        <x:v>нет</x:v>
      </x:c>
    </x:row>
    <x:row r="798">
      <x:c r="A798" t="str">
        <x:v>4790</x:v>
      </x:c>
      <x:c r="B798" t="str">
        <x:v>Оксана Владиславовна Щукина (интересует продвижение личного бренда)</x:v>
      </x:c>
      <x:c r="C798" t="e">
        <x:f>HYPERLINK("https://belberrycrm.bitrix24.ru/crm/deal/details/4790/","https://belberrycrm.bitrix24.ru/crm/deal/details/4790/")</x:f>
      </x:c>
      <x:c r="D798" t="str">
        <x:v>Реанимация</x:v>
      </x:c>
      <x:c r="E798" t="str">
        <x:v>ПРОДАЖИ: Отвалы</x:v>
      </x:c>
      <x:c r="F798" t="str">
        <x:v>Иван Халин</x:v>
      </x:c>
      <x:c r="G798" t="str">
        <x:v>нет</x:v>
      </x:c>
      <x:c r="H798" t="str">
        <x:v>нет</x:v>
      </x:c>
    </x:row>
    <x:row r="799">
      <x:c r="A799" t="str">
        <x:v>4792</x:v>
      </x:c>
      <x:c r="B799" t="str">
        <x:v>vector-spb.su</x:v>
      </x:c>
      <x:c r="C799" t="e">
        <x:f>HYPERLINK("https://belberrycrm.bitrix24.ru/crm/deal/details/4792/","https://belberrycrm.bitrix24.ru/crm/deal/details/4792/")</x:f>
      </x:c>
      <x:c r="D799" t="str">
        <x:v>Реанимация</x:v>
      </x:c>
      <x:c r="E799" t="str">
        <x:v>ПРОДАЖИ: Отвалы</x:v>
      </x:c>
      <x:c r="F799" t="str">
        <x:v>Даниил Касаткин</x:v>
      </x:c>
      <x:c r="G799" t="str">
        <x:v>нет</x:v>
      </x:c>
      <x:c r="H799" t="str">
        <x:v>нет</x:v>
      </x:c>
    </x:row>
    <x:row r="800">
      <x:c r="A800" t="str">
        <x:v>4798</x:v>
      </x:c>
      <x:c r="B800" t="str">
        <x:v>essity.ru</x:v>
      </x:c>
      <x:c r="C800" t="e">
        <x:f>HYPERLINK("https://belberrycrm.bitrix24.ru/crm/deal/details/4798/","https://belberrycrm.bitrix24.ru/crm/deal/details/4798/")</x:f>
      </x:c>
      <x:c r="D800" t="str">
        <x:v>Реанимация</x:v>
      </x:c>
      <x:c r="E800" t="str">
        <x:v>ПРОДАЖИ: Отвалы</x:v>
      </x:c>
      <x:c r="F800" t="str">
        <x:v>Иван Халин</x:v>
      </x:c>
      <x:c r="G800" t="str">
        <x:v>нет</x:v>
      </x:c>
      <x:c r="H800" t="str">
        <x:v>нет</x:v>
      </x:c>
    </x:row>
    <x:row r="801">
      <x:c r="A801" t="str">
        <x:v>4800</x:v>
      </x:c>
      <x:c r="B801" t="str">
        <x:v>Иван Вход Продажа БАДов</x:v>
      </x:c>
      <x:c r="C801" t="e">
        <x:f>HYPERLINK("https://belberrycrm.bitrix24.ru/crm/deal/details/4800/","https://belberrycrm.bitrix24.ru/crm/deal/details/4800/")</x:f>
      </x:c>
      <x:c r="D801" t="str">
        <x:v>Реанимация</x:v>
      </x:c>
      <x:c r="E801" t="str">
        <x:v>ПРОДАЖИ: Отвалы</x:v>
      </x:c>
      <x:c r="F801" t="str">
        <x:v>Даниил Касаткин</x:v>
      </x:c>
      <x:c r="G801" t="str">
        <x:v>нет</x:v>
      </x:c>
      <x:c r="H801" t="str">
        <x:v>нет</x:v>
      </x:c>
    </x:row>
    <x:row r="802">
      <x:c r="A802" t="str">
        <x:v>4804</x:v>
      </x:c>
      <x:c r="B802" t="str">
        <x:v>Иддин (стартап по производству оборудования для косметологий)</x:v>
      </x:c>
      <x:c r="C802" t="e">
        <x:f>HYPERLINK("https://belberrycrm.bitrix24.ru/crm/deal/details/4804/","https://belberrycrm.bitrix24.ru/crm/deal/details/4804/")</x:f>
      </x:c>
      <x:c r="D802" t="str">
        <x:v>Реанимация</x:v>
      </x:c>
      <x:c r="E802" t="str">
        <x:v>ПРОДАЖИ: Отвалы</x:v>
      </x:c>
      <x:c r="F802" t="str">
        <x:v>Владислав Ткачук</x:v>
      </x:c>
      <x:c r="G802" t="str">
        <x:v>нет</x:v>
      </x:c>
      <x:c r="H802" t="str">
        <x:v>нет</x:v>
      </x:c>
    </x:row>
    <x:row r="803">
      <x:c r="A803" t="str">
        <x:v>4806</x:v>
      </x:c>
      <x:c r="B803" t="str">
        <x:v>Стая Люпина</x:v>
      </x:c>
      <x:c r="C803" t="e">
        <x:f>HYPERLINK("https://belberrycrm.bitrix24.ru/crm/deal/details/4806/","https://belberrycrm.bitrix24.ru/crm/deal/details/4806/")</x:f>
      </x:c>
      <x:c r="D803" t="str">
        <x:v>Реанимация</x:v>
      </x:c>
      <x:c r="E803" t="str">
        <x:v>ПРОДАЖИ: Отвалы</x:v>
      </x:c>
      <x:c r="F803" t="str">
        <x:v>Даниил Касаткин</x:v>
      </x:c>
      <x:c r="G803" t="str">
        <x:v>да</x:v>
      </x:c>
      <x:c r="H803" t="str">
        <x:v>нет</x:v>
      </x:c>
    </x:row>
    <x:row r="804">
      <x:c r="A804" t="str">
        <x:v>4810</x:v>
      </x:c>
      <x:c r="B804" t="str">
        <x:v>osstem.ru</x:v>
      </x:c>
      <x:c r="C804" t="e">
        <x:f>HYPERLINK("https://belberrycrm.bitrix24.ru/crm/deal/details/4810/","https://belberrycrm.bitrix24.ru/crm/deal/details/4810/")</x:f>
      </x:c>
      <x:c r="D804" t="str">
        <x:v>Реанимация</x:v>
      </x:c>
      <x:c r="E804" t="str">
        <x:v>ПРОДАЖИ: Отвалы</x:v>
      </x:c>
      <x:c r="F804" t="str">
        <x:v>Петр Дудин</x:v>
      </x:c>
      <x:c r="G804" t="str">
        <x:v>нет</x:v>
      </x:c>
      <x:c r="H804" t="str">
        <x:v>нет</x:v>
      </x:c>
    </x:row>
    <x:row r="805">
      <x:c r="A805" t="str">
        <x:v>4812</x:v>
      </x:c>
      <x:c r="B805" t="str">
        <x:v>cmdkaluga.ru</x:v>
      </x:c>
      <x:c r="C805" t="e">
        <x:f>HYPERLINK("https://belberrycrm.bitrix24.ru/crm/deal/details/4812/","https://belberrycrm.bitrix24.ru/crm/deal/details/4812/")</x:f>
      </x:c>
      <x:c r="D805" t="str">
        <x:v>Реанимация</x:v>
      </x:c>
      <x:c r="E805" t="str">
        <x:v>ПРОДАЖИ: Отвалы</x:v>
      </x:c>
      <x:c r="F805" t="str">
        <x:v>Камиль Булатов</x:v>
      </x:c>
      <x:c r="G805" t="str">
        <x:v>нет</x:v>
      </x:c>
      <x:c r="H805" t="str">
        <x:v>нет</x:v>
      </x:c>
    </x:row>
    <x:row r="806">
      <x:c r="A806" t="str">
        <x:v>4814</x:v>
      </x:c>
      <x:c r="B806" t="str">
        <x:v>Елена (врач гастроэнтеролог)</x:v>
      </x:c>
      <x:c r="C806" t="e">
        <x:f>HYPERLINK("https://belberrycrm.bitrix24.ru/crm/deal/details/4814/","https://belberrycrm.bitrix24.ru/crm/deal/details/4814/")</x:f>
      </x:c>
      <x:c r="D806" t="str">
        <x:v>Реанимация</x:v>
      </x:c>
      <x:c r="E806" t="str">
        <x:v>ПРОДАЖИ: Отвалы</x:v>
      </x:c>
      <x:c r="F806" t="str">
        <x:v>Иван Халин</x:v>
      </x:c>
      <x:c r="G806" t="str">
        <x:v>нет</x:v>
      </x:c>
      <x:c r="H806" t="str">
        <x:v>нет</x:v>
      </x:c>
    </x:row>
    <x:row r="807">
      <x:c r="A807" t="str">
        <x:v>4822</x:v>
      </x:c>
      <x:c r="B807" t="str">
        <x:v>dr-frontal.ru</x:v>
      </x:c>
      <x:c r="C807" t="e">
        <x:f>HYPERLINK("https://belberrycrm.bitrix24.ru/crm/deal/details/4822/","https://belberrycrm.bitrix24.ru/crm/deal/details/4822/")</x:f>
      </x:c>
      <x:c r="D807" t="str">
        <x:v>Реанимация</x:v>
      </x:c>
      <x:c r="E807" t="str">
        <x:v>ПРОДАЖИ: Не сейчас</x:v>
      </x:c>
      <x:c r="F807" t="str">
        <x:v>Камиль Булатов</x:v>
      </x:c>
      <x:c r="G807" t="str">
        <x:v>нет</x:v>
      </x:c>
      <x:c r="H807" t="str">
        <x:v>нет</x:v>
      </x:c>
    </x:row>
    <x:row r="808">
      <x:c r="A808" t="str">
        <x:v>4824</x:v>
      </x:c>
      <x:c r="B808" t="str">
        <x:v>Армен недвижимость сайт</x:v>
      </x:c>
      <x:c r="C808" t="e">
        <x:f>HYPERLINK("https://belberrycrm.bitrix24.ru/crm/deal/details/4824/","https://belberrycrm.bitrix24.ru/crm/deal/details/4824/")</x:f>
      </x:c>
      <x:c r="D808" t="str">
        <x:v>Реанимация</x:v>
      </x:c>
      <x:c r="E808" t="str">
        <x:v>База для реанимации</x:v>
      </x:c>
      <x:c r="F808" t="str">
        <x:v>Анна Гудинова</x:v>
      </x:c>
      <x:c r="G808" t="str">
        <x:v>да</x:v>
      </x:c>
      <x:c r="H808" t="str">
        <x:v>нет</x:v>
      </x:c>
    </x:row>
    <x:row r="809">
      <x:c r="A809" t="str">
        <x:v>4830</x:v>
      </x:c>
      <x:c r="B809" t="str">
        <x:v>weonefamily.ru</x:v>
      </x:c>
      <x:c r="C809" t="e">
        <x:f>HYPERLINK("https://belberrycrm.bitrix24.ru/crm/deal/details/4830/","https://belberrycrm.bitrix24.ru/crm/deal/details/4830/")</x:f>
      </x:c>
      <x:c r="D809" t="str">
        <x:v>Реанимация</x:v>
      </x:c>
      <x:c r="E809" t="str">
        <x:v>ПРОДАЖИ: Отвалы</x:v>
      </x:c>
      <x:c r="F809" t="str">
        <x:v>Даниил Касаткин</x:v>
      </x:c>
      <x:c r="G809" t="str">
        <x:v>да</x:v>
      </x:c>
      <x:c r="H809" t="str">
        <x:v>нет</x:v>
      </x:c>
    </x:row>
    <x:row r="810">
      <x:c r="A810" t="str">
        <x:v>4836</x:v>
      </x:c>
      <x:c r="B810" t="str">
        <x:v>Биоинмед</x:v>
      </x:c>
      <x:c r="C810" t="e">
        <x:f>HYPERLINK("https://belberrycrm.bitrix24.ru/crm/deal/details/4836/","https://belberrycrm.bitrix24.ru/crm/deal/details/4836/")</x:f>
      </x:c>
      <x:c r="D810" t="str">
        <x:v>Реанимация</x:v>
      </x:c>
      <x:c r="E810" t="str">
        <x:v>ПРОДАЖИ: Отвалы</x:v>
      </x:c>
      <x:c r="F810" t="str">
        <x:v>Иван Халин</x:v>
      </x:c>
      <x:c r="G810" t="str">
        <x:v>нет</x:v>
      </x:c>
      <x:c r="H810" t="str">
        <x:v>нет</x:v>
      </x:c>
    </x:row>
    <x:row r="811">
      <x:c r="A811" t="str">
        <x:v>4838</x:v>
      </x:c>
      <x:c r="B811" t="str">
        <x:v>gp107.mos.ru</x:v>
      </x:c>
      <x:c r="C811" t="e">
        <x:f>HYPERLINK("https://belberrycrm.bitrix24.ru/crm/deal/details/4838/","https://belberrycrm.bitrix24.ru/crm/deal/details/4838/")</x:f>
      </x:c>
      <x:c r="D811" t="str">
        <x:v>Реанимация</x:v>
      </x:c>
      <x:c r="E811" t="str">
        <x:v>ПРОДАЖИ: Отвалы</x:v>
      </x:c>
      <x:c r="F811" t="str">
        <x:v>Иван Халин</x:v>
      </x:c>
      <x:c r="G811" t="str">
        <x:v>да</x:v>
      </x:c>
      <x:c r="H811" t="str">
        <x:v>нет</x:v>
      </x:c>
    </x:row>
    <x:row r="812">
      <x:c r="A812" t="str">
        <x:v>4842</x:v>
      </x:c>
      <x:c r="B812" t="str">
        <x:v>beclinics.ru</x:v>
      </x:c>
      <x:c r="C812" t="e">
        <x:f>HYPERLINK("https://belberrycrm.bitrix24.ru/crm/deal/details/4842/","https://belberrycrm.bitrix24.ru/crm/deal/details/4842/")</x:f>
      </x:c>
      <x:c r="D812" t="str">
        <x:v>Реанимация</x:v>
      </x:c>
      <x:c r="E812" t="str">
        <x:v>ПРОДАЖИ: Отвалы</x:v>
      </x:c>
      <x:c r="F812" t="str">
        <x:v>Даниил Касаткин</x:v>
      </x:c>
      <x:c r="G812" t="str">
        <x:v>нет</x:v>
      </x:c>
      <x:c r="H812" t="str">
        <x:v>нет</x:v>
      </x:c>
    </x:row>
    <x:row r="813">
      <x:c r="A813" t="str">
        <x:v>4846</x:v>
      </x:c>
      <x:c r="B813" t="str">
        <x:v>discount-ceramica.ru</x:v>
      </x:c>
      <x:c r="C813" t="e">
        <x:f>HYPERLINK("https://belberrycrm.bitrix24.ru/crm/deal/details/4846/","https://belberrycrm.bitrix24.ru/crm/deal/details/4846/")</x:f>
      </x:c>
      <x:c r="D813" t="str">
        <x:v>Реанимация</x:v>
      </x:c>
      <x:c r="E813" t="str">
        <x:v>ПРОДАЖИ: Отвалы</x:v>
      </x:c>
      <x:c r="F813" t="str">
        <x:v>Даниил Касаткин</x:v>
      </x:c>
      <x:c r="G813" t="str">
        <x:v>нет</x:v>
      </x:c>
      <x:c r="H813" t="str">
        <x:v>нет</x:v>
      </x:c>
    </x:row>
    <x:row r="814">
      <x:c r="A814" t="str">
        <x:v>4848</x:v>
      </x:c>
      <x:c r="B814" t="str">
        <x:v>premiera812.ru</x:v>
      </x:c>
      <x:c r="C814" t="e">
        <x:f>HYPERLINK("https://belberrycrm.bitrix24.ru/crm/deal/details/4848/","https://belberrycrm.bitrix24.ru/crm/deal/details/4848/")</x:f>
      </x:c>
      <x:c r="D814" t="str">
        <x:v>Реанимация</x:v>
      </x:c>
      <x:c r="E814" t="str">
        <x:v>ПРОДАЖИ: Отвалы</x:v>
      </x:c>
      <x:c r="F814" t="str">
        <x:v>Иван Халин</x:v>
      </x:c>
      <x:c r="G814" t="str">
        <x:v>нет</x:v>
      </x:c>
      <x:c r="H814" t="str">
        <x:v>нет</x:v>
      </x:c>
    </x:row>
    <x:row r="815">
      <x:c r="A815" t="str">
        <x:v>4862</x:v>
      </x:c>
      <x:c r="B815" t="str">
        <x:v>cmdshelepiha.ru</x:v>
      </x:c>
      <x:c r="C815" t="e">
        <x:f>HYPERLINK("https://belberrycrm.bitrix24.ru/crm/deal/details/4862/","https://belberrycrm.bitrix24.ru/crm/deal/details/4862/")</x:f>
      </x:c>
      <x:c r="D815" t="str">
        <x:v>Реанимация</x:v>
      </x:c>
      <x:c r="E815" t="str">
        <x:v>ПРОДАЖИ: Не сейчас</x:v>
      </x:c>
      <x:c r="F815" t="str">
        <x:v>Камиль Булатов</x:v>
      </x:c>
      <x:c r="G815" t="str">
        <x:v>нет</x:v>
      </x:c>
      <x:c r="H815" t="str">
        <x:v>нет</x:v>
      </x:c>
    </x:row>
    <x:row r="816">
      <x:c r="A816" t="str">
        <x:v>4870</x:v>
      </x:c>
      <x:c r="B816" t="str">
        <x:v>vetdok.com</x:v>
      </x:c>
      <x:c r="C816" t="e">
        <x:f>HYPERLINK("https://belberrycrm.bitrix24.ru/crm/deal/details/4870/","https://belberrycrm.bitrix24.ru/crm/deal/details/4870/")</x:f>
      </x:c>
      <x:c r="D816" t="str">
        <x:v>Реанимация</x:v>
      </x:c>
      <x:c r="E816" t="str">
        <x:v>ПРОДАЖИ: Отвалы</x:v>
      </x:c>
      <x:c r="F816" t="str">
        <x:v>Камиль Булатов</x:v>
      </x:c>
      <x:c r="G816" t="str">
        <x:v>нет</x:v>
      </x:c>
      <x:c r="H816" t="str">
        <x:v>нет</x:v>
      </x:c>
    </x:row>
    <x:row r="817">
      <x:c r="A817" t="str">
        <x:v>4872</x:v>
      </x:c>
      <x:c r="B817" t="str">
        <x:v>siuhov.ru</x:v>
      </x:c>
      <x:c r="C817" t="e">
        <x:f>HYPERLINK("https://belberrycrm.bitrix24.ru/crm/deal/details/4872/","https://belberrycrm.bitrix24.ru/crm/deal/details/4872/")</x:f>
      </x:c>
      <x:c r="D817" t="str">
        <x:v>Реанимация</x:v>
      </x:c>
      <x:c r="E817" t="str">
        <x:v>ПРОДАЖИ: Отвалы</x:v>
      </x:c>
      <x:c r="F817" t="str">
        <x:v>Иван Халин</x:v>
      </x:c>
      <x:c r="G817" t="str">
        <x:v>нет</x:v>
      </x:c>
      <x:c r="H817" t="str">
        <x:v>нет</x:v>
      </x:c>
    </x:row>
    <x:row r="818">
      <x:c r="A818" t="str">
        <x:v>4876</x:v>
      </x:c>
      <x:c r="B818" t="str">
        <x:v>m-fur.ru</x:v>
      </x:c>
      <x:c r="C818" t="e">
        <x:f>HYPERLINK("https://belberrycrm.bitrix24.ru/crm/deal/details/4876/","https://belberrycrm.bitrix24.ru/crm/deal/details/4876/")</x:f>
      </x:c>
      <x:c r="D818" t="str">
        <x:v>Реанимация</x:v>
      </x:c>
      <x:c r="E818" t="str">
        <x:v>ПРОДАЖИ: Отвалы</x:v>
      </x:c>
      <x:c r="F818" t="str">
        <x:v>Владислав Ткачук</x:v>
      </x:c>
      <x:c r="G818" t="str">
        <x:v>нет</x:v>
      </x:c>
      <x:c r="H818" t="str">
        <x:v>нет</x:v>
      </x:c>
    </x:row>
    <x:row r="819">
      <x:c r="A819" t="str">
        <x:v>4878</x:v>
      </x:c>
      <x:c r="B819" t="str">
        <x:v>Навалу</x:v>
      </x:c>
      <x:c r="C819" t="e">
        <x:f>HYPERLINK("https://belberrycrm.bitrix24.ru/crm/deal/details/4878/","https://belberrycrm.bitrix24.ru/crm/deal/details/4878/")</x:f>
      </x:c>
      <x:c r="D819" t="str">
        <x:v>Реанимация</x:v>
      </x:c>
      <x:c r="E819" t="str">
        <x:v>ПРОДАЖИ: Отвалы</x:v>
      </x:c>
      <x:c r="F819" t="str">
        <x:v>Даниил Касаткин</x:v>
      </x:c>
      <x:c r="G819" t="str">
        <x:v>нет</x:v>
      </x:c>
      <x:c r="H819" t="str">
        <x:v>нет</x:v>
      </x:c>
    </x:row>
    <x:row r="820">
      <x:c r="A820" t="str">
        <x:v>4880</x:v>
      </x:c>
      <x:c r="B820" t="str">
        <x:v>animatorbest.ru</x:v>
      </x:c>
      <x:c r="C820" t="e">
        <x:f>HYPERLINK("https://belberrycrm.bitrix24.ru/crm/deal/details/4880/","https://belberrycrm.bitrix24.ru/crm/deal/details/4880/")</x:f>
      </x:c>
      <x:c r="D820" t="str">
        <x:v>Реанимация</x:v>
      </x:c>
      <x:c r="E820" t="str">
        <x:v>ПРОДАЖИ: Отвалы</x:v>
      </x:c>
      <x:c r="F820" t="str">
        <x:v>Даниил Касаткин</x:v>
      </x:c>
      <x:c r="G820" t="str">
        <x:v>да</x:v>
      </x:c>
      <x:c r="H820" t="str">
        <x:v>нет</x:v>
      </x:c>
    </x:row>
    <x:row r="821">
      <x:c r="A821" t="str">
        <x:v>4884</x:v>
      </x:c>
      <x:c r="B821" t="str">
        <x:v>masterdent-nv.ru</x:v>
      </x:c>
      <x:c r="C821" t="e">
        <x:f>HYPERLINK("https://belberrycrm.bitrix24.ru/crm/deal/details/4884/","https://belberrycrm.bitrix24.ru/crm/deal/details/4884/")</x:f>
      </x:c>
      <x:c r="D821" t="str">
        <x:v>Реанимация</x:v>
      </x:c>
      <x:c r="E821" t="str">
        <x:v>ПРОДАЖИ: Отвалы</x:v>
      </x:c>
      <x:c r="F821" t="str">
        <x:v>Камиль Булатов</x:v>
      </x:c>
      <x:c r="G821" t="str">
        <x:v>нет</x:v>
      </x:c>
      <x:c r="H821" t="str">
        <x:v>нет</x:v>
      </x:c>
    </x:row>
    <x:row r="822">
      <x:c r="A822" t="str">
        <x:v>4886</x:v>
      </x:c>
      <x:c r="B822" t="str">
        <x:v>stomatologiya-moskva.ru</x:v>
      </x:c>
      <x:c r="C822" t="e">
        <x:f>HYPERLINK("https://belberrycrm.bitrix24.ru/crm/deal/details/4886/","https://belberrycrm.bitrix24.ru/crm/deal/details/4886/")</x:f>
      </x:c>
      <x:c r="D822" t="str">
        <x:v>Реанимация</x:v>
      </x:c>
      <x:c r="E822" t="str">
        <x:v>ПРОДАЖИ: Отвалы</x:v>
      </x:c>
      <x:c r="F822" t="str">
        <x:v>Камиль Булатов</x:v>
      </x:c>
      <x:c r="G822" t="str">
        <x:v>нет</x:v>
      </x:c>
      <x:c r="H822" t="str">
        <x:v>нет</x:v>
      </x:c>
    </x:row>
    <x:row r="823">
      <x:c r="A823" t="str">
        <x:v>4888</x:v>
      </x:c>
      <x:c r="B823" t="str">
        <x:v>labprestige.com</x:v>
      </x:c>
      <x:c r="C823" t="e">
        <x:f>HYPERLINK("https://belberrycrm.bitrix24.ru/crm/deal/details/4888/","https://belberrycrm.bitrix24.ru/crm/deal/details/4888/")</x:f>
      </x:c>
      <x:c r="D823" t="str">
        <x:v>Реанимация</x:v>
      </x:c>
      <x:c r="E823" t="str">
        <x:v>ПРОДАЖИ: Отвалы</x:v>
      </x:c>
      <x:c r="F823" t="str">
        <x:v>Иван Халин</x:v>
      </x:c>
      <x:c r="G823" t="str">
        <x:v>нет</x:v>
      </x:c>
      <x:c r="H823" t="str">
        <x:v>нет</x:v>
      </x:c>
    </x:row>
    <x:row r="824">
      <x:c r="A824" t="str">
        <x:v>4892</x:v>
      </x:c>
      <x:c r="B824" t="str">
        <x:v>drsukhova.com</x:v>
      </x:c>
      <x:c r="C824" t="e">
        <x:f>HYPERLINK("https://belberrycrm.bitrix24.ru/crm/deal/details/4892/","https://belberrycrm.bitrix24.ru/crm/deal/details/4892/")</x:f>
      </x:c>
      <x:c r="D824" t="str">
        <x:v>Реанимация</x:v>
      </x:c>
      <x:c r="E824" t="str">
        <x:v>ПРОДАЖИ: Отвалы</x:v>
      </x:c>
      <x:c r="F824" t="str">
        <x:v>Иван Халин</x:v>
      </x:c>
      <x:c r="G824" t="str">
        <x:v>нет</x:v>
      </x:c>
      <x:c r="H824" t="str">
        <x:v>нет</x:v>
      </x:c>
    </x:row>
    <x:row r="825">
      <x:c r="A825" t="str">
        <x:v>4894</x:v>
      </x:c>
      <x:c r="B825" t="str">
        <x:v>mcclinic.ru</x:v>
      </x:c>
      <x:c r="C825" t="e">
        <x:f>HYPERLINK("https://belberrycrm.bitrix24.ru/crm/deal/details/4894/","https://belberrycrm.bitrix24.ru/crm/deal/details/4894/")</x:f>
      </x:c>
      <x:c r="D825" t="str">
        <x:v>Реанимация</x:v>
      </x:c>
      <x:c r="E825" t="str">
        <x:v>ПРОДАЖИ: Отвалы</x:v>
      </x:c>
      <x:c r="F825" t="str">
        <x:v>Камиль Булатов</x:v>
      </x:c>
      <x:c r="G825" t="str">
        <x:v>нет</x:v>
      </x:c>
      <x:c r="H825" t="str">
        <x:v>нет</x:v>
      </x:c>
    </x:row>
    <x:row r="826">
      <x:c r="A826" t="str">
        <x:v>4898</x:v>
      </x:c>
      <x:c r="B826" t="str">
        <x:v>Татьяна (Интересует информация, по созданию сайта стоматологической клиники)</x:v>
      </x:c>
      <x:c r="C826" t="e">
        <x:f>HYPERLINK("https://belberrycrm.bitrix24.ru/crm/deal/details/4898/","https://belberrycrm.bitrix24.ru/crm/deal/details/4898/")</x:f>
      </x:c>
      <x:c r="D826" t="str">
        <x:v>Реанимация</x:v>
      </x:c>
      <x:c r="E826" t="str">
        <x:v>ПРОДАЖИ: Отвалы</x:v>
      </x:c>
      <x:c r="F826" t="str">
        <x:v>Иван Халин</x:v>
      </x:c>
      <x:c r="G826" t="str">
        <x:v>нет</x:v>
      </x:c>
      <x:c r="H826" t="str">
        <x:v>нет</x:v>
      </x:c>
    </x:row>
    <x:row r="827">
      <x:c r="A827" t="str">
        <x:v>4900</x:v>
      </x:c>
      <x:c r="B827" t="str">
        <x:v>Наталья Охременко (интересует продвижение личного бренда врача)</x:v>
      </x:c>
      <x:c r="C827" t="e">
        <x:f>HYPERLINK("https://belberrycrm.bitrix24.ru/crm/deal/details/4900/","https://belberrycrm.bitrix24.ru/crm/deal/details/4900/")</x:f>
      </x:c>
      <x:c r="D827" t="str">
        <x:v>Реанимация</x:v>
      </x:c>
      <x:c r="E827" t="str">
        <x:v>ПРОДАЖИ: Не сейчас</x:v>
      </x:c>
      <x:c r="F827" t="str">
        <x:v>Иван Халин</x:v>
      </x:c>
      <x:c r="G827" t="str">
        <x:v>нет</x:v>
      </x:c>
      <x:c r="H827" t="str">
        <x:v>нет</x:v>
      </x:c>
    </x:row>
    <x:row r="828">
      <x:c r="A828" t="str">
        <x:v>4906</x:v>
      </x:c>
      <x:c r="B828" t="str">
        <x:v>yourfacecosmo.ru</x:v>
      </x:c>
      <x:c r="C828" t="e">
        <x:f>HYPERLINK("https://belberrycrm.bitrix24.ru/crm/deal/details/4906/","https://belberrycrm.bitrix24.ru/crm/deal/details/4906/")</x:f>
      </x:c>
      <x:c r="D828" t="str">
        <x:v>Реанимация</x:v>
      </x:c>
      <x:c r="E828" t="str">
        <x:v>ПРОДАЖИ: Отвалы</x:v>
      </x:c>
      <x:c r="F828" t="str">
        <x:v>Иван Халин</x:v>
      </x:c>
      <x:c r="G828" t="str">
        <x:v>нет</x:v>
      </x:c>
      <x:c r="H828" t="str">
        <x:v>нет</x:v>
      </x:c>
    </x:row>
    <x:row r="829">
      <x:c r="A829" t="str">
        <x:v>4910</x:v>
      </x:c>
      <x:c r="B829" t="str">
        <x:v>aysi-farm.ru</x:v>
      </x:c>
      <x:c r="C829" t="e">
        <x:f>HYPERLINK("https://belberrycrm.bitrix24.ru/crm/deal/details/4910/","https://belberrycrm.bitrix24.ru/crm/deal/details/4910/")</x:f>
      </x:c>
      <x:c r="D829" t="str">
        <x:v>Реанимация</x:v>
      </x:c>
      <x:c r="E829" t="str">
        <x:v>ПРОДАЖИ: Отвалы</x:v>
      </x:c>
      <x:c r="F829" t="str">
        <x:v>Камиль Булатов</x:v>
      </x:c>
      <x:c r="G829" t="str">
        <x:v>нет</x:v>
      </x:c>
      <x:c r="H829" t="str">
        <x:v>нет</x:v>
      </x:c>
    </x:row>
    <x:row r="830">
      <x:c r="A830" t="str">
        <x:v>4912</x:v>
      </x:c>
      <x:c r="B830" t="str">
        <x:v>6730070.ru</x:v>
      </x:c>
      <x:c r="C830" t="e">
        <x:f>HYPERLINK("https://belberrycrm.bitrix24.ru/crm/deal/details/4912/","https://belberrycrm.bitrix24.ru/crm/deal/details/4912/")</x:f>
      </x:c>
      <x:c r="D830" t="str">
        <x:v>Реанимация</x:v>
      </x:c>
      <x:c r="E830" t="str">
        <x:v>ПРОДАЖИ: Отвалы</x:v>
      </x:c>
      <x:c r="F830" t="str">
        <x:v>Петр Дудин</x:v>
      </x:c>
      <x:c r="G830" t="str">
        <x:v>да</x:v>
      </x:c>
      <x:c r="H830" t="str">
        <x:v>нет</x:v>
      </x:c>
    </x:row>
    <x:row r="831">
      <x:c r="A831" t="str">
        <x:v>4916</x:v>
      </x:c>
      <x:c r="B831" t="str">
        <x:v>Заявка на покупку лицензии</x:v>
      </x:c>
      <x:c r="C831" t="e">
        <x:f>HYPERLINK("https://belberrycrm.bitrix24.ru/crm/deal/details/4916/","https://belberrycrm.bitrix24.ru/crm/deal/details/4916/")</x:f>
      </x:c>
      <x:c r="D831" t="str">
        <x:v>Реанимация</x:v>
      </x:c>
      <x:c r="E831" t="str">
        <x:v>АРХИВ Общая</x:v>
      </x:c>
      <x:c r="F831" t="str">
        <x:v>Екатерина Апушкина</x:v>
      </x:c>
      <x:c r="G831" t="str">
        <x:v>нет</x:v>
      </x:c>
      <x:c r="H831" t="str">
        <x:v>нет</x:v>
      </x:c>
    </x:row>
    <x:row r="832">
      <x:c r="A832" t="str">
        <x:v>4918</x:v>
      </x:c>
      <x:c r="B832" t="str">
        <x:v>Распопова Елена Петровна (интересует разработка брендбука)</x:v>
      </x:c>
      <x:c r="C832" t="e">
        <x:f>HYPERLINK("https://belberrycrm.bitrix24.ru/crm/deal/details/4918/","https://belberrycrm.bitrix24.ru/crm/deal/details/4918/")</x:f>
      </x:c>
      <x:c r="D832" t="str">
        <x:v>Реанимация</x:v>
      </x:c>
      <x:c r="E832" t="str">
        <x:v>ПРОДАЖИ: Отвалы</x:v>
      </x:c>
      <x:c r="F832" t="str">
        <x:v>Иван Халин</x:v>
      </x:c>
      <x:c r="G832" t="str">
        <x:v>нет</x:v>
      </x:c>
      <x:c r="H832" t="str">
        <x:v>нет</x:v>
      </x:c>
    </x:row>
    <x:row r="833">
      <x:c r="A833" t="str">
        <x:v>4926</x:v>
      </x:c>
      <x:c r="B833" t="str">
        <x:v>alliancemedicale.ru</x:v>
      </x:c>
      <x:c r="C833" t="e">
        <x:f>HYPERLINK("https://belberrycrm.bitrix24.ru/crm/deal/details/4926/","https://belberrycrm.bitrix24.ru/crm/deal/details/4926/")</x:f>
      </x:c>
      <x:c r="D833" t="str">
        <x:v>Реанимация</x:v>
      </x:c>
      <x:c r="E833" t="str">
        <x:v>ПРОДАЖИ: Отвалы</x:v>
      </x:c>
      <x:c r="F833" t="str">
        <x:v>Камиль Булатов</x:v>
      </x:c>
      <x:c r="G833" t="str">
        <x:v>нет</x:v>
      </x:c>
      <x:c r="H833" t="str">
        <x:v>нет</x:v>
      </x:c>
    </x:row>
    <x:row r="834">
      <x:c r="A834" t="str">
        <x:v>4928</x:v>
      </x:c>
      <x:c r="B834" t="str">
        <x:v>cmc-clinic.ru</x:v>
      </x:c>
      <x:c r="C834" t="e">
        <x:f>HYPERLINK("https://belberrycrm.bitrix24.ru/crm/deal/details/4928/","https://belberrycrm.bitrix24.ru/crm/deal/details/4928/")</x:f>
      </x:c>
      <x:c r="D834" t="str">
        <x:v>Реанимация</x:v>
      </x:c>
      <x:c r="E834" t="str">
        <x:v>ПРОДАЖИ: Не сейчас</x:v>
      </x:c>
      <x:c r="F834" t="str">
        <x:v>Иван Халин</x:v>
      </x:c>
      <x:c r="G834" t="str">
        <x:v>нет</x:v>
      </x:c>
      <x:c r="H834" t="str">
        <x:v>нет</x:v>
      </x:c>
    </x:row>
    <x:row r="835">
      <x:c r="A835" t="str">
        <x:v>4930</x:v>
      </x:c>
      <x:c r="B835" t="str">
        <x:v>Frangelik</x:v>
      </x:c>
      <x:c r="C835" t="e">
        <x:f>HYPERLINK("https://belberrycrm.bitrix24.ru/crm/deal/details/4930/","https://belberrycrm.bitrix24.ru/crm/deal/details/4930/")</x:f>
      </x:c>
      <x:c r="D835" t="str">
        <x:v>Реанимация</x:v>
      </x:c>
      <x:c r="E835" t="str">
        <x:v>ПРОДАЖИ: Отвалы</x:v>
      </x:c>
      <x:c r="F835" t="str">
        <x:v>Иван Халин</x:v>
      </x:c>
      <x:c r="G835" t="str">
        <x:v>нет</x:v>
      </x:c>
      <x:c r="H835" t="str">
        <x:v>нет</x:v>
      </x:c>
    </x:row>
    <x:row r="836">
      <x:c r="A836" t="str">
        <x:v>4932</x:v>
      </x:c>
      <x:c r="B836" t="str">
        <x:v>safia-home.ru</x:v>
      </x:c>
      <x:c r="C836" t="e">
        <x:f>HYPERLINK("https://belberrycrm.bitrix24.ru/crm/deal/details/4932/","https://belberrycrm.bitrix24.ru/crm/deal/details/4932/")</x:f>
      </x:c>
      <x:c r="D836" t="str">
        <x:v>Реанимация</x:v>
      </x:c>
      <x:c r="E836" t="str">
        <x:v>ПРОДАЖИ: Отвалы</x:v>
      </x:c>
      <x:c r="F836" t="str">
        <x:v>Иван Халин</x:v>
      </x:c>
      <x:c r="G836" t="str">
        <x:v>нет</x:v>
      </x:c>
      <x:c r="H836" t="str">
        <x:v>нет</x:v>
      </x:c>
    </x:row>
    <x:row r="837">
      <x:c r="A837" t="str">
        <x:v>4938</x:v>
      </x:c>
      <x:c r="B837" t="str">
        <x:v>daryadent.ru</x:v>
      </x:c>
      <x:c r="C837" t="e">
        <x:f>HYPERLINK("https://belberrycrm.bitrix24.ru/crm/deal/details/4938/","https://belberrycrm.bitrix24.ru/crm/deal/details/4938/")</x:f>
      </x:c>
      <x:c r="D837" t="str">
        <x:v>Реанимация</x:v>
      </x:c>
      <x:c r="E837" t="str">
        <x:v>ПРОДАЖИ: Отвалы</x:v>
      </x:c>
      <x:c r="F837" t="str">
        <x:v>Иван Халин</x:v>
      </x:c>
      <x:c r="G837" t="str">
        <x:v>нет</x:v>
      </x:c>
      <x:c r="H837" t="str">
        <x:v>нет</x:v>
      </x:c>
    </x:row>
    <x:row r="838">
      <x:c r="A838" t="str">
        <x:v>4942</x:v>
      </x:c>
      <x:c r="B838" t="str">
        <x:v>Юлия Бородкина (врач-узист)</x:v>
      </x:c>
      <x:c r="C838" t="e">
        <x:f>HYPERLINK("https://belberrycrm.bitrix24.ru/crm/deal/details/4942/","https://belberrycrm.bitrix24.ru/crm/deal/details/4942/")</x:f>
      </x:c>
      <x:c r="D838" t="str">
        <x:v>Реанимация</x:v>
      </x:c>
      <x:c r="E838" t="str">
        <x:v>ПРОДАЖИ: Отвалы</x:v>
      </x:c>
      <x:c r="F838" t="str">
        <x:v>Иван Халин</x:v>
      </x:c>
      <x:c r="G838" t="str">
        <x:v>нет</x:v>
      </x:c>
      <x:c r="H838" t="str">
        <x:v>нет</x:v>
      </x:c>
    </x:row>
    <x:row r="839">
      <x:c r="A839" t="str">
        <x:v>4944</x:v>
      </x:c>
      <x:c r="B839" t="str">
        <x:v>dzdorovie.ru</x:v>
      </x:c>
      <x:c r="C839" t="e">
        <x:f>HYPERLINK("https://belberrycrm.bitrix24.ru/crm/deal/details/4944/","https://belberrycrm.bitrix24.ru/crm/deal/details/4944/")</x:f>
      </x:c>
      <x:c r="D839" t="str">
        <x:v>Реанимация</x:v>
      </x:c>
      <x:c r="E839" t="str">
        <x:v>ПРОДАЖИ: Не сейчас</x:v>
      </x:c>
      <x:c r="F839" t="str">
        <x:v>Камиль Булатов</x:v>
      </x:c>
      <x:c r="G839" t="str">
        <x:v>нет</x:v>
      </x:c>
      <x:c r="H839" t="str">
        <x:v>нет</x:v>
      </x:c>
    </x:row>
    <x:row r="840">
      <x:c r="A840" t="str">
        <x:v>4948</x:v>
      </x:c>
      <x:c r="B840" t="str">
        <x:v>Евгений Осипов (входящая заявка на покупку нашего шаблона)</x:v>
      </x:c>
      <x:c r="C840" t="e">
        <x:f>HYPERLINK("https://belberrycrm.bitrix24.ru/crm/deal/details/4948/","https://belberrycrm.bitrix24.ru/crm/deal/details/4948/")</x:f>
      </x:c>
      <x:c r="D840" t="str">
        <x:v>Реанимация</x:v>
      </x:c>
      <x:c r="E840" t="str">
        <x:v>ПРОДАЖИ: Отвалы</x:v>
      </x:c>
      <x:c r="F840" t="str">
        <x:v>Иван Халин</x:v>
      </x:c>
      <x:c r="G840" t="str">
        <x:v>нет</x:v>
      </x:c>
      <x:c r="H840" t="str">
        <x:v>нет</x:v>
      </x:c>
    </x:row>
    <x:row r="841">
      <x:c r="A841" t="str">
        <x:v>4950</x:v>
      </x:c>
      <x:c r="B841" t="str">
        <x:v>Вера (входящая заявка)</x:v>
      </x:c>
      <x:c r="C841" t="e">
        <x:f>HYPERLINK("https://belberrycrm.bitrix24.ru/crm/deal/details/4950/","https://belberrycrm.bitrix24.ru/crm/deal/details/4950/")</x:f>
      </x:c>
      <x:c r="D841" t="str">
        <x:v>Реанимация</x:v>
      </x:c>
      <x:c r="E841" t="str">
        <x:v>ПРОДАЖИ: Отвалы</x:v>
      </x:c>
      <x:c r="F841" t="str">
        <x:v>Иван Халин</x:v>
      </x:c>
      <x:c r="G841" t="str">
        <x:v>нет</x:v>
      </x:c>
      <x:c r="H841" t="str">
        <x:v>нет</x:v>
      </x:c>
    </x:row>
    <x:row r="842">
      <x:c r="A842" t="str">
        <x:v>4974</x:v>
      </x:c>
      <x:c r="B842" t="str">
        <x:v>wai-thai-beauty.ru</x:v>
      </x:c>
      <x:c r="C842" t="e">
        <x:f>HYPERLINK("https://belberrycrm.bitrix24.ru/crm/deal/details/4974/","https://belberrycrm.bitrix24.ru/crm/deal/details/4974/")</x:f>
      </x:c>
      <x:c r="D842" t="str">
        <x:v>Реанимация</x:v>
      </x:c>
      <x:c r="E842" t="str">
        <x:v>ПРОДАЖИ: Не сейчас</x:v>
      </x:c>
      <x:c r="F842" t="str">
        <x:v>Камиль Булатов</x:v>
      </x:c>
      <x:c r="G842" t="str">
        <x:v>нет</x:v>
      </x:c>
      <x:c r="H842" t="str">
        <x:v>нет</x:v>
      </x:c>
    </x:row>
    <x:row r="843">
      <x:c r="A843" t="str">
        <x:v>4976</x:v>
      </x:c>
      <x:c r="B843" t="str">
        <x:v>New Age - косметология</x:v>
      </x:c>
      <x:c r="C843" t="e">
        <x:f>HYPERLINK("https://belberrycrm.bitrix24.ru/crm/deal/details/4976/","https://belberrycrm.bitrix24.ru/crm/deal/details/4976/")</x:f>
      </x:c>
      <x:c r="D843" t="str">
        <x:v>Реанимация</x:v>
      </x:c>
      <x:c r="E843" t="str">
        <x:v>ПРОДАЖИ: Отвалы</x:v>
      </x:c>
      <x:c r="F843" t="str">
        <x:v>Иван Халин</x:v>
      </x:c>
      <x:c r="G843" t="str">
        <x:v>нет</x:v>
      </x:c>
      <x:c r="H843" t="str">
        <x:v>нет</x:v>
      </x:c>
    </x:row>
    <x:row r="844">
      <x:c r="A844" t="str">
        <x:v>4982</x:v>
      </x:c>
      <x:c r="B844" t="str">
        <x:v>mc-peresvet.ru</x:v>
      </x:c>
      <x:c r="C844" t="e">
        <x:f>HYPERLINK("https://belberrycrm.bitrix24.ru/crm/deal/details/4982/","https://belberrycrm.bitrix24.ru/crm/deal/details/4982/")</x:f>
      </x:c>
      <x:c r="D844" t="str">
        <x:v>Реанимация</x:v>
      </x:c>
      <x:c r="E844" t="str">
        <x:v>ПРОДАЖИ: Отвалы</x:v>
      </x:c>
      <x:c r="F844" t="str">
        <x:v>Иван Халин</x:v>
      </x:c>
      <x:c r="G844" t="str">
        <x:v>да</x:v>
      </x:c>
      <x:c r="H844" t="str">
        <x:v>нет</x:v>
      </x:c>
    </x:row>
    <x:row r="845">
      <x:c r="A845" t="str">
        <x:v>4984</x:v>
      </x:c>
      <x:c r="B845" t="str">
        <x:v>dentoprofile.ru</x:v>
      </x:c>
      <x:c r="C845" t="e">
        <x:f>HYPERLINK("https://belberrycrm.bitrix24.ru/crm/deal/details/4984/","https://belberrycrm.bitrix24.ru/crm/deal/details/4984/")</x:f>
      </x:c>
      <x:c r="D845" t="str">
        <x:v>Реанимация</x:v>
      </x:c>
      <x:c r="E845" t="str">
        <x:v>ПРОДАЖИ: Отвалы</x:v>
      </x:c>
      <x:c r="F845" t="str">
        <x:v>Иван Халин</x:v>
      </x:c>
      <x:c r="G845" t="str">
        <x:v>нет</x:v>
      </x:c>
      <x:c r="H845" t="str">
        <x:v>нет</x:v>
      </x:c>
    </x:row>
    <x:row r="846">
      <x:c r="A846" t="str">
        <x:v>4988</x:v>
      </x:c>
      <x:c r="B846" t="str">
        <x:v>chestnayaklinika.ru</x:v>
      </x:c>
      <x:c r="C846" t="e">
        <x:f>HYPERLINK("https://belberrycrm.bitrix24.ru/crm/deal/details/4988/","https://belberrycrm.bitrix24.ru/crm/deal/details/4988/")</x:f>
      </x:c>
      <x:c r="D846" t="str">
        <x:v>Реанимация</x:v>
      </x:c>
      <x:c r="E846" t="str">
        <x:v>ПРОДАЖИ: Не сейчас</x:v>
      </x:c>
      <x:c r="F846" t="str">
        <x:v>Иван Халин</x:v>
      </x:c>
      <x:c r="G846" t="str">
        <x:v>да</x:v>
      </x:c>
      <x:c r="H846" t="str">
        <x:v>нет</x:v>
      </x:c>
    </x:row>
    <x:row r="847">
      <x:c r="A847" t="str">
        <x:v>4990</x:v>
      </x:c>
      <x:c r="B847" t="str">
        <x:v>dr-ovechkina.ru</x:v>
      </x:c>
      <x:c r="C847" t="e">
        <x:f>HYPERLINK("https://belberrycrm.bitrix24.ru/crm/deal/details/4990/","https://belberrycrm.bitrix24.ru/crm/deal/details/4990/")</x:f>
      </x:c>
      <x:c r="D847" t="str">
        <x:v>Реанимация</x:v>
      </x:c>
      <x:c r="E847" t="str">
        <x:v>ПРОДАЖИ: Не сейчас</x:v>
      </x:c>
      <x:c r="F847" t="str">
        <x:v>Камиль Булатов</x:v>
      </x:c>
      <x:c r="G847" t="str">
        <x:v>нет</x:v>
      </x:c>
      <x:c r="H847" t="str">
        <x:v>нет</x:v>
      </x:c>
    </x:row>
    <x:row r="848">
      <x:c r="A848" t="str">
        <x:v>4992</x:v>
      </x:c>
      <x:c r="B848" t="str">
        <x:v>gympride.ru</x:v>
      </x:c>
      <x:c r="C848" t="e">
        <x:f>HYPERLINK("https://belberrycrm.bitrix24.ru/crm/deal/details/4992/","https://belberrycrm.bitrix24.ru/crm/deal/details/4992/")</x:f>
      </x:c>
      <x:c r="D848" t="str">
        <x:v>Реанимация</x:v>
      </x:c>
      <x:c r="E848" t="str">
        <x:v>ПРОДАЖИ: Отвалы</x:v>
      </x:c>
      <x:c r="F848" t="str">
        <x:v>Даниил Касаткин</x:v>
      </x:c>
      <x:c r="G848" t="str">
        <x:v>нет</x:v>
      </x:c>
      <x:c r="H848" t="str">
        <x:v>нет</x:v>
      </x:c>
    </x:row>
    <x:row r="849">
      <x:c r="A849" t="str">
        <x:v>4994</x:v>
      </x:c>
      <x:c r="B849" t="str">
        <x:v>anapolisdom.ru</x:v>
      </x:c>
      <x:c r="C849" t="e">
        <x:f>HYPERLINK("https://belberrycrm.bitrix24.ru/crm/deal/details/4994/","https://belberrycrm.bitrix24.ru/crm/deal/details/4994/")</x:f>
      </x:c>
      <x:c r="D849" t="str">
        <x:v>Реанимация</x:v>
      </x:c>
      <x:c r="E849" t="str">
        <x:v>ПРОДАЖИ: Отвалы</x:v>
      </x:c>
      <x:c r="F849" t="str">
        <x:v>Даниил Касаткин</x:v>
      </x:c>
      <x:c r="G849" t="str">
        <x:v>нет</x:v>
      </x:c>
      <x:c r="H849" t="str">
        <x:v>нет</x:v>
      </x:c>
    </x:row>
    <x:row r="850">
      <x:c r="A850" t="str">
        <x:v>5014</x:v>
      </x:c>
      <x:c r="B850" t="str">
        <x:v>zirkondent.ru</x:v>
      </x:c>
      <x:c r="C850" t="e">
        <x:f>HYPERLINK("https://belberrycrm.bitrix24.ru/crm/deal/details/5014/","https://belberrycrm.bitrix24.ru/crm/deal/details/5014/")</x:f>
      </x:c>
      <x:c r="D850" t="str">
        <x:v>Реанимация</x:v>
      </x:c>
      <x:c r="E850" t="str">
        <x:v>ПРОДАЖИ: Отвалы</x:v>
      </x:c>
      <x:c r="F850" t="str">
        <x:v>Камиль Булатов</x:v>
      </x:c>
      <x:c r="G850" t="str">
        <x:v>нет</x:v>
      </x:c>
      <x:c r="H850" t="str">
        <x:v>нет</x:v>
      </x:c>
    </x:row>
    <x:row r="851">
      <x:c r="A851" t="str">
        <x:v>5020</x:v>
      </x:c>
      <x:c r="B851" t="str">
        <x:v>медцентр-щапово.рф</x:v>
      </x:c>
      <x:c r="C851" t="e">
        <x:f>HYPERLINK("https://belberrycrm.bitrix24.ru/crm/deal/details/5020/","https://belberrycrm.bitrix24.ru/crm/deal/details/5020/")</x:f>
      </x:c>
      <x:c r="D851" t="str">
        <x:v>Реанимация</x:v>
      </x:c>
      <x:c r="E851" t="str">
        <x:v>ПРОДАЖИ: Отвалы</x:v>
      </x:c>
      <x:c r="F851" t="str">
        <x:v>Иван Халин</x:v>
      </x:c>
      <x:c r="G851" t="str">
        <x:v>да</x:v>
      </x:c>
      <x:c r="H851" t="str">
        <x:v>нет</x:v>
      </x:c>
    </x:row>
    <x:row r="852">
      <x:c r="A852" t="str">
        <x:v>5022</x:v>
      </x:c>
      <x:c r="B852" t="str">
        <x:v>flowringo.ru</x:v>
      </x:c>
      <x:c r="C852" t="e">
        <x:f>HYPERLINK("https://belberrycrm.bitrix24.ru/crm/deal/details/5022/","https://belberrycrm.bitrix24.ru/crm/deal/details/5022/")</x:f>
      </x:c>
      <x:c r="D852" t="str">
        <x:v>Реанимация</x:v>
      </x:c>
      <x:c r="E852" t="str">
        <x:v>ПРОДАЖИ: Отвалы</x:v>
      </x:c>
      <x:c r="F852" t="str">
        <x:v>Даниил Касаткин</x:v>
      </x:c>
      <x:c r="G852" t="str">
        <x:v>нет</x:v>
      </x:c>
      <x:c r="H852" t="str">
        <x:v>нет</x:v>
      </x:c>
    </x:row>
    <x:row r="853">
      <x:c r="A853" t="str">
        <x:v>5024</x:v>
      </x:c>
      <x:c r="B853" t="str">
        <x:v>omoda-marten.ru</x:v>
      </x:c>
      <x:c r="C853" t="e">
        <x:f>HYPERLINK("https://belberrycrm.bitrix24.ru/crm/deal/details/5024/","https://belberrycrm.bitrix24.ru/crm/deal/details/5024/")</x:f>
      </x:c>
      <x:c r="D853" t="str">
        <x:v>Реанимация</x:v>
      </x:c>
      <x:c r="E853" t="str">
        <x:v>ПРОДАЖИ: Отвалы</x:v>
      </x:c>
      <x:c r="F853" t="str">
        <x:v>Александр Голядкин</x:v>
      </x:c>
      <x:c r="G853" t="str">
        <x:v>да</x:v>
      </x:c>
      <x:c r="H853" t="str">
        <x:v>нет</x:v>
      </x:c>
    </x:row>
    <x:row r="854">
      <x:c r="A854" t="str">
        <x:v>5030</x:v>
      </x:c>
      <x:c r="B854" t="str">
        <x:v>gb2.medkhv.ru</x:v>
      </x:c>
      <x:c r="C854" t="e">
        <x:f>HYPERLINK("https://belberrycrm.bitrix24.ru/crm/deal/details/5030/","https://belberrycrm.bitrix24.ru/crm/deal/details/5030/")</x:f>
      </x:c>
      <x:c r="D854" t="str">
        <x:v>Реанимация</x:v>
      </x:c>
      <x:c r="E854" t="str">
        <x:v>ПРОДАЖИ: Отвалы</x:v>
      </x:c>
      <x:c r="F854" t="str">
        <x:v>Иван Халин</x:v>
      </x:c>
      <x:c r="G854" t="str">
        <x:v>нет</x:v>
      </x:c>
      <x:c r="H854" t="str">
        <x:v>нет</x:v>
      </x:c>
    </x:row>
    <x:row r="855">
      <x:c r="A855" t="str">
        <x:v>5032</x:v>
      </x:c>
      <x:c r="B855" t="str">
        <x:v>vasilevkulagin.com</x:v>
      </x:c>
      <x:c r="C855" t="e">
        <x:f>HYPERLINK("https://belberrycrm.bitrix24.ru/crm/deal/details/5032/","https://belberrycrm.bitrix24.ru/crm/deal/details/5032/")</x:f>
      </x:c>
      <x:c r="D855" t="str">
        <x:v>Реанимация</x:v>
      </x:c>
      <x:c r="E855" t="str">
        <x:v>ПРОДАЖИ: Отвалы</x:v>
      </x:c>
      <x:c r="F855" t="str">
        <x:v>Петр Дудин</x:v>
      </x:c>
      <x:c r="G855" t="str">
        <x:v>да</x:v>
      </x:c>
      <x:c r="H855" t="str">
        <x:v>нет</x:v>
      </x:c>
    </x:row>
    <x:row r="856">
      <x:c r="A856" t="str">
        <x:v>5034</x:v>
      </x:c>
      <x:c r="B856" t="str">
        <x:v>diagnostiqa.ru</x:v>
      </x:c>
      <x:c r="C856" t="e">
        <x:f>HYPERLINK("https://belberrycrm.bitrix24.ru/crm/deal/details/5034/","https://belberrycrm.bitrix24.ru/crm/deal/details/5034/")</x:f>
      </x:c>
      <x:c r="D856" t="str">
        <x:v>Реанимация</x:v>
      </x:c>
      <x:c r="E856" t="str">
        <x:v>ПРОДАЖИ: Отвалы</x:v>
      </x:c>
      <x:c r="F856" t="str">
        <x:v>Иван Халин</x:v>
      </x:c>
      <x:c r="G856" t="str">
        <x:v>нет</x:v>
      </x:c>
      <x:c r="H856" t="str">
        <x:v>нет</x:v>
      </x:c>
    </x:row>
    <x:row r="857">
      <x:c r="A857" t="str">
        <x:v>5044</x:v>
      </x:c>
      <x:c r="B857" t="str">
        <x:v>impladent-spb.ru</x:v>
      </x:c>
      <x:c r="C857" t="e">
        <x:f>HYPERLINK("https://belberrycrm.bitrix24.ru/crm/deal/details/5044/","https://belberrycrm.bitrix24.ru/crm/deal/details/5044/")</x:f>
      </x:c>
      <x:c r="D857" t="str">
        <x:v>Реанимация</x:v>
      </x:c>
      <x:c r="E857" t="str">
        <x:v>ПРОДАЖИ: Отвалы</x:v>
      </x:c>
      <x:c r="F857" t="str">
        <x:v>Иван Халин</x:v>
      </x:c>
      <x:c r="G857" t="str">
        <x:v>нет</x:v>
      </x:c>
      <x:c r="H857" t="str">
        <x:v>нет</x:v>
      </x:c>
    </x:row>
    <x:row r="858">
      <x:c r="A858" t="str">
        <x:v>5048</x:v>
      </x:c>
      <x:c r="B858" t="str">
        <x:v>профибух.рф</x:v>
      </x:c>
      <x:c r="C858" t="e">
        <x:f>HYPERLINK("https://belberrycrm.bitrix24.ru/crm/deal/details/5048/","https://belberrycrm.bitrix24.ru/crm/deal/details/5048/")</x:f>
      </x:c>
      <x:c r="D858" t="str">
        <x:v>Реанимация</x:v>
      </x:c>
      <x:c r="E858" t="str">
        <x:v>ПРОДАЖИ: Отвалы</x:v>
      </x:c>
      <x:c r="F858" t="str">
        <x:v>Даниил Касаткин</x:v>
      </x:c>
      <x:c r="G858" t="str">
        <x:v>нет</x:v>
      </x:c>
      <x:c r="H858" t="str">
        <x:v>нет</x:v>
      </x:c>
    </x:row>
    <x:row r="859">
      <x:c r="A859" t="str">
        <x:v>5050</x:v>
      </x:c>
      <x:c r="B859" t="str">
        <x:v>Екатерина Сергеевна Лемешевская (интересует разработка сайта для клиники)</x:v>
      </x:c>
      <x:c r="C859" t="e">
        <x:f>HYPERLINK("https://belberrycrm.bitrix24.ru/crm/deal/details/5050/","https://belberrycrm.bitrix24.ru/crm/deal/details/5050/")</x:f>
      </x:c>
      <x:c r="D859" t="str">
        <x:v>Реанимация</x:v>
      </x:c>
      <x:c r="E859" t="str">
        <x:v>ПРОДАЖИ: Отвалы</x:v>
      </x:c>
      <x:c r="F859" t="str">
        <x:v>Иван Халин</x:v>
      </x:c>
      <x:c r="G859" t="str">
        <x:v>нет</x:v>
      </x:c>
      <x:c r="H859" t="str">
        <x:v>нет</x:v>
      </x:c>
    </x:row>
    <x:row r="860">
      <x:c r="A860" t="str">
        <x:v>5056</x:v>
      </x:c>
      <x:c r="B860" t="str">
        <x:v>mkavtor.ru</x:v>
      </x:c>
      <x:c r="C860" t="e">
        <x:f>HYPERLINK("https://belberrycrm.bitrix24.ru/crm/deal/details/5056/","https://belberrycrm.bitrix24.ru/crm/deal/details/5056/")</x:f>
      </x:c>
      <x:c r="D860" t="str">
        <x:v>Реанимация</x:v>
      </x:c>
      <x:c r="E860" t="str">
        <x:v>ПРОДАЖИ: Отвалы</x:v>
      </x:c>
      <x:c r="F860" t="str">
        <x:v>Петр Дудин</x:v>
      </x:c>
      <x:c r="G860" t="str">
        <x:v>нет</x:v>
      </x:c>
      <x:c r="H860" t="str">
        <x:v>нет</x:v>
      </x:c>
    </x:row>
    <x:row r="861">
      <x:c r="A861" t="str">
        <x:v>5062</x:v>
      </x:c>
      <x:c r="B861" t="str">
        <x:v>Beam.ruswest</x:v>
      </x:c>
      <x:c r="C861" t="e">
        <x:f>HYPERLINK("https://belberrycrm.bitrix24.ru/crm/deal/details/5062/","https://belberrycrm.bitrix24.ru/crm/deal/details/5062/")</x:f>
      </x:c>
      <x:c r="D861" t="str">
        <x:v>Реанимация</x:v>
      </x:c>
      <x:c r="E861" t="str">
        <x:v>ПРОДАЖИ: Не сейчас</x:v>
      </x:c>
      <x:c r="F861" t="str">
        <x:v>Константин Гуркин</x:v>
      </x:c>
      <x:c r="G861" t="str">
        <x:v>нет</x:v>
      </x:c>
      <x:c r="H861" t="str">
        <x:v>нет</x:v>
      </x:c>
    </x:row>
    <x:row r="862">
      <x:c r="A862" t="str">
        <x:v>5068</x:v>
      </x:c>
      <x:c r="B862" t="str">
        <x:v>Заявка на покупку лицензии</x:v>
      </x:c>
      <x:c r="C862" t="e">
        <x:f>HYPERLINK("https://belberrycrm.bitrix24.ru/crm/deal/details/5068/","https://belberrycrm.bitrix24.ru/crm/deal/details/5068/")</x:f>
      </x:c>
      <x:c r="D862" t="str">
        <x:v>Реанимация</x:v>
      </x:c>
      <x:c r="E862" t="str">
        <x:v>АРХИВ Общая</x:v>
      </x:c>
      <x:c r="F862" t="str">
        <x:v>Екатерина Апушкина</x:v>
      </x:c>
      <x:c r="G862" t="str">
        <x:v>нет</x:v>
      </x:c>
      <x:c r="H862" t="str">
        <x:v>нет</x:v>
      </x:c>
    </x:row>
    <x:row r="863">
      <x:c r="A863" t="str">
        <x:v>5072</x:v>
      </x:c>
      <x:c r="B863" t="str">
        <x:v>lake villas club</x:v>
      </x:c>
      <x:c r="C863" t="e">
        <x:f>HYPERLINK("https://belberrycrm.bitrix24.ru/crm/deal/details/5072/","https://belberrycrm.bitrix24.ru/crm/deal/details/5072/")</x:f>
      </x:c>
      <x:c r="D863" t="str">
        <x:v>Реанимация</x:v>
      </x:c>
      <x:c r="E863" t="str">
        <x:v>ПРОДАЖИ: Не сейчас</x:v>
      </x:c>
      <x:c r="F863" t="str">
        <x:v>Константин Гуркин</x:v>
      </x:c>
      <x:c r="G863" t="str">
        <x:v>нет</x:v>
      </x:c>
      <x:c r="H863" t="str">
        <x:v>нет</x:v>
      </x:c>
    </x:row>
    <x:row r="864">
      <x:c r="A864" t="str">
        <x:v>5076</x:v>
      </x:c>
      <x:c r="B864" t="str">
        <x:v>Завод КТ ТРОН</x:v>
      </x:c>
      <x:c r="C864" t="e">
        <x:f>HYPERLINK("https://belberrycrm.bitrix24.ru/crm/deal/details/5076/","https://belberrycrm.bitrix24.ru/crm/deal/details/5076/")</x:f>
      </x:c>
      <x:c r="D864" t="str">
        <x:v>Реанимация</x:v>
      </x:c>
      <x:c r="E864" t="str">
        <x:v>ПРОДАЖИ: Отвалы</x:v>
      </x:c>
      <x:c r="F864" t="str">
        <x:v>Константин Гуркин</x:v>
      </x:c>
      <x:c r="G864" t="str">
        <x:v>да</x:v>
      </x:c>
      <x:c r="H864" t="str">
        <x:v>нет</x:v>
      </x:c>
    </x:row>
    <x:row r="865">
      <x:c r="A865" t="str">
        <x:v>5078</x:v>
      </x:c>
      <x:c r="B865" t="str">
        <x:v>icosmetics.ru</x:v>
      </x:c>
      <x:c r="C865" t="e">
        <x:f>HYPERLINK("https://belberrycrm.bitrix24.ru/crm/deal/details/5078/","https://belberrycrm.bitrix24.ru/crm/deal/details/5078/")</x:f>
      </x:c>
      <x:c r="D865" t="str">
        <x:v>Реанимация</x:v>
      </x:c>
      <x:c r="E865" t="str">
        <x:v>ПРОДАЖИ: Отвалы</x:v>
      </x:c>
      <x:c r="F865" t="str">
        <x:v>Камиль Булатов</x:v>
      </x:c>
      <x:c r="G865" t="str">
        <x:v>нет</x:v>
      </x:c>
      <x:c r="H865" t="str">
        <x:v>нет</x:v>
      </x:c>
    </x:row>
    <x:row r="866">
      <x:c r="A866" t="str">
        <x:v>5084</x:v>
      </x:c>
      <x:c r="B866" t="str">
        <x:v>Эмма Хамедовна Афашагова (врач-косметолог)</x:v>
      </x:c>
      <x:c r="C866" t="e">
        <x:f>HYPERLINK("https://belberrycrm.bitrix24.ru/crm/deal/details/5084/","https://belberrycrm.bitrix24.ru/crm/deal/details/5084/")</x:f>
      </x:c>
      <x:c r="D866" t="str">
        <x:v>Реанимация</x:v>
      </x:c>
      <x:c r="E866" t="str">
        <x:v>ПРОДАЖИ: Отвалы</x:v>
      </x:c>
      <x:c r="F866" t="str">
        <x:v>Иван Халин</x:v>
      </x:c>
      <x:c r="G866" t="str">
        <x:v>нет</x:v>
      </x:c>
      <x:c r="H866" t="str">
        <x:v>нет</x:v>
      </x:c>
    </x:row>
    <x:row r="867">
      <x:c r="A867" t="str">
        <x:v>5093</x:v>
      </x:c>
      <x:c r="B867" t="str">
        <x:v>truck-international.ru</x:v>
      </x:c>
      <x:c r="C867" t="e">
        <x:f>HYPERLINK("https://belberrycrm.bitrix24.ru/crm/deal/details/5093/","https://belberrycrm.bitrix24.ru/crm/deal/details/5093/")</x:f>
      </x:c>
      <x:c r="D867" t="str">
        <x:v>Реанимация</x:v>
      </x:c>
      <x:c r="E867" t="str">
        <x:v>ПРОДАЖИ: Не сейчас</x:v>
      </x:c>
      <x:c r="F867" t="str">
        <x:v>Иван Халин</x:v>
      </x:c>
      <x:c r="G867" t="str">
        <x:v>нет</x:v>
      </x:c>
      <x:c r="H867" t="str">
        <x:v>нет</x:v>
      </x:c>
    </x:row>
    <x:row r="868">
      <x:c r="A868" t="str">
        <x:v>5094</x:v>
      </x:c>
      <x:c r="B868" t="str">
        <x:v>Сергей Жариков (интересует разработка лендинга)</x:v>
      </x:c>
      <x:c r="C868" t="e">
        <x:f>HYPERLINK("https://belberrycrm.bitrix24.ru/crm/deal/details/5094/","https://belberrycrm.bitrix24.ru/crm/deal/details/5094/")</x:f>
      </x:c>
      <x:c r="D868" t="str">
        <x:v>Реанимация</x:v>
      </x:c>
      <x:c r="E868" t="str">
        <x:v>ПРОДАЖИ: Запрос цены</x:v>
      </x:c>
      <x:c r="F868" t="str">
        <x:v>Иван Халин</x:v>
      </x:c>
      <x:c r="G868" t="str">
        <x:v>нет</x:v>
      </x:c>
      <x:c r="H868" t="str">
        <x:v>нет</x:v>
      </x:c>
    </x:row>
    <x:row r="869">
      <x:c r="A869" t="str">
        <x:v>5106</x:v>
      </x:c>
      <x:c r="B869" t="str">
        <x:v>ol-mak.ru</x:v>
      </x:c>
      <x:c r="C869" t="e">
        <x:f>HYPERLINK("https://belberrycrm.bitrix24.ru/crm/deal/details/5106/","https://belberrycrm.bitrix24.ru/crm/deal/details/5106/")</x:f>
      </x:c>
      <x:c r="D869" t="str">
        <x:v>Реанимация</x:v>
      </x:c>
      <x:c r="E869" t="str">
        <x:v>ПРОДАЖИ: Отвалы</x:v>
      </x:c>
      <x:c r="F869" t="str">
        <x:v>Камиль Булатов</x:v>
      </x:c>
      <x:c r="G869" t="str">
        <x:v>нет</x:v>
      </x:c>
      <x:c r="H869" t="str">
        <x:v>нет</x:v>
      </x:c>
    </x:row>
    <x:row r="870">
      <x:c r="A870" t="str">
        <x:v>5110</x:v>
      </x:c>
      <x:c r="B870" t="str">
        <x:v>Стоматология Ренессанс</x:v>
      </x:c>
      <x:c r="C870" t="e">
        <x:f>HYPERLINK("https://belberrycrm.bitrix24.ru/crm/deal/details/5110/","https://belberrycrm.bitrix24.ru/crm/deal/details/5110/")</x:f>
      </x:c>
      <x:c r="D870" t="str">
        <x:v>Реанимация</x:v>
      </x:c>
      <x:c r="E870" t="str">
        <x:v>ПРОДАЖИ: Отвалы</x:v>
      </x:c>
      <x:c r="F870" t="str">
        <x:v>Иван Халин</x:v>
      </x:c>
      <x:c r="G870" t="str">
        <x:v>нет</x:v>
      </x:c>
      <x:c r="H870" t="str">
        <x:v>нет</x:v>
      </x:c>
    </x:row>
    <x:row r="871">
      <x:c r="A871" t="str">
        <x:v>5128</x:v>
      </x:c>
      <x:c r="B871" t="str">
        <x:v>browsbymilly.com</x:v>
      </x:c>
      <x:c r="C871" t="e">
        <x:f>HYPERLINK("https://belberrycrm.bitrix24.ru/crm/deal/details/5128/","https://belberrycrm.bitrix24.ru/crm/deal/details/5128/")</x:f>
      </x:c>
      <x:c r="D871" t="str">
        <x:v>Реанимация</x:v>
      </x:c>
      <x:c r="E871" t="str">
        <x:v>ПРОДАЖИ: Запрос цены</x:v>
      </x:c>
      <x:c r="F871" t="str">
        <x:v>Иван Халин</x:v>
      </x:c>
      <x:c r="G871" t="str">
        <x:v>нет</x:v>
      </x:c>
      <x:c r="H871" t="str">
        <x:v>нет</x:v>
      </x:c>
    </x:row>
    <x:row r="872">
      <x:c r="A872" t="str">
        <x:v>5130</x:v>
      </x:c>
      <x:c r="B872" t="str">
        <x:v>dentaplan.ru</x:v>
      </x:c>
      <x:c r="C872" t="e">
        <x:f>HYPERLINK("https://belberrycrm.bitrix24.ru/crm/deal/details/5130/","https://belberrycrm.bitrix24.ru/crm/deal/details/5130/")</x:f>
      </x:c>
      <x:c r="D872" t="str">
        <x:v>Реанимация</x:v>
      </x:c>
      <x:c r="E872" t="str">
        <x:v>ПРОДАЖИ: Отвалы</x:v>
      </x:c>
      <x:c r="F872" t="str">
        <x:v>Иван Халин</x:v>
      </x:c>
      <x:c r="G872" t="str">
        <x:v>нет</x:v>
      </x:c>
      <x:c r="H872" t="str">
        <x:v>нет</x:v>
      </x:c>
    </x:row>
    <x:row r="873">
      <x:c r="A873" t="str">
        <x:v>5134</x:v>
      </x:c>
      <x:c r="B873" t="str">
        <x:v>restoma.ru</x:v>
      </x:c>
      <x:c r="C873" t="e">
        <x:f>HYPERLINK("https://belberrycrm.bitrix24.ru/crm/deal/details/5134/","https://belberrycrm.bitrix24.ru/crm/deal/details/5134/")</x:f>
      </x:c>
      <x:c r="D873" t="str">
        <x:v>Реанимация</x:v>
      </x:c>
      <x:c r="E873" t="str">
        <x:v>ПРОДАЖИ: Отвалы</x:v>
      </x:c>
      <x:c r="F873" t="str">
        <x:v>Иван Халин</x:v>
      </x:c>
      <x:c r="G873" t="str">
        <x:v>да</x:v>
      </x:c>
      <x:c r="H873" t="str">
        <x:v>нет</x:v>
      </x:c>
    </x:row>
    <x:row r="874">
      <x:c r="A874" t="str">
        <x:v>5136</x:v>
      </x:c>
      <x:c r="B874" t="str">
        <x:v>osmaclinic.ru</x:v>
      </x:c>
      <x:c r="C874" t="e">
        <x:f>HYPERLINK("https://belberrycrm.bitrix24.ru/crm/deal/details/5136/","https://belberrycrm.bitrix24.ru/crm/deal/details/5136/")</x:f>
      </x:c>
      <x:c r="D874" t="str">
        <x:v>Реанимация</x:v>
      </x:c>
      <x:c r="E874" t="str">
        <x:v>ПРОДАЖИ: Не сейчас</x:v>
      </x:c>
      <x:c r="F874" t="str">
        <x:v>Камиль Булатов</x:v>
      </x:c>
      <x:c r="G874" t="str">
        <x:v>нет</x:v>
      </x:c>
      <x:c r="H874" t="str">
        <x:v>нет</x:v>
      </x:c>
    </x:row>
    <x:row r="875">
      <x:c r="A875" t="str">
        <x:v>5140</x:v>
      </x:c>
      <x:c r="B875" t="str">
        <x:v>a-medik.su</x:v>
      </x:c>
      <x:c r="C875" t="e">
        <x:f>HYPERLINK("https://belberrycrm.bitrix24.ru/crm/deal/details/5140/","https://belberrycrm.bitrix24.ru/crm/deal/details/5140/")</x:f>
      </x:c>
      <x:c r="D875" t="str">
        <x:v>Реанимация</x:v>
      </x:c>
      <x:c r="E875" t="str">
        <x:v>ПРОДАЖИ: Отвалы</x:v>
      </x:c>
      <x:c r="F875" t="str">
        <x:v>Иван Халин</x:v>
      </x:c>
      <x:c r="G875" t="str">
        <x:v>нет</x:v>
      </x:c>
      <x:c r="H875" t="str">
        <x:v>нет</x:v>
      </x:c>
    </x:row>
    <x:row r="876">
      <x:c r="A876" t="str">
        <x:v>5142</x:v>
      </x:c>
      <x:c r="B876" t="str">
        <x:v>clinic-dm.ru</x:v>
      </x:c>
      <x:c r="C876" t="e">
        <x:f>HYPERLINK("https://belberrycrm.bitrix24.ru/crm/deal/details/5142/","https://belberrycrm.bitrix24.ru/crm/deal/details/5142/")</x:f>
      </x:c>
      <x:c r="D876" t="str">
        <x:v>Реанимация</x:v>
      </x:c>
      <x:c r="E876" t="str">
        <x:v>ПРОДАЖИ: Отвалы</x:v>
      </x:c>
      <x:c r="F876" t="str">
        <x:v>Иван Халин</x:v>
      </x:c>
      <x:c r="G876" t="str">
        <x:v>нет</x:v>
      </x:c>
      <x:c r="H876" t="str">
        <x:v>нет</x:v>
      </x:c>
    </x:row>
    <x:row r="877">
      <x:c r="A877" t="str">
        <x:v>5154</x:v>
      </x:c>
      <x:c r="B877" t="str">
        <x:v>dentagrafya.net</x:v>
      </x:c>
      <x:c r="C877" t="e">
        <x:f>HYPERLINK("https://belberrycrm.bitrix24.ru/crm/deal/details/5154/","https://belberrycrm.bitrix24.ru/crm/deal/details/5154/")</x:f>
      </x:c>
      <x:c r="D877" t="str">
        <x:v>Реанимация</x:v>
      </x:c>
      <x:c r="E877" t="str">
        <x:v>ПРОДАЖИ: Отвалы</x:v>
      </x:c>
      <x:c r="F877" t="str">
        <x:v>Петр Дудин</x:v>
      </x:c>
      <x:c r="G877" t="str">
        <x:v>нет</x:v>
      </x:c>
      <x:c r="H877" t="str">
        <x:v>нет</x:v>
      </x:c>
    </x:row>
    <x:row r="878">
      <x:c r="A878" t="str">
        <x:v>5160</x:v>
      </x:c>
      <x:c r="B878" t="str">
        <x:v>stunning-you.com</x:v>
      </x:c>
      <x:c r="C878" t="e">
        <x:f>HYPERLINK("https://belberrycrm.bitrix24.ru/crm/deal/details/5160/","https://belberrycrm.bitrix24.ru/crm/deal/details/5160/")</x:f>
      </x:c>
      <x:c r="D878" t="str">
        <x:v>Реанимация</x:v>
      </x:c>
      <x:c r="E878" t="str">
        <x:v>ПРОДАЖИ: Отвалы</x:v>
      </x:c>
      <x:c r="F878" t="str">
        <x:v>Иван Халин</x:v>
      </x:c>
      <x:c r="G878" t="str">
        <x:v>нет</x:v>
      </x:c>
      <x:c r="H878" t="str">
        <x:v>нет</x:v>
      </x:c>
    </x:row>
    <x:row r="879">
      <x:c r="A879" t="str">
        <x:v>5162</x:v>
      </x:c>
      <x:c r="B879" t="str">
        <x:v>vrkr.ru</x:v>
      </x:c>
      <x:c r="C879" t="e">
        <x:f>HYPERLINK("https://belberrycrm.bitrix24.ru/crm/deal/details/5162/","https://belberrycrm.bitrix24.ru/crm/deal/details/5162/")</x:f>
      </x:c>
      <x:c r="D879" t="str">
        <x:v>Реанимация</x:v>
      </x:c>
      <x:c r="E879" t="str">
        <x:v>ПРОДАЖИ: Отвалы</x:v>
      </x:c>
      <x:c r="F879" t="str">
        <x:v>Иван Халин</x:v>
      </x:c>
      <x:c r="G879" t="str">
        <x:v>нет</x:v>
      </x:c>
      <x:c r="H879" t="str">
        <x:v>нет</x:v>
      </x:c>
    </x:row>
    <x:row r="880">
      <x:c r="A880" t="str">
        <x:v>5164</x:v>
      </x:c>
      <x:c r="B880" t="str">
        <x:v>cheelee.io</x:v>
      </x:c>
      <x:c r="C880" t="e">
        <x:f>HYPERLINK("https://belberrycrm.bitrix24.ru/crm/deal/details/5164/","https://belberrycrm.bitrix24.ru/crm/deal/details/5164/")</x:f>
      </x:c>
      <x:c r="D880" t="str">
        <x:v>Реанимация</x:v>
      </x:c>
      <x:c r="E880" t="str">
        <x:v>ПРОДАЖИ: Отвалы</x:v>
      </x:c>
      <x:c r="F880" t="str">
        <x:v>Иван Халин</x:v>
      </x:c>
      <x:c r="G880" t="str">
        <x:v>нет</x:v>
      </x:c>
      <x:c r="H880" t="str">
        <x:v>нет</x:v>
      </x:c>
    </x:row>
    <x:row r="881">
      <x:c r="A881" t="str">
        <x:v>5166</x:v>
      </x:c>
      <x:c r="B881" t="str">
        <x:v>ooo-blagodat.ru</x:v>
      </x:c>
      <x:c r="C881" t="e">
        <x:f>HYPERLINK("https://belberrycrm.bitrix24.ru/crm/deal/details/5166/","https://belberrycrm.bitrix24.ru/crm/deal/details/5166/")</x:f>
      </x:c>
      <x:c r="D881" t="str">
        <x:v>Реанимация</x:v>
      </x:c>
      <x:c r="E881" t="str">
        <x:v>ПРОДАЖИ: Отвалы</x:v>
      </x:c>
      <x:c r="F881" t="str">
        <x:v>Иван Халин</x:v>
      </x:c>
      <x:c r="G881" t="str">
        <x:v>да</x:v>
      </x:c>
      <x:c r="H881" t="str">
        <x:v>нет</x:v>
      </x:c>
    </x:row>
    <x:row r="882">
      <x:c r="A882" t="str">
        <x:v>5176</x:v>
      </x:c>
      <x:c r="B882" t="str">
        <x:v>osteocenter.net</x:v>
      </x:c>
      <x:c r="C882" t="e">
        <x:f>HYPERLINK("https://belberrycrm.bitrix24.ru/crm/deal/details/5176/","https://belberrycrm.bitrix24.ru/crm/deal/details/5176/")</x:f>
      </x:c>
      <x:c r="D882" t="str">
        <x:v>Реанимация</x:v>
      </x:c>
      <x:c r="E882" t="str">
        <x:v>ПРОДАЖИ: Отвалы</x:v>
      </x:c>
      <x:c r="F882" t="str">
        <x:v>Камиль Булатов</x:v>
      </x:c>
      <x:c r="G882" t="str">
        <x:v>нет</x:v>
      </x:c>
      <x:c r="H882" t="str">
        <x:v>нет</x:v>
      </x:c>
    </x:row>
    <x:row r="883">
      <x:c r="A883" t="str">
        <x:v>5180</x:v>
      </x:c>
      <x:c r="B883" t="str">
        <x:v>cosmo-vita.ru</x:v>
      </x:c>
      <x:c r="C883" t="e">
        <x:f>HYPERLINK("https://belberrycrm.bitrix24.ru/crm/deal/details/5180/","https://belberrycrm.bitrix24.ru/crm/deal/details/5180/")</x:f>
      </x:c>
      <x:c r="D883" t="str">
        <x:v>Реанимация</x:v>
      </x:c>
      <x:c r="E883" t="str">
        <x:v>ПРОДАЖИ: Отвалы</x:v>
      </x:c>
      <x:c r="F883" t="str">
        <x:v>Иван Халин</x:v>
      </x:c>
      <x:c r="G883" t="str">
        <x:v>нет</x:v>
      </x:c>
      <x:c r="H883" t="str">
        <x:v>нет</x:v>
      </x:c>
    </x:row>
    <x:row r="884">
      <x:c r="A884" t="str">
        <x:v>5186</x:v>
      </x:c>
      <x:c r="B884" t="str">
        <x:v>online-mrt.ru</x:v>
      </x:c>
      <x:c r="C884" t="e">
        <x:f>HYPERLINK("https://belberrycrm.bitrix24.ru/crm/deal/details/5186/","https://belberrycrm.bitrix24.ru/crm/deal/details/5186/")</x:f>
      </x:c>
      <x:c r="D884" t="str">
        <x:v>Реанимация</x:v>
      </x:c>
      <x:c r="E884" t="str">
        <x:v>ПРОДАЖИ: Отвалы</x:v>
      </x:c>
      <x:c r="F884" t="str">
        <x:v>Иван Халин</x:v>
      </x:c>
      <x:c r="G884" t="str">
        <x:v>нет</x:v>
      </x:c>
      <x:c r="H884" t="str">
        <x:v>нет</x:v>
      </x:c>
    </x:row>
    <x:row r="885">
      <x:c r="A885" t="str">
        <x:v>5198</x:v>
      </x:c>
      <x:c r="B885" t="str">
        <x:v>Заявка на покупку лицензии</x:v>
      </x:c>
      <x:c r="C885" t="e">
        <x:f>HYPERLINK("https://belberrycrm.bitrix24.ru/crm/deal/details/5198/","https://belberrycrm.bitrix24.ru/crm/deal/details/5198/")</x:f>
      </x:c>
      <x:c r="D885" t="str">
        <x:v>Реанимация</x:v>
      </x:c>
      <x:c r="E885" t="str">
        <x:v>АРХИВ Общая</x:v>
      </x:c>
      <x:c r="F885" t="str">
        <x:v>Екатерина Апушкина</x:v>
      </x:c>
      <x:c r="G885" t="str">
        <x:v>нет</x:v>
      </x:c>
      <x:c r="H885" t="str">
        <x:v>нет</x:v>
      </x:c>
    </x:row>
    <x:row r="886">
      <x:c r="A886" t="str">
        <x:v>5200</x:v>
      </x:c>
      <x:c r="B886" t="str">
        <x:v>Анастасия (интересует развитие личного бренда)</x:v>
      </x:c>
      <x:c r="C886" t="e">
        <x:f>HYPERLINK("https://belberrycrm.bitrix24.ru/crm/deal/details/5200/","https://belberrycrm.bitrix24.ru/crm/deal/details/5200/")</x:f>
      </x:c>
      <x:c r="D886" t="str">
        <x:v>Реанимация</x:v>
      </x:c>
      <x:c r="E886" t="str">
        <x:v>ПРОДАЖИ: Отвалы</x:v>
      </x:c>
      <x:c r="F886" t="str">
        <x:v>Камиль Булатов</x:v>
      </x:c>
      <x:c r="G886" t="str">
        <x:v>нет</x:v>
      </x:c>
      <x:c r="H886" t="str">
        <x:v>нет</x:v>
      </x:c>
    </x:row>
    <x:row r="887">
      <x:c r="A887" t="str">
        <x:v>5202</x:v>
      </x:c>
      <x:c r="B887" t="str">
        <x:v>mc-dimetra.ru</x:v>
      </x:c>
      <x:c r="C887" t="e">
        <x:f>HYPERLINK("https://belberrycrm.bitrix24.ru/crm/deal/details/5202/","https://belberrycrm.bitrix24.ru/crm/deal/details/5202/")</x:f>
      </x:c>
      <x:c r="D887" t="str">
        <x:v>Реанимация</x:v>
      </x:c>
      <x:c r="E887" t="str">
        <x:v>ПРОДАЖИ: Отвалы</x:v>
      </x:c>
      <x:c r="F887" t="str">
        <x:v>Иван Халин</x:v>
      </x:c>
      <x:c r="G887" t="str">
        <x:v>нет</x:v>
      </x:c>
      <x:c r="H887" t="str">
        <x:v>нет</x:v>
      </x:c>
    </x:row>
    <x:row r="888">
      <x:c r="A888" t="str">
        <x:v>5204</x:v>
      </x:c>
      <x:c r="B888" t="str">
        <x:v>Ксения (интересует разработка сайта)</x:v>
      </x:c>
      <x:c r="C888" t="e">
        <x:f>HYPERLINK("https://belberrycrm.bitrix24.ru/crm/deal/details/5204/","https://belberrycrm.bitrix24.ru/crm/deal/details/5204/")</x:f>
      </x:c>
      <x:c r="D888" t="str">
        <x:v>Реанимация</x:v>
      </x:c>
      <x:c r="E888" t="str">
        <x:v>ПРОДАЖИ: Отвалы</x:v>
      </x:c>
      <x:c r="F888" t="str">
        <x:v>Иван Халин</x:v>
      </x:c>
      <x:c r="G888" t="str">
        <x:v>нет</x:v>
      </x:c>
      <x:c r="H888" t="str">
        <x:v>нет</x:v>
      </x:c>
    </x:row>
    <x:row r="889">
      <x:c r="A889" t="str">
        <x:v>5208</x:v>
      </x:c>
      <x:c r="B889" t="str">
        <x:v>okomed.ru</x:v>
      </x:c>
      <x:c r="C889" t="e">
        <x:f>HYPERLINK("https://belberrycrm.bitrix24.ru/crm/deal/details/5208/","https://belberrycrm.bitrix24.ru/crm/deal/details/5208/")</x:f>
      </x:c>
      <x:c r="D889" t="str">
        <x:v>Реанимация</x:v>
      </x:c>
      <x:c r="E889" t="str">
        <x:v>ПРОДАЖИ: Не сейчас</x:v>
      </x:c>
      <x:c r="F889" t="str">
        <x:v>Иван Халин</x:v>
      </x:c>
      <x:c r="G889" t="str">
        <x:v>нет</x:v>
      </x:c>
      <x:c r="H889" t="str">
        <x:v>нет</x:v>
      </x:c>
    </x:row>
    <x:row r="890">
      <x:c r="A890" t="str">
        <x:v>5210</x:v>
      </x:c>
      <x:c r="B890" t="str">
        <x:v>bdsalads.ru</x:v>
      </x:c>
      <x:c r="C890" t="e">
        <x:f>HYPERLINK("https://belberrycrm.bitrix24.ru/crm/deal/details/5210/","https://belberrycrm.bitrix24.ru/crm/deal/details/5210/")</x:f>
      </x:c>
      <x:c r="D890" t="str">
        <x:v>Реанимация</x:v>
      </x:c>
      <x:c r="E890" t="str">
        <x:v>ПРОДАЖИ: Отвалы</x:v>
      </x:c>
      <x:c r="F890" t="str">
        <x:v>Данила Кочуров</x:v>
      </x:c>
      <x:c r="G890" t="str">
        <x:v>нет</x:v>
      </x:c>
      <x:c r="H890" t="str">
        <x:v>нет</x:v>
      </x:c>
    </x:row>
    <x:row r="891">
      <x:c r="A891" t="str">
        <x:v>5212</x:v>
      </x:c>
      <x:c r="B891" t="str">
        <x:v>petrovskayamed</x:v>
      </x:c>
      <x:c r="C891" t="e">
        <x:f>HYPERLINK("https://belberrycrm.bitrix24.ru/crm/deal/details/5212/","https://belberrycrm.bitrix24.ru/crm/deal/details/5212/")</x:f>
      </x:c>
      <x:c r="D891" t="str">
        <x:v>Реанимация</x:v>
      </x:c>
      <x:c r="E891" t="str">
        <x:v>ПРОДАЖИ: Отвалы</x:v>
      </x:c>
      <x:c r="F891" t="str">
        <x:v>Иван Халин</x:v>
      </x:c>
      <x:c r="G891" t="str">
        <x:v>нет</x:v>
      </x:c>
      <x:c r="H891" t="str">
        <x:v>нет</x:v>
      </x:c>
    </x:row>
    <x:row r="892">
      <x:c r="A892" t="str">
        <x:v>5216</x:v>
      </x:c>
      <x:c r="B892" t="str">
        <x:v>Дмитрий Нейрохирург</x:v>
      </x:c>
      <x:c r="C892" t="e">
        <x:f>HYPERLINK("https://belberrycrm.bitrix24.ru/crm/deal/details/5216/","https://belberrycrm.bitrix24.ru/crm/deal/details/5216/")</x:f>
      </x:c>
      <x:c r="D892" t="str">
        <x:v>Реанимация</x:v>
      </x:c>
      <x:c r="E892" t="str">
        <x:v>ПРОДАЖИ: Отвалы</x:v>
      </x:c>
      <x:c r="F892" t="str">
        <x:v>Даниил Касаткин</x:v>
      </x:c>
      <x:c r="G892" t="str">
        <x:v>нет</x:v>
      </x:c>
      <x:c r="H892" t="str">
        <x:v>нет</x:v>
      </x:c>
    </x:row>
    <x:row r="893">
      <x:c r="A893" t="str">
        <x:v>5220</x:v>
      </x:c>
      <x:c r="B893" t="str">
        <x:v>docbobrov.ru</x:v>
      </x:c>
      <x:c r="C893" t="e">
        <x:f>HYPERLINK("https://belberrycrm.bitrix24.ru/crm/deal/details/5220/","https://belberrycrm.bitrix24.ru/crm/deal/details/5220/")</x:f>
      </x:c>
      <x:c r="D893" t="str">
        <x:v>Реанимация</x:v>
      </x:c>
      <x:c r="E893" t="str">
        <x:v>ПРОДАЖИ: Отвалы</x:v>
      </x:c>
      <x:c r="F893" t="str">
        <x:v>Иван Халин</x:v>
      </x:c>
      <x:c r="G893" t="str">
        <x:v>нет</x:v>
      </x:c>
      <x:c r="H893" t="str">
        <x:v>нет</x:v>
      </x:c>
    </x:row>
    <x:row r="894">
      <x:c r="A894" t="str">
        <x:v>5222</x:v>
      </x:c>
      <x:c r="B894" t="str">
        <x:v>дгп68.рф</x:v>
      </x:c>
      <x:c r="C894" t="e">
        <x:f>HYPERLINK("https://belberrycrm.bitrix24.ru/crm/deal/details/5222/","https://belberrycrm.bitrix24.ru/crm/deal/details/5222/")</x:f>
      </x:c>
      <x:c r="D894" t="str">
        <x:v>Реанимация</x:v>
      </x:c>
      <x:c r="E894" t="str">
        <x:v>ПРОДАЖИ: Отвалы</x:v>
      </x:c>
      <x:c r="F894" t="str">
        <x:v>Иван Халин</x:v>
      </x:c>
      <x:c r="G894" t="str">
        <x:v>нет</x:v>
      </x:c>
      <x:c r="H894" t="str">
        <x:v>нет</x:v>
      </x:c>
    </x:row>
    <x:row r="895">
      <x:c r="A895" t="str">
        <x:v>5224</x:v>
      </x:c>
      <x:c r="B895" t="str">
        <x:v>Аэстетика бьюти</x:v>
      </x:c>
      <x:c r="C895" t="e">
        <x:f>HYPERLINK("https://belberrycrm.bitrix24.ru/crm/deal/details/5224/","https://belberrycrm.bitrix24.ru/crm/deal/details/5224/")</x:f>
      </x:c>
      <x:c r="D895" t="str">
        <x:v>Реанимация</x:v>
      </x:c>
      <x:c r="E895" t="str">
        <x:v>ПРОДАЖИ: Отвалы</x:v>
      </x:c>
      <x:c r="F895" t="str">
        <x:v>Иван Халин</x:v>
      </x:c>
      <x:c r="G895" t="str">
        <x:v>нет</x:v>
      </x:c>
      <x:c r="H895" t="str">
        <x:v>нет</x:v>
      </x:c>
    </x:row>
    <x:row r="896">
      <x:c r="A896" t="str">
        <x:v>5226</x:v>
      </x:c>
      <x:c r="B896" t="str">
        <x:v>one-clinic.info</x:v>
      </x:c>
      <x:c r="C896" t="e">
        <x:f>HYPERLINK("https://belberrycrm.bitrix24.ru/crm/deal/details/5226/","https://belberrycrm.bitrix24.ru/crm/deal/details/5226/")</x:f>
      </x:c>
      <x:c r="D896" t="str">
        <x:v>Реанимация</x:v>
      </x:c>
      <x:c r="E896" t="str">
        <x:v>ПРОДАЖИ: Отвалы</x:v>
      </x:c>
      <x:c r="F896" t="str">
        <x:v>Иван Халин</x:v>
      </x:c>
      <x:c r="G896" t="str">
        <x:v>нет</x:v>
      </x:c>
      <x:c r="H896" t="str">
        <x:v>нет</x:v>
      </x:c>
    </x:row>
    <x:row r="897">
      <x:c r="A897" t="str">
        <x:v>5228</x:v>
      </x:c>
      <x:c r="B897" t="str">
        <x:v>Интернет магазин детской одежды Андрей</x:v>
      </x:c>
      <x:c r="C897" t="e">
        <x:f>HYPERLINK("https://belberrycrm.bitrix24.ru/crm/deal/details/5228/","https://belberrycrm.bitrix24.ru/crm/deal/details/5228/")</x:f>
      </x:c>
      <x:c r="D897" t="str">
        <x:v>Реанимация</x:v>
      </x:c>
      <x:c r="E897" t="str">
        <x:v>ПРОДАЖИ: Отвалы</x:v>
      </x:c>
      <x:c r="F897" t="str">
        <x:v>Даниил Касаткин</x:v>
      </x:c>
      <x:c r="G897" t="str">
        <x:v>нет</x:v>
      </x:c>
      <x:c r="H897" t="str">
        <x:v>нет</x:v>
      </x:c>
    </x:row>
    <x:row r="898">
      <x:c r="A898" t="str">
        <x:v>5230</x:v>
      </x:c>
      <x:c r="B898" t="str">
        <x:v>vzhidkova.ru</x:v>
      </x:c>
      <x:c r="C898" t="e">
        <x:f>HYPERLINK("https://belberrycrm.bitrix24.ru/crm/deal/details/5230/","https://belberrycrm.bitrix24.ru/crm/deal/details/5230/")</x:f>
      </x:c>
      <x:c r="D898" t="str">
        <x:v>Реанимация</x:v>
      </x:c>
      <x:c r="E898" t="str">
        <x:v>ПРОДАЖИ: Отвалы</x:v>
      </x:c>
      <x:c r="F898" t="str">
        <x:v>Камиль Булатов</x:v>
      </x:c>
      <x:c r="G898" t="str">
        <x:v>нет</x:v>
      </x:c>
      <x:c r="H898" t="str">
        <x:v>нет</x:v>
      </x:c>
    </x:row>
    <x:row r="899">
      <x:c r="A899" t="str">
        <x:v>5232</x:v>
      </x:c>
      <x:c r="B899" t="str">
        <x:v>Ксения (интересует контекстная реклама)</x:v>
      </x:c>
      <x:c r="C899" t="e">
        <x:f>HYPERLINK("https://belberrycrm.bitrix24.ru/crm/deal/details/5232/","https://belberrycrm.bitrix24.ru/crm/deal/details/5232/")</x:f>
      </x:c>
      <x:c r="D899" t="str">
        <x:v>Реанимация</x:v>
      </x:c>
      <x:c r="E899" t="str">
        <x:v>ПРОДАЖИ: Отвалы</x:v>
      </x:c>
      <x:c r="F899" t="str">
        <x:v>Иван Халин</x:v>
      </x:c>
      <x:c r="G899" t="str">
        <x:v>нет</x:v>
      </x:c>
      <x:c r="H899" t="str">
        <x:v>нет</x:v>
      </x:c>
    </x:row>
    <x:row r="900">
      <x:c r="A900" t="str">
        <x:v>5238</x:v>
      </x:c>
      <x:c r="B900" t="str">
        <x:v>curare.clinic</x:v>
      </x:c>
      <x:c r="C900" t="e">
        <x:f>HYPERLINK("https://belberrycrm.bitrix24.ru/crm/deal/details/5238/","https://belberrycrm.bitrix24.ru/crm/deal/details/5238/")</x:f>
      </x:c>
      <x:c r="D900" t="str">
        <x:v>Реанимация</x:v>
      </x:c>
      <x:c r="E900" t="str">
        <x:v>ПРОДАЖИ: Отвалы</x:v>
      </x:c>
      <x:c r="F900" t="str">
        <x:v>Иван Халин</x:v>
      </x:c>
      <x:c r="G900" t="str">
        <x:v>нет</x:v>
      </x:c>
      <x:c r="H900" t="str">
        <x:v>нет</x:v>
      </x:c>
    </x:row>
    <x:row r="901">
      <x:c r="A901" t="str">
        <x:v>5242</x:v>
      </x:c>
      <x:c r="B901" t="str">
        <x:v>dokkaclinic.ru</x:v>
      </x:c>
      <x:c r="C901" t="e">
        <x:f>HYPERLINK("https://belberrycrm.bitrix24.ru/crm/deal/details/5242/","https://belberrycrm.bitrix24.ru/crm/deal/details/5242/")</x:f>
      </x:c>
      <x:c r="D901" t="str">
        <x:v>Реанимация</x:v>
      </x:c>
      <x:c r="E901" t="str">
        <x:v>ПРОДАЖИ: Отвалы</x:v>
      </x:c>
      <x:c r="F901" t="str">
        <x:v>Иван Халин</x:v>
      </x:c>
      <x:c r="G901" t="str">
        <x:v>нет</x:v>
      </x:c>
      <x:c r="H901" t="str">
        <x:v>нет</x:v>
      </x:c>
    </x:row>
    <x:row r="902">
      <x:c r="A902" t="str">
        <x:v>5250</x:v>
      </x:c>
      <x:c r="B902" t="str">
        <x:v>Татьяна (интересует написание статей)</x:v>
      </x:c>
      <x:c r="C902" t="e">
        <x:f>HYPERLINK("https://belberrycrm.bitrix24.ru/crm/deal/details/5250/","https://belberrycrm.bitrix24.ru/crm/deal/details/5250/")</x:f>
      </x:c>
      <x:c r="D902" t="str">
        <x:v>Реанимация</x:v>
      </x:c>
      <x:c r="E902" t="str">
        <x:v>ПРОДАЖИ: Отвалы</x:v>
      </x:c>
      <x:c r="F902" t="str">
        <x:v>Иван Халин</x:v>
      </x:c>
      <x:c r="G902" t="str">
        <x:v>нет</x:v>
      </x:c>
      <x:c r="H902" t="str">
        <x:v>нет</x:v>
      </x:c>
    </x:row>
    <x:row r="903">
      <x:c r="A903" t="str">
        <x:v>5252</x:v>
      </x:c>
      <x:c r="B903" t="str">
        <x:v>Екатерина (интересует разработка сайта для клиники онкологии)</x:v>
      </x:c>
      <x:c r="C903" t="e">
        <x:f>HYPERLINK("https://belberrycrm.bitrix24.ru/crm/deal/details/5252/","https://belberrycrm.bitrix24.ru/crm/deal/details/5252/")</x:f>
      </x:c>
      <x:c r="D903" t="str">
        <x:v>Реанимация</x:v>
      </x:c>
      <x:c r="E903" t="str">
        <x:v>ПРОДАЖИ: Отвалы</x:v>
      </x:c>
      <x:c r="F903" t="str">
        <x:v>Иван Халин</x:v>
      </x:c>
      <x:c r="G903" t="str">
        <x:v>нет</x:v>
      </x:c>
      <x:c r="H903" t="str">
        <x:v>нет</x:v>
      </x:c>
    </x:row>
    <x:row r="904">
      <x:c r="A904" t="str">
        <x:v>5256</x:v>
      </x:c>
      <x:c r="B904" t="str">
        <x:v>umkrtn.ru/lp/</x:v>
      </x:c>
      <x:c r="C904" t="e">
        <x:f>HYPERLINK("https://belberrycrm.bitrix24.ru/crm/deal/details/5256/","https://belberrycrm.bitrix24.ru/crm/deal/details/5256/")</x:f>
      </x:c>
      <x:c r="D904" t="str">
        <x:v>Реанимация</x:v>
      </x:c>
      <x:c r="E904" t="str">
        <x:v>ПРОДАЖИ: Отвалы</x:v>
      </x:c>
      <x:c r="F904" t="str">
        <x:v>Петр Дудин</x:v>
      </x:c>
      <x:c r="G904" t="str">
        <x:v>да</x:v>
      </x:c>
      <x:c r="H904" t="str">
        <x:v>нет</x:v>
      </x:c>
    </x:row>
    <x:row r="905">
      <x:c r="A905" t="str">
        <x:v>5282</x:v>
      </x:c>
      <x:c r="B905" t="str">
        <x:v>Салон красоты Миракл</x:v>
      </x:c>
      <x:c r="C905" t="e">
        <x:f>HYPERLINK("https://belberrycrm.bitrix24.ru/crm/deal/details/5282/","https://belberrycrm.bitrix24.ru/crm/deal/details/5282/")</x:f>
      </x:c>
      <x:c r="D905" t="str">
        <x:v>Реанимация</x:v>
      </x:c>
      <x:c r="E905" t="str">
        <x:v>ПРОДАЖИ: Отвалы</x:v>
      </x:c>
      <x:c r="F905" t="str">
        <x:v>Петр Дудин</x:v>
      </x:c>
      <x:c r="G905" t="str">
        <x:v>да</x:v>
      </x:c>
      <x:c r="H905" t="str">
        <x:v>нет</x:v>
      </x:c>
    </x:row>
    <x:row r="906">
      <x:c r="A906" t="str">
        <x:v>5290</x:v>
      </x:c>
      <x:c r="B906" t="str">
        <x:v>Анастасия Тимофеева (интересует продвижение личного бренда)</x:v>
      </x:c>
      <x:c r="C906" t="e">
        <x:f>HYPERLINK("https://belberrycrm.bitrix24.ru/crm/deal/details/5290/","https://belberrycrm.bitrix24.ru/crm/deal/details/5290/")</x:f>
      </x:c>
      <x:c r="D906" t="str">
        <x:v>Реанимация</x:v>
      </x:c>
      <x:c r="E906" t="str">
        <x:v>ПРОДАЖИ: Отвалы</x:v>
      </x:c>
      <x:c r="F906" t="str">
        <x:v>Иван Халин</x:v>
      </x:c>
      <x:c r="G906" t="str">
        <x:v>нет</x:v>
      </x:c>
      <x:c r="H906" t="str">
        <x:v>нет</x:v>
      </x:c>
    </x:row>
    <x:row r="907">
      <x:c r="A907" t="str">
        <x:v>5302</x:v>
      </x:c>
      <x:c r="B907" t="str">
        <x:v>Татьяна ФудФреш</x:v>
      </x:c>
      <x:c r="C907" t="e">
        <x:f>HYPERLINK("https://belberrycrm.bitrix24.ru/crm/deal/details/5302/","https://belberrycrm.bitrix24.ru/crm/deal/details/5302/")</x:f>
      </x:c>
      <x:c r="D907" t="str">
        <x:v>Реанимация</x:v>
      </x:c>
      <x:c r="E907" t="str">
        <x:v>ПРОДАЖИ: Отвалы</x:v>
      </x:c>
      <x:c r="F907" t="str">
        <x:v>Петр Дудин</x:v>
      </x:c>
      <x:c r="G907" t="str">
        <x:v>нет</x:v>
      </x:c>
      <x:c r="H907" t="str">
        <x:v>нет</x:v>
      </x:c>
    </x:row>
    <x:row r="908">
      <x:c r="A908" t="str">
        <x:v>5306</x:v>
      </x:c>
      <x:c r="B908" t="str">
        <x:v>dr-alekseev.ru</x:v>
      </x:c>
      <x:c r="C908" t="e">
        <x:f>HYPERLINK("https://belberrycrm.bitrix24.ru/crm/deal/details/5306/","https://belberrycrm.bitrix24.ru/crm/deal/details/5306/")</x:f>
      </x:c>
      <x:c r="D908" t="str">
        <x:v>Реанимация</x:v>
      </x:c>
      <x:c r="E908" t="str">
        <x:v>ПРОДАЖИ: Отвалы</x:v>
      </x:c>
      <x:c r="F908" t="str">
        <x:v>Иван Халин</x:v>
      </x:c>
      <x:c r="G908" t="str">
        <x:v>нет</x:v>
      </x:c>
      <x:c r="H908" t="str">
        <x:v>нет</x:v>
      </x:c>
    </x:row>
    <x:row r="909">
      <x:c r="A909" t="str">
        <x:v>5310</x:v>
      </x:c>
      <x:c r="B909" t="str">
        <x:v>dentalfairy.ru</x:v>
      </x:c>
      <x:c r="C909" t="e">
        <x:f>HYPERLINK("https://belberrycrm.bitrix24.ru/crm/deal/details/5310/","https://belberrycrm.bitrix24.ru/crm/deal/details/5310/")</x:f>
      </x:c>
      <x:c r="D909" t="str">
        <x:v>Реанимация</x:v>
      </x:c>
      <x:c r="E909" t="str">
        <x:v>ПРОДАЖИ: Отвалы</x:v>
      </x:c>
      <x:c r="F909" t="str">
        <x:v>Иван Халин</x:v>
      </x:c>
      <x:c r="G909" t="str">
        <x:v>нет</x:v>
      </x:c>
      <x:c r="H909" t="str">
        <x:v>нет</x:v>
      </x:c>
    </x:row>
    <x:row r="910">
      <x:c r="A910" t="str">
        <x:v>5320</x:v>
      </x:c>
      <x:c r="B910" t="str">
        <x:v>Личный бренд Анастасия Дзен</x:v>
      </x:c>
      <x:c r="C910" t="e">
        <x:f>HYPERLINK("https://belberrycrm.bitrix24.ru/crm/deal/details/5320/","https://belberrycrm.bitrix24.ru/crm/deal/details/5320/")</x:f>
      </x:c>
      <x:c r="D910" t="str">
        <x:v>Реанимация</x:v>
      </x:c>
      <x:c r="E910" t="str">
        <x:v>ПРОДАЖИ: Отвалы</x:v>
      </x:c>
      <x:c r="F910" t="str">
        <x:v>Даниил Касаткин</x:v>
      </x:c>
      <x:c r="G910" t="str">
        <x:v>нет</x:v>
      </x:c>
      <x:c r="H910" t="str">
        <x:v>нет</x:v>
      </x:c>
    </x:row>
    <x:row r="911">
      <x:c r="A911" t="str">
        <x:v>5332</x:v>
      </x:c>
      <x:c r="B911" t="str">
        <x:v>www.benran.ru</x:v>
      </x:c>
      <x:c r="C911" t="e">
        <x:f>HYPERLINK("https://belberrycrm.bitrix24.ru/crm/deal/details/5332/","https://belberrycrm.bitrix24.ru/crm/deal/details/5332/")</x:f>
      </x:c>
      <x:c r="D911" t="str">
        <x:v>Реанимация</x:v>
      </x:c>
      <x:c r="E911" t="str">
        <x:v>ПРОДАЖИ: Отвалы</x:v>
      </x:c>
      <x:c r="F911" t="str">
        <x:v>Петр Дудин</x:v>
      </x:c>
      <x:c r="G911" t="str">
        <x:v>да</x:v>
      </x:c>
      <x:c r="H911" t="str">
        <x:v>нет</x:v>
      </x:c>
    </x:row>
    <x:row r="912">
      <x:c r="A912" t="str">
        <x:v>5338</x:v>
      </x:c>
      <x:c r="B912" t="str">
        <x:v>Владимир Риэлтор</x:v>
      </x:c>
      <x:c r="C912" t="e">
        <x:f>HYPERLINK("https://belberrycrm.bitrix24.ru/crm/deal/details/5338/","https://belberrycrm.bitrix24.ru/crm/deal/details/5338/")</x:f>
      </x:c>
      <x:c r="D912" t="str">
        <x:v>Реанимация</x:v>
      </x:c>
      <x:c r="E912" t="str">
        <x:v>ПРОДАЖИ: Отвалы</x:v>
      </x:c>
      <x:c r="F912" t="str">
        <x:v>Петр Дудин</x:v>
      </x:c>
      <x:c r="G912" t="str">
        <x:v>нет</x:v>
      </x:c>
      <x:c r="H912" t="str">
        <x:v>нет</x:v>
      </x:c>
    </x:row>
    <x:row r="913">
      <x:c r="A913" t="str">
        <x:v>5344</x:v>
      </x:c>
      <x:c r="B913" t="str">
        <x:v>dikb6.ru</x:v>
      </x:c>
      <x:c r="C913" t="e">
        <x:f>HYPERLINK("https://belberrycrm.bitrix24.ru/crm/deal/details/5344/","https://belberrycrm.bitrix24.ru/crm/deal/details/5344/")</x:f>
      </x:c>
      <x:c r="D913" t="str">
        <x:v>Реанимация</x:v>
      </x:c>
      <x:c r="E913" t="str">
        <x:v>База для реанимации</x:v>
      </x:c>
      <x:c r="F913" t="str">
        <x:v>Петр Дудин</x:v>
      </x:c>
      <x:c r="G913" t="str">
        <x:v>да</x:v>
      </x:c>
      <x:c r="H913" t="str">
        <x:v>нет</x:v>
      </x:c>
    </x:row>
    <x:row r="914">
      <x:c r="A914" t="str">
        <x:v>5346</x:v>
      </x:c>
      <x:c r="B914" t="str">
        <x:v>linecosmo.ru</x:v>
      </x:c>
      <x:c r="C914" t="e">
        <x:f>HYPERLINK("https://belberrycrm.bitrix24.ru/crm/deal/details/5346/","https://belberrycrm.bitrix24.ru/crm/deal/details/5346/")</x:f>
      </x:c>
      <x:c r="D914" t="str">
        <x:v>Реанимация</x:v>
      </x:c>
      <x:c r="E914" t="str">
        <x:v>ПРОДАЖИ: Отвалы</x:v>
      </x:c>
      <x:c r="F914" t="str">
        <x:v>Иван Халин</x:v>
      </x:c>
      <x:c r="G914" t="str">
        <x:v>нет</x:v>
      </x:c>
      <x:c r="H914" t="str">
        <x:v>нет</x:v>
      </x:c>
    </x:row>
    <x:row r="915">
      <x:c r="A915" t="str">
        <x:v>5348</x:v>
      </x:c>
      <x:c r="B915" t="str">
        <x:v>Лина (Риэлтор)</x:v>
      </x:c>
      <x:c r="C915" t="e">
        <x:f>HYPERLINK("https://belberrycrm.bitrix24.ru/crm/deal/details/5348/","https://belberrycrm.bitrix24.ru/crm/deal/details/5348/")</x:f>
      </x:c>
      <x:c r="D915" t="str">
        <x:v>Реанимация</x:v>
      </x:c>
      <x:c r="E915" t="str">
        <x:v>ПРОДАЖИ: Отвалы</x:v>
      </x:c>
      <x:c r="F915" t="str">
        <x:v>Петр Дудин</x:v>
      </x:c>
      <x:c r="G915" t="str">
        <x:v>нет</x:v>
      </x:c>
      <x:c r="H915" t="str">
        <x:v>нет</x:v>
      </x:c>
    </x:row>
    <x:row r="916">
      <x:c r="A916" t="str">
        <x:v>5352</x:v>
      </x:c>
      <x:c r="B916" t="str">
        <x:v>Доктор плюс - стоматология в СПБ</x:v>
      </x:c>
      <x:c r="C916" t="e">
        <x:f>HYPERLINK("https://belberrycrm.bitrix24.ru/crm/deal/details/5352/","https://belberrycrm.bitrix24.ru/crm/deal/details/5352/")</x:f>
      </x:c>
      <x:c r="D916" t="str">
        <x:v>Реанимация</x:v>
      </x:c>
      <x:c r="E916" t="str">
        <x:v>ПРОДАЖИ: Отвалы</x:v>
      </x:c>
      <x:c r="F916" t="str">
        <x:v>Иван Халин</x:v>
      </x:c>
      <x:c r="G916" t="str">
        <x:v>нет</x:v>
      </x:c>
      <x:c r="H916" t="str">
        <x:v>нет</x:v>
      </x:c>
    </x:row>
    <x:row r="917">
      <x:c r="A917" t="str">
        <x:v>5354</x:v>
      </x:c>
      <x:c r="B917" t="str">
        <x:v>Татьяна Максимова (разработка брендинга для стоматологии)</x:v>
      </x:c>
      <x:c r="C917" t="e">
        <x:f>HYPERLINK("https://belberrycrm.bitrix24.ru/crm/deal/details/5354/","https://belberrycrm.bitrix24.ru/crm/deal/details/5354/")</x:f>
      </x:c>
      <x:c r="D917" t="str">
        <x:v>Реанимация</x:v>
      </x:c>
      <x:c r="E917" t="str">
        <x:v>ПРОДАЖИ: Отвалы</x:v>
      </x:c>
      <x:c r="F917" t="str">
        <x:v>Иван Халин</x:v>
      </x:c>
      <x:c r="G917" t="str">
        <x:v>нет</x:v>
      </x:c>
      <x:c r="H917" t="str">
        <x:v>нет</x:v>
      </x:c>
    </x:row>
    <x:row r="918">
      <x:c r="A918" t="str">
        <x:v>5368</x:v>
      </x:c>
      <x:c r="B918" t="str">
        <x:v>Татонова Серафима Александровна (разработка сайта для стоматологии в СПБ)</x:v>
      </x:c>
      <x:c r="C918" t="e">
        <x:f>HYPERLINK("https://belberrycrm.bitrix24.ru/crm/deal/details/5368/","https://belberrycrm.bitrix24.ru/crm/deal/details/5368/")</x:f>
      </x:c>
      <x:c r="D918" t="str">
        <x:v>Реанимация</x:v>
      </x:c>
      <x:c r="E918" t="str">
        <x:v>ПРОДАЖИ: Отвалы</x:v>
      </x:c>
      <x:c r="F918" t="str">
        <x:v>Иван Халин</x:v>
      </x:c>
      <x:c r="G918" t="str">
        <x:v>нет</x:v>
      </x:c>
      <x:c r="H918" t="str">
        <x:v>нет</x:v>
      </x:c>
    </x:row>
    <x:row r="919">
      <x:c r="A919" t="str">
        <x:v>5372</x:v>
      </x:c>
      <x:c r="B919" t="str">
        <x:v>Аля (интересует разработка сайта и SEO для стоматологии в Новороссийске)</x:v>
      </x:c>
      <x:c r="C919" t="e">
        <x:f>HYPERLINK("https://belberrycrm.bitrix24.ru/crm/deal/details/5372/","https://belberrycrm.bitrix24.ru/crm/deal/details/5372/")</x:f>
      </x:c>
      <x:c r="D919" t="str">
        <x:v>Реанимация</x:v>
      </x:c>
      <x:c r="E919" t="str">
        <x:v>ПРОДАЖИ: Запрос цены</x:v>
      </x:c>
      <x:c r="F919" t="str">
        <x:v>Иван Халин</x:v>
      </x:c>
      <x:c r="G919" t="str">
        <x:v>нет</x:v>
      </x:c>
      <x:c r="H919" t="str">
        <x:v>нет</x:v>
      </x:c>
    </x:row>
    <x:row r="920">
      <x:c r="A920" t="str">
        <x:v>5378</x:v>
      </x:c>
      <x:c r="B920" t="str">
        <x:v>Email | hello@acoola.team от hightime hightime@ispring.com</x:v>
      </x:c>
      <x:c r="C920" t="e">
        <x:f>HYPERLINK("https://belberrycrm.bitrix24.ru/crm/deal/details/5378/","https://belberrycrm.bitrix24.ru/crm/deal/details/5378/")</x:f>
      </x:c>
      <x:c r="D920" t="str">
        <x:v>Реанимация</x:v>
      </x:c>
      <x:c r="E920" t="str">
        <x:v>ПРОДАЖИ: Отвалы</x:v>
      </x:c>
      <x:c r="F920" t="str">
        <x:v>Петр Дудин</x:v>
      </x:c>
      <x:c r="G920" t="str">
        <x:v>нет</x:v>
      </x:c>
      <x:c r="H920" t="str">
        <x:v>нет</x:v>
      </x:c>
    </x:row>
    <x:row r="921">
      <x:c r="A921" t="str">
        <x:v>5380</x:v>
      </x:c>
      <x:c r="B921" t="str">
        <x:v>Анастасия Корнилова (интересует продвижение личного бренда)</x:v>
      </x:c>
      <x:c r="C921" t="e">
        <x:f>HYPERLINK("https://belberrycrm.bitrix24.ru/crm/deal/details/5380/","https://belberrycrm.bitrix24.ru/crm/deal/details/5380/")</x:f>
      </x:c>
      <x:c r="D921" t="str">
        <x:v>Реанимация</x:v>
      </x:c>
      <x:c r="E921" t="str">
        <x:v>ПРОДАЖИ: Отвалы</x:v>
      </x:c>
      <x:c r="F921" t="str">
        <x:v>Иван Халин</x:v>
      </x:c>
      <x:c r="G921" t="str">
        <x:v>нет</x:v>
      </x:c>
      <x:c r="H921" t="str">
        <x:v>нет</x:v>
      </x:c>
    </x:row>
    <x:row r="922">
      <x:c r="A922" t="str">
        <x:v>5390</x:v>
      </x:c>
      <x:c r="B922" t="str">
        <x:v>Гуськов Ростислав Андреевич</x:v>
      </x:c>
      <x:c r="C922" t="e">
        <x:f>HYPERLINK("https://belberrycrm.bitrix24.ru/crm/deal/details/5390/","https://belberrycrm.bitrix24.ru/crm/deal/details/5390/")</x:f>
      </x:c>
      <x:c r="D922" t="str">
        <x:v>Реанимация</x:v>
      </x:c>
      <x:c r="E922" t="str">
        <x:v>ПРОДАЖИ: Отвалы</x:v>
      </x:c>
      <x:c r="F922" t="str">
        <x:v>Петр Дудин</x:v>
      </x:c>
      <x:c r="G922" t="str">
        <x:v>нет</x:v>
      </x:c>
      <x:c r="H922" t="str">
        <x:v>нет</x:v>
      </x:c>
    </x:row>
    <x:row r="923">
      <x:c r="A923" t="str">
        <x:v>5412</x:v>
      </x:c>
      <x:c r="B923" t="str">
        <x:v>lime-zaim.ru</x:v>
      </x:c>
      <x:c r="C923" t="e">
        <x:f>HYPERLINK("https://belberrycrm.bitrix24.ru/crm/deal/details/5412/","https://belberrycrm.bitrix24.ru/crm/deal/details/5412/")</x:f>
      </x:c>
      <x:c r="D923" t="str">
        <x:v>Реанимация</x:v>
      </x:c>
      <x:c r="E923" t="str">
        <x:v>ПРОДАЖИ: Отвалы</x:v>
      </x:c>
      <x:c r="F923" t="str">
        <x:v>Петр Дудин</x:v>
      </x:c>
      <x:c r="G923" t="str">
        <x:v>да</x:v>
      </x:c>
      <x:c r="H923" t="str">
        <x:v>нет</x:v>
      </x:c>
    </x:row>
    <x:row r="924">
      <x:c r="A924" t="str">
        <x:v>5420</x:v>
      </x:c>
      <x:c r="B924" t="str">
        <x:v>gpmu.org</x:v>
      </x:c>
      <x:c r="C924" t="e">
        <x:f>HYPERLINK("https://belberrycrm.bitrix24.ru/crm/deal/details/5420/","https://belberrycrm.bitrix24.ru/crm/deal/details/5420/")</x:f>
      </x:c>
      <x:c r="D924" t="str">
        <x:v>Реанимация</x:v>
      </x:c>
      <x:c r="E924" t="str">
        <x:v>ПРОДАЖИ: Отвалы</x:v>
      </x:c>
      <x:c r="F924" t="str">
        <x:v>Петр Дудин</x:v>
      </x:c>
      <x:c r="G924" t="str">
        <x:v>да</x:v>
      </x:c>
      <x:c r="H924" t="str">
        <x:v>нет</x:v>
      </x:c>
    </x:row>
    <x:row r="925">
      <x:c r="A925" t="str">
        <x:v>5424</x:v>
      </x:c>
      <x:c r="B925" t="str">
        <x:v>Hello-Center.ru</x:v>
      </x:c>
      <x:c r="C925" t="e">
        <x:f>HYPERLINK("https://belberrycrm.bitrix24.ru/crm/deal/details/5424/","https://belberrycrm.bitrix24.ru/crm/deal/details/5424/")</x:f>
      </x:c>
      <x:c r="D925" t="str">
        <x:v>Реанимация</x:v>
      </x:c>
      <x:c r="E925" t="str">
        <x:v>ПРОДАЖИ: Отвалы</x:v>
      </x:c>
      <x:c r="F925" t="str">
        <x:v>Даниил Касаткин</x:v>
      </x:c>
      <x:c r="G925" t="str">
        <x:v>да</x:v>
      </x:c>
      <x:c r="H925" t="str">
        <x:v>нет</x:v>
      </x:c>
    </x:row>
    <x:row r="926">
      <x:c r="A926" t="str">
        <x:v>5428</x:v>
      </x:c>
      <x:c r="B926" t="str">
        <x:v>Турбозайм</x:v>
      </x:c>
      <x:c r="C926" t="e">
        <x:f>HYPERLINK("https://belberrycrm.bitrix24.ru/crm/deal/details/5428/","https://belberrycrm.bitrix24.ru/crm/deal/details/5428/")</x:f>
      </x:c>
      <x:c r="D926" t="str">
        <x:v>Реанимация</x:v>
      </x:c>
      <x:c r="E926" t="str">
        <x:v>ПРОДАЖИ: Отвалы</x:v>
      </x:c>
      <x:c r="F926" t="str">
        <x:v>Петр Дудин</x:v>
      </x:c>
      <x:c r="G926" t="str">
        <x:v>да</x:v>
      </x:c>
      <x:c r="H926" t="str">
        <x:v>нет</x:v>
      </x:c>
    </x:row>
    <x:row r="927">
      <x:c r="A927" t="str">
        <x:v>5430</x:v>
      </x:c>
      <x:c r="B927" t="str">
        <x:v>azizdoctor.ru</x:v>
      </x:c>
      <x:c r="C927" t="e">
        <x:f>HYPERLINK("https://belberrycrm.bitrix24.ru/crm/deal/details/5430/","https://belberrycrm.bitrix24.ru/crm/deal/details/5430/")</x:f>
      </x:c>
      <x:c r="D927" t="str">
        <x:v>Реанимация</x:v>
      </x:c>
      <x:c r="E927" t="str">
        <x:v>ПРОДАЖИ: Отвалы</x:v>
      </x:c>
      <x:c r="F927" t="str">
        <x:v>Иван Халин</x:v>
      </x:c>
      <x:c r="G927" t="str">
        <x:v>нет</x:v>
      </x:c>
      <x:c r="H927" t="str">
        <x:v>нет</x:v>
      </x:c>
    </x:row>
    <x:row r="928">
      <x:c r="A928" t="str">
        <x:v>5444</x:v>
      </x:c>
      <x:c r="B928" t="str">
        <x:v>piskulina.ru SMM</x:v>
      </x:c>
      <x:c r="C928" t="e">
        <x:f>HYPERLINK("https://belberrycrm.bitrix24.ru/crm/deal/details/5444/","https://belberrycrm.bitrix24.ru/crm/deal/details/5444/")</x:f>
      </x:c>
      <x:c r="D928" t="str">
        <x:v>Реанимация</x:v>
      </x:c>
      <x:c r="E928" t="str">
        <x:v>ПРОДАЖИ: Отвалы</x:v>
      </x:c>
      <x:c r="F928" t="str">
        <x:v>Тим Акула</x:v>
      </x:c>
      <x:c r="G928" t="str">
        <x:v>нет</x:v>
      </x:c>
      <x:c r="H928" t="str">
        <x:v>нет</x:v>
      </x:c>
    </x:row>
    <x:row r="929">
      <x:c r="A929" t="str">
        <x:v>5472</x:v>
      </x:c>
      <x:c r="B929" t="str">
        <x:v>sogaz.ru</x:v>
      </x:c>
      <x:c r="C929" t="e">
        <x:f>HYPERLINK("https://belberrycrm.bitrix24.ru/crm/deal/details/5472/","https://belberrycrm.bitrix24.ru/crm/deal/details/5472/")</x:f>
      </x:c>
      <x:c r="D929" t="str">
        <x:v>Реанимация</x:v>
      </x:c>
      <x:c r="E929" t="str">
        <x:v>ПРОДАЖИ: Отвалы</x:v>
      </x:c>
      <x:c r="F929" t="str">
        <x:v>Петр Дудин</x:v>
      </x:c>
      <x:c r="G929" t="str">
        <x:v>нет</x:v>
      </x:c>
      <x:c r="H929" t="str">
        <x:v>нет</x:v>
      </x:c>
    </x:row>
    <x:row r="930">
      <x:c r="A930" t="str">
        <x:v>5482</x:v>
      </x:c>
      <x:c r="B930" t="str">
        <x:v>Музей-заповедник истории Дальнего Востока</x:v>
      </x:c>
      <x:c r="C930" t="e">
        <x:f>HYPERLINK("https://belberrycrm.bitrix24.ru/crm/deal/details/5482/","https://belberrycrm.bitrix24.ru/crm/deal/details/5482/")</x:f>
      </x:c>
      <x:c r="D930" t="str">
        <x:v>Реанимация</x:v>
      </x:c>
      <x:c r="E930" t="str">
        <x:v>ПРОДАЖИ: Отвалы</x:v>
      </x:c>
      <x:c r="F930" t="str">
        <x:v>Петр Дудин</x:v>
      </x:c>
      <x:c r="G930" t="str">
        <x:v>да</x:v>
      </x:c>
      <x:c r="H930" t="str">
        <x:v>нет</x:v>
      </x:c>
    </x:row>
    <x:row r="931">
      <x:c r="A931" t="str">
        <x:v>5492</x:v>
      </x:c>
      <x:c r="B931" t="str">
        <x:v>vpodarok.ru (SMM)</x:v>
      </x:c>
      <x:c r="C931" t="e">
        <x:f>HYPERLINK("https://belberrycrm.bitrix24.ru/crm/deal/details/5492/","https://belberrycrm.bitrix24.ru/crm/deal/details/5492/")</x:f>
      </x:c>
      <x:c r="D931" t="str">
        <x:v>Реанимация</x:v>
      </x:c>
      <x:c r="E931" t="str">
        <x:v>ПРОДАЖИ: Отвалы</x:v>
      </x:c>
      <x:c r="F931" t="str">
        <x:v>Евгения Гордиенко</x:v>
      </x:c>
      <x:c r="G931" t="str">
        <x:v>нет</x:v>
      </x:c>
      <x:c r="H931" t="str">
        <x:v>нет</x:v>
      </x:c>
    </x:row>
    <x:row r="932">
      <x:c r="A932" t="str">
        <x:v>5512</x:v>
      </x:c>
      <x:c r="B932" t="str">
        <x:v>upside-towers.ru</x:v>
      </x:c>
      <x:c r="C932" t="e">
        <x:f>HYPERLINK("https://belberrycrm.bitrix24.ru/crm/deal/details/5512/","https://belberrycrm.bitrix24.ru/crm/deal/details/5512/")</x:f>
      </x:c>
      <x:c r="D932" t="str">
        <x:v>Реанимация</x:v>
      </x:c>
      <x:c r="E932" t="str">
        <x:v>ПРОДАЖИ: Отвалы</x:v>
      </x:c>
      <x:c r="F932" t="str">
        <x:v>Даниил Касаткин</x:v>
      </x:c>
      <x:c r="G932" t="str">
        <x:v>да</x:v>
      </x:c>
      <x:c r="H932" t="str">
        <x:v>нет</x:v>
      </x:c>
    </x:row>
    <x:row r="933">
      <x:c r="A933" t="str">
        <x:v>5524</x:v>
      </x:c>
      <x:c r="B933" t="str">
        <x:v>bistrodengi.ru</x:v>
      </x:c>
      <x:c r="C933" t="e">
        <x:f>HYPERLINK("https://belberrycrm.bitrix24.ru/crm/deal/details/5524/","https://belberrycrm.bitrix24.ru/crm/deal/details/5524/")</x:f>
      </x:c>
      <x:c r="D933" t="str">
        <x:v>Реанимация</x:v>
      </x:c>
      <x:c r="E933" t="str">
        <x:v>ПРОДАЖИ: Отвалы</x:v>
      </x:c>
      <x:c r="F933" t="str">
        <x:v>Владислав Писклов</x:v>
      </x:c>
      <x:c r="G933" t="str">
        <x:v>да</x:v>
      </x:c>
      <x:c r="H933" t="str">
        <x:v>нет</x:v>
      </x:c>
    </x:row>
    <x:row r="934">
      <x:c r="A934" t="str">
        <x:v>5542</x:v>
      </x:c>
      <x:c r="B934" t="str">
        <x:v>Гуливер (Smm)</x:v>
      </x:c>
      <x:c r="C934" t="e">
        <x:f>HYPERLINK("https://belberrycrm.bitrix24.ru/crm/deal/details/5542/","https://belberrycrm.bitrix24.ru/crm/deal/details/5542/")</x:f>
      </x:c>
      <x:c r="D934" t="str">
        <x:v>Реанимация</x:v>
      </x:c>
      <x:c r="E934" t="str">
        <x:v>ПРОДАЖИ: Отвалы</x:v>
      </x:c>
      <x:c r="F934" t="str">
        <x:v>Петр Дудин</x:v>
      </x:c>
      <x:c r="G934" t="str">
        <x:v>нет</x:v>
      </x:c>
      <x:c r="H934" t="str">
        <x:v>нет</x:v>
      </x:c>
    </x:row>
    <x:row r="935">
      <x:c r="A935" t="str">
        <x:v>5554</x:v>
      </x:c>
      <x:c r="B935" t="str">
        <x:v>Климат Контроль</x:v>
      </x:c>
      <x:c r="C935" t="e">
        <x:f>HYPERLINK("https://belberrycrm.bitrix24.ru/crm/deal/details/5554/","https://belberrycrm.bitrix24.ru/crm/deal/details/5554/")</x:f>
      </x:c>
      <x:c r="D935" t="str">
        <x:v>Реанимация</x:v>
      </x:c>
      <x:c r="E935" t="str">
        <x:v>ПРОДАЖИ: Отвалы</x:v>
      </x:c>
      <x:c r="F935" t="str">
        <x:v>Петр Дудин</x:v>
      </x:c>
      <x:c r="G935" t="str">
        <x:v>да</x:v>
      </x:c>
      <x:c r="H935" t="str">
        <x:v>нет</x:v>
      </x:c>
    </x:row>
    <x:row r="936">
      <x:c r="A936" t="str">
        <x:v>5600</x:v>
      </x:c>
      <x:c r="B936" t="str">
        <x:v>colibri-clinik.ru</x:v>
      </x:c>
      <x:c r="C936" t="e">
        <x:f>HYPERLINK("https://belberrycrm.bitrix24.ru/crm/deal/details/5600/","https://belberrycrm.bitrix24.ru/crm/deal/details/5600/")</x:f>
      </x:c>
      <x:c r="D936" t="str">
        <x:v>Реанимация</x:v>
      </x:c>
      <x:c r="E936" t="str">
        <x:v>ПРОДАЖИ: Отвалы</x:v>
      </x:c>
      <x:c r="F936" t="str">
        <x:v>Петр Дудин</x:v>
      </x:c>
      <x:c r="G936" t="str">
        <x:v>да</x:v>
      </x:c>
      <x:c r="H936" t="str">
        <x:v>нет</x:v>
      </x:c>
    </x:row>
    <x:row r="937">
      <x:c r="A937" t="str">
        <x:v>5604</x:v>
      </x:c>
      <x:c r="B937" t="str">
        <x:v>evromedika.ru</x:v>
      </x:c>
      <x:c r="C937" t="e">
        <x:f>HYPERLINK("https://belberrycrm.bitrix24.ru/crm/deal/details/5604/","https://belberrycrm.bitrix24.ru/crm/deal/details/5604/")</x:f>
      </x:c>
      <x:c r="D937" t="str">
        <x:v>Реанимация</x:v>
      </x:c>
      <x:c r="E937" t="str">
        <x:v>ПРОДАЖИ: Не сейчас</x:v>
      </x:c>
      <x:c r="F937" t="str">
        <x:v>Петр Дудин</x:v>
      </x:c>
      <x:c r="G937" t="str">
        <x:v>да</x:v>
      </x:c>
      <x:c r="H937" t="str">
        <x:v>нет</x:v>
      </x:c>
    </x:row>
    <x:row r="938">
      <x:c r="A938" t="str">
        <x:v>5606</x:v>
      </x:c>
      <x:c r="B938" t="str">
        <x:v>Диана (входящая заявка)</x:v>
      </x:c>
      <x:c r="C938" t="e">
        <x:f>HYPERLINK("https://belberrycrm.bitrix24.ru/crm/deal/details/5606/","https://belberrycrm.bitrix24.ru/crm/deal/details/5606/")</x:f>
      </x:c>
      <x:c r="D938" t="str">
        <x:v>Реанимация</x:v>
      </x:c>
      <x:c r="E938" t="str">
        <x:v>ПРОДАЖИ: Отвалы</x:v>
      </x:c>
      <x:c r="F938" t="str">
        <x:v>Иван Халин</x:v>
      </x:c>
      <x:c r="G938" t="str">
        <x:v>нет</x:v>
      </x:c>
      <x:c r="H938" t="str">
        <x:v>нет</x:v>
      </x:c>
    </x:row>
    <x:row r="939">
      <x:c r="A939" t="str">
        <x:v>5618</x:v>
      </x:c>
      <x:c r="B939" t="str">
        <x:v>Андрей Киргиз</x:v>
      </x:c>
      <x:c r="C939" t="e">
        <x:f>HYPERLINK("https://belberrycrm.bitrix24.ru/crm/deal/details/5618/","https://belberrycrm.bitrix24.ru/crm/deal/details/5618/")</x:f>
      </x:c>
      <x:c r="D939" t="str">
        <x:v>Реанимация</x:v>
      </x:c>
      <x:c r="E939" t="str">
        <x:v>ПРОДАЖИ: Отвалы</x:v>
      </x:c>
      <x:c r="F939" t="str">
        <x:v>Владислав Писклов</x:v>
      </x:c>
      <x:c r="G939" t="str">
        <x:v>нет</x:v>
      </x:c>
      <x:c r="H939" t="str">
        <x:v>нет</x:v>
      </x:c>
    </x:row>
    <x:row r="940">
      <x:c r="A940" t="str">
        <x:v>5632</x:v>
      </x:c>
      <x:c r="B940" t="str">
        <x:v>bspol.ru</x:v>
      </x:c>
      <x:c r="C940" t="e">
        <x:f>HYPERLINK("https://belberrycrm.bitrix24.ru/crm/deal/details/5632/","https://belberrycrm.bitrix24.ru/crm/deal/details/5632/")</x:f>
      </x:c>
      <x:c r="D940" t="str">
        <x:v>Реанимация</x:v>
      </x:c>
      <x:c r="E940" t="str">
        <x:v>ПРОДАЖИ: Отвалы</x:v>
      </x:c>
      <x:c r="F940" t="str">
        <x:v>Евгения Гордиенко</x:v>
      </x:c>
      <x:c r="G940" t="str">
        <x:v>нет</x:v>
      </x:c>
      <x:c r="H940" t="str">
        <x:v>нет</x:v>
      </x:c>
    </x:row>
    <x:row r="941">
      <x:c r="A941" t="str">
        <x:v>5644</x:v>
      </x:c>
      <x:c r="B941" t="str">
        <x:v>Кофейня "Настроение"</x:v>
      </x:c>
      <x:c r="C941" t="e">
        <x:f>HYPERLINK("https://belberrycrm.bitrix24.ru/crm/deal/details/5644/","https://belberrycrm.bitrix24.ru/crm/deal/details/5644/")</x:f>
      </x:c>
      <x:c r="D941" t="str">
        <x:v>Реанимация</x:v>
      </x:c>
      <x:c r="E941" t="str">
        <x:v>ПРОДАЖИ: Отвалы</x:v>
      </x:c>
      <x:c r="F941" t="str">
        <x:v>Петр Дудин</x:v>
      </x:c>
      <x:c r="G941" t="str">
        <x:v>нет</x:v>
      </x:c>
      <x:c r="H941" t="str">
        <x:v>нет</x:v>
      </x:c>
    </x:row>
    <x:row r="942">
      <x:c r="A942" t="str">
        <x:v>5660</x:v>
      </x:c>
      <x:c r="B942" t="str">
        <x:v>Светлана (хочет развивать свой личный бренд врача)</x:v>
      </x:c>
      <x:c r="C942" t="e">
        <x:f>HYPERLINK("https://belberrycrm.bitrix24.ru/crm/deal/details/5660/","https://belberrycrm.bitrix24.ru/crm/deal/details/5660/")</x:f>
      </x:c>
      <x:c r="D942" t="str">
        <x:v>Реанимация</x:v>
      </x:c>
      <x:c r="E942" t="str">
        <x:v>ПРОДАЖИ: Отвалы</x:v>
      </x:c>
      <x:c r="F942" t="str">
        <x:v>Петр Дудин</x:v>
      </x:c>
      <x:c r="G942" t="str">
        <x:v>нет</x:v>
      </x:c>
      <x:c r="H942" t="str">
        <x:v>нет</x:v>
      </x:c>
    </x:row>
    <x:row r="943">
      <x:c r="A943" t="str">
        <x:v>5670</x:v>
      </x:c>
      <x:c r="B943" t="str">
        <x:v>Ольга (интересует продвижение медицинского оборудования)</x:v>
      </x:c>
      <x:c r="C943" t="e">
        <x:f>HYPERLINK("https://belberrycrm.bitrix24.ru/crm/deal/details/5670/","https://belberrycrm.bitrix24.ru/crm/deal/details/5670/")</x:f>
      </x:c>
      <x:c r="D943" t="str">
        <x:v>Реанимация</x:v>
      </x:c>
      <x:c r="E943" t="str">
        <x:v>ПРОДАЖИ: Отвалы</x:v>
      </x:c>
      <x:c r="F943" t="str">
        <x:v>Иван Халин</x:v>
      </x:c>
      <x:c r="G943" t="str">
        <x:v>нет</x:v>
      </x:c>
      <x:c r="H943" t="str">
        <x:v>нет</x:v>
      </x:c>
    </x:row>
    <x:row r="944">
      <x:c r="A944" t="str">
        <x:v>5678</x:v>
      </x:c>
      <x:c r="B944" t="str">
        <x:v>ИП Александра Бахмутова</x:v>
      </x:c>
      <x:c r="C944" t="e">
        <x:f>HYPERLINK("https://belberrycrm.bitrix24.ru/crm/deal/details/5678/","https://belberrycrm.bitrix24.ru/crm/deal/details/5678/")</x:f>
      </x:c>
      <x:c r="D944" t="str">
        <x:v>Реанимация</x:v>
      </x:c>
      <x:c r="E944" t="str">
        <x:v>ПРОДАЖИ: Отвалы</x:v>
      </x:c>
      <x:c r="F944" t="str">
        <x:v>Петр Дудин</x:v>
      </x:c>
      <x:c r="G944" t="str">
        <x:v>нет</x:v>
      </x:c>
      <x:c r="H944" t="str">
        <x:v>нет</x:v>
      </x:c>
    </x:row>
    <x:row r="945">
      <x:c r="A945" t="str">
        <x:v>5680</x:v>
      </x:c>
      <x:c r="B945" t="str">
        <x:v>Татьяна (Разработка)</x:v>
      </x:c>
      <x:c r="C945" t="e">
        <x:f>HYPERLINK("https://belberrycrm.bitrix24.ru/crm/deal/details/5680/","https://belberrycrm.bitrix24.ru/crm/deal/details/5680/")</x:f>
      </x:c>
      <x:c r="D945" t="str">
        <x:v>Реанимация</x:v>
      </x:c>
      <x:c r="E945" t="str">
        <x:v>ПРОДАЖИ: Отвалы</x:v>
      </x:c>
      <x:c r="F945" t="str">
        <x:v>Петр Дудин</x:v>
      </x:c>
      <x:c r="G945" t="str">
        <x:v>нет</x:v>
      </x:c>
      <x:c r="H945" t="str">
        <x:v>нет</x:v>
      </x:c>
    </x:row>
    <x:row r="946">
      <x:c r="A946" t="str">
        <x:v>5682</x:v>
      </x:c>
      <x:c r="B946" t="str">
        <x:v>цфмн.рф</x:v>
      </x:c>
      <x:c r="C946" t="e">
        <x:f>HYPERLINK("https://belberrycrm.bitrix24.ru/crm/deal/details/5682/","https://belberrycrm.bitrix24.ru/crm/deal/details/5682/")</x:f>
      </x:c>
      <x:c r="D946" t="str">
        <x:v>Реанимация</x:v>
      </x:c>
      <x:c r="E946" t="str">
        <x:v>ПРОДАЖИ: Отвалы</x:v>
      </x:c>
      <x:c r="F946" t="str">
        <x:v>Петр Дудин</x:v>
      </x:c>
      <x:c r="G946" t="str">
        <x:v>да</x:v>
      </x:c>
      <x:c r="H946" t="str">
        <x:v>нет</x:v>
      </x:c>
    </x:row>
    <x:row r="947">
      <x:c r="A947" t="str">
        <x:v>5842</x:v>
      </x:c>
      <x:c r="B947" t="str">
        <x:v>ta4ki-ta4ki.ru</x:v>
      </x:c>
      <x:c r="C947" t="e">
        <x:f>HYPERLINK("https://belberrycrm.bitrix24.ru/crm/deal/details/5842/","https://belberrycrm.bitrix24.ru/crm/deal/details/5842/")</x:f>
      </x:c>
      <x:c r="D947" t="str">
        <x:v>Реанимация</x:v>
      </x:c>
      <x:c r="E947" t="str">
        <x:v>ПРОДАЖИ: Отвалы</x:v>
      </x:c>
      <x:c r="F947" t="str">
        <x:v>Александр Голядкин</x:v>
      </x:c>
      <x:c r="G947" t="str">
        <x:v>нет</x:v>
      </x:c>
      <x:c r="H947" t="str">
        <x:v>нет</x:v>
      </x:c>
    </x:row>
    <x:row r="948">
      <x:c r="A948" t="str">
        <x:v>5858</x:v>
      </x:c>
      <x:c r="B948" t="str">
        <x:v>irrico.ru</x:v>
      </x:c>
      <x:c r="C948" t="e">
        <x:f>HYPERLINK("https://belberrycrm.bitrix24.ru/crm/deal/details/5858/","https://belberrycrm.bitrix24.ru/crm/deal/details/5858/")</x:f>
      </x:c>
      <x:c r="D948" t="str">
        <x:v>Реанимация</x:v>
      </x:c>
      <x:c r="E948" t="str">
        <x:v>ПРОДАЖИ: Отвалы</x:v>
      </x:c>
      <x:c r="F948" t="str">
        <x:v>Петр Дудин</x:v>
      </x:c>
      <x:c r="G948" t="str">
        <x:v>нет</x:v>
      </x:c>
      <x:c r="H948" t="str">
        <x:v>нет</x:v>
      </x:c>
    </x:row>
    <x:row r="949">
      <x:c r="A949" t="str">
        <x:v>5866</x:v>
      </x:c>
      <x:c r="B949" t="str">
        <x:v>t.me/cvetykrasnodaropt</x:v>
      </x:c>
      <x:c r="C949" t="e">
        <x:f>HYPERLINK("https://belberrycrm.bitrix24.ru/crm/deal/details/5866/","https://belberrycrm.bitrix24.ru/crm/deal/details/5866/")</x:f>
      </x:c>
      <x:c r="D949" t="str">
        <x:v>Реанимация</x:v>
      </x:c>
      <x:c r="E949" t="str">
        <x:v>ПРОДАЖИ: Отвалы</x:v>
      </x:c>
      <x:c r="F949" t="str">
        <x:v>Мария Ус</x:v>
      </x:c>
      <x:c r="G949" t="str">
        <x:v>нет</x:v>
      </x:c>
      <x:c r="H949" t="str">
        <x:v>нет</x:v>
      </x:c>
    </x:row>
    <x:row r="950">
      <x:c r="A950" t="str">
        <x:v>5878</x:v>
      </x:c>
      <x:c r="B950" t="str">
        <x:v>koreana.rest</x:v>
      </x:c>
      <x:c r="C950" t="e">
        <x:f>HYPERLINK("https://belberrycrm.bitrix24.ru/crm/deal/details/5878/","https://belberrycrm.bitrix24.ru/crm/deal/details/5878/")</x:f>
      </x:c>
      <x:c r="D950" t="str">
        <x:v>Реанимация</x:v>
      </x:c>
      <x:c r="E950" t="str">
        <x:v>ПРОДАЖИ: Отвалы</x:v>
      </x:c>
      <x:c r="F950" t="str">
        <x:v>Мария Ус</x:v>
      </x:c>
      <x:c r="G950" t="str">
        <x:v>да</x:v>
      </x:c>
      <x:c r="H950" t="str">
        <x:v>нет</x:v>
      </x:c>
    </x:row>
    <x:row r="951">
      <x:c r="A951" t="str">
        <x:v>5898</x:v>
      </x:c>
      <x:c r="B951" t="str">
        <x:v>olinas.ru</x:v>
      </x:c>
      <x:c r="C951" t="e">
        <x:f>HYPERLINK("https://belberrycrm.bitrix24.ru/crm/deal/details/5898/","https://belberrycrm.bitrix24.ru/crm/deal/details/5898/")</x:f>
      </x:c>
      <x:c r="D951" t="str">
        <x:v>Реанимация</x:v>
      </x:c>
      <x:c r="E951" t="str">
        <x:v>ПРОДАЖИ: Отвалы</x:v>
      </x:c>
      <x:c r="F951" t="str">
        <x:v>Александр Голядкин</x:v>
      </x:c>
      <x:c r="G951" t="str">
        <x:v>да</x:v>
      </x:c>
      <x:c r="H951" t="str">
        <x:v>нет</x:v>
      </x:c>
    </x:row>
    <x:row r="952">
      <x:c r="A952" t="str">
        <x:v>5920</x:v>
      </x:c>
      <x:c r="B952" t="str">
        <x:v>divineray.pro</x:v>
      </x:c>
      <x:c r="C952" t="e">
        <x:f>HYPERLINK("https://belberrycrm.bitrix24.ru/crm/deal/details/5920/","https://belberrycrm.bitrix24.ru/crm/deal/details/5920/")</x:f>
      </x:c>
      <x:c r="D952" t="str">
        <x:v>Реанимация</x:v>
      </x:c>
      <x:c r="E952" t="str">
        <x:v>ПРОДАЖИ: Отвалы</x:v>
      </x:c>
      <x:c r="F952" t="str">
        <x:v>Петр Дудин</x:v>
      </x:c>
      <x:c r="G952" t="str">
        <x:v>нет</x:v>
      </x:c>
      <x:c r="H952" t="str">
        <x:v>нет</x:v>
      </x:c>
    </x:row>
    <x:row r="953">
      <x:c r="A953" t="str">
        <x:v>5922</x:v>
      </x:c>
      <x:c r="B953" t="str">
        <x:v>verticalcert.ru</x:v>
      </x:c>
      <x:c r="C953" t="e">
        <x:f>HYPERLINK("https://belberrycrm.bitrix24.ru/crm/deal/details/5922/","https://belberrycrm.bitrix24.ru/crm/deal/details/5922/")</x:f>
      </x:c>
      <x:c r="D953" t="str">
        <x:v>Реанимация</x:v>
      </x:c>
      <x:c r="E953" t="str">
        <x:v>ПРОДАЖИ: Отвалы</x:v>
      </x:c>
      <x:c r="F953" t="str">
        <x:v>Мария Ус</x:v>
      </x:c>
      <x:c r="G953" t="str">
        <x:v>нет</x:v>
      </x:c>
      <x:c r="H953" t="str">
        <x:v>нет</x:v>
      </x:c>
    </x:row>
    <x:row r="954">
      <x:c r="A954" t="str">
        <x:v>5932</x:v>
      </x:c>
      <x:c r="B954" t="str">
        <x:v>globaldrive.ru</x:v>
      </x:c>
      <x:c r="C954" t="e">
        <x:f>HYPERLINK("https://belberrycrm.bitrix24.ru/crm/deal/details/5932/","https://belberrycrm.bitrix24.ru/crm/deal/details/5932/")</x:f>
      </x:c>
      <x:c r="D954" t="str">
        <x:v>Реанимация</x:v>
      </x:c>
      <x:c r="E954" t="str">
        <x:v>ПРОДАЖИ: Отвалы</x:v>
      </x:c>
      <x:c r="F954" t="str">
        <x:v>Петр Дудин</x:v>
      </x:c>
      <x:c r="G954" t="str">
        <x:v>нет</x:v>
      </x:c>
      <x:c r="H954" t="str">
        <x:v>нет</x:v>
      </x:c>
    </x:row>
    <x:row r="955">
      <x:c r="A955" t="str">
        <x:v>5958</x:v>
      </x:c>
      <x:c r="B955" t="str">
        <x:v>Звонок от 79779775140</x:v>
      </x:c>
      <x:c r="C955" t="e">
        <x:f>HYPERLINK("https://belberrycrm.bitrix24.ru/crm/deal/details/5958/","https://belberrycrm.bitrix24.ru/crm/deal/details/5958/")</x:f>
      </x:c>
      <x:c r="D955" t="str">
        <x:v>Реанимация</x:v>
      </x:c>
      <x:c r="E955" t="str">
        <x:v>ПРОДАЖИ: Отвалы</x:v>
      </x:c>
      <x:c r="F955" t="str">
        <x:v>Петр Дудин</x:v>
      </x:c>
      <x:c r="G955" t="str">
        <x:v>нет</x:v>
      </x:c>
      <x:c r="H955" t="str">
        <x:v>нет</x:v>
      </x:c>
    </x:row>
    <x:row r="956">
      <x:c r="A956" t="str">
        <x:v>6024</x:v>
      </x:c>
      <x:c r="B956" t="str">
        <x:v>decofloors.ru</x:v>
      </x:c>
      <x:c r="C956" t="e">
        <x:f>HYPERLINK("https://belberrycrm.bitrix24.ru/crm/deal/details/6024/","https://belberrycrm.bitrix24.ru/crm/deal/details/6024/")</x:f>
      </x:c>
      <x:c r="D956" t="str">
        <x:v>Реанимация</x:v>
      </x:c>
      <x:c r="E956" t="str">
        <x:v>ПРОДАЖИ: Отвалы</x:v>
      </x:c>
      <x:c r="F956" t="str">
        <x:v>Евгения Гордиенко</x:v>
      </x:c>
      <x:c r="G956" t="str">
        <x:v>нет</x:v>
      </x:c>
      <x:c r="H956" t="str">
        <x:v>нет</x:v>
      </x:c>
    </x:row>
    <x:row r="957">
      <x:c r="A957" t="str">
        <x:v>7056</x:v>
      </x:c>
      <x:c r="B957" t="str">
        <x:v>Никита</x:v>
      </x:c>
      <x:c r="C957" t="e">
        <x:f>HYPERLINK("https://belberrycrm.bitrix24.ru/crm/deal/details/7056/","https://belberrycrm.bitrix24.ru/crm/deal/details/7056/")</x:f>
      </x:c>
      <x:c r="D957" t="str">
        <x:v>Реанимация</x:v>
      </x:c>
      <x:c r="E957" t="str">
        <x:v>ПРОДАЖИ: Отвалы</x:v>
      </x:c>
      <x:c r="F957" t="str">
        <x:v>Петр Дудин</x:v>
      </x:c>
      <x:c r="G957" t="str">
        <x:v>нет</x:v>
      </x:c>
      <x:c r="H957" t="str">
        <x:v>нет</x:v>
      </x:c>
    </x:row>
    <x:row r="958">
      <x:c r="A958" t="str">
        <x:v>7060</x:v>
      </x:c>
      <x:c r="B958" t="str">
        <x:v>Инфопортал о медицине</x:v>
      </x:c>
      <x:c r="C958" t="e">
        <x:f>HYPERLINK("https://belberrycrm.bitrix24.ru/crm/deal/details/7060/","https://belberrycrm.bitrix24.ru/crm/deal/details/7060/")</x:f>
      </x:c>
      <x:c r="D958" t="str">
        <x:v>Реанимация</x:v>
      </x:c>
      <x:c r="E958" t="str">
        <x:v>ПРОДАЖИ: Отвалы</x:v>
      </x:c>
      <x:c r="F958" t="str">
        <x:v>Мария Ус</x:v>
      </x:c>
      <x:c r="G958" t="str">
        <x:v>нет</x:v>
      </x:c>
      <x:c r="H958" t="str">
        <x:v>нет</x:v>
      </x:c>
    </x:row>
    <x:row r="959">
      <x:c r="A959" t="str">
        <x:v>7062</x:v>
      </x:c>
      <x:c r="B959" t="str">
        <x:v>neurolab.ru</x:v>
      </x:c>
      <x:c r="C959" t="e">
        <x:f>HYPERLINK("https://belberrycrm.bitrix24.ru/crm/deal/details/7062/","https://belberrycrm.bitrix24.ru/crm/deal/details/7062/")</x:f>
      </x:c>
      <x:c r="D959" t="str">
        <x:v>Реанимация</x:v>
      </x:c>
      <x:c r="E959" t="str">
        <x:v>ПРОДАЖИ: Отвалы</x:v>
      </x:c>
      <x:c r="F959" t="str">
        <x:v>Мария Ус</x:v>
      </x:c>
      <x:c r="G959" t="str">
        <x:v>да</x:v>
      </x:c>
      <x:c r="H959" t="str">
        <x:v>нет</x:v>
      </x:c>
    </x:row>
    <x:row r="960">
      <x:c r="A960" t="str">
        <x:v>7228</x:v>
      </x:c>
      <x:c r="B960" t="str">
        <x:v>sofitlight.ru</x:v>
      </x:c>
      <x:c r="C960" t="e">
        <x:f>HYPERLINK("https://belberrycrm.bitrix24.ru/crm/deal/details/7228/","https://belberrycrm.bitrix24.ru/crm/deal/details/7228/")</x:f>
      </x:c>
      <x:c r="D960" t="str">
        <x:v>Реанимация</x:v>
      </x:c>
      <x:c r="E960" t="str">
        <x:v>ПРОДАЖИ: Отвалы</x:v>
      </x:c>
      <x:c r="F960" t="str">
        <x:v>Петр Дудин</x:v>
      </x:c>
      <x:c r="G960" t="str">
        <x:v>нет</x:v>
      </x:c>
      <x:c r="H960" t="str">
        <x:v>нет</x:v>
      </x:c>
    </x:row>
    <x:row r="961">
      <x:c r="A961" t="str">
        <x:v>7404</x:v>
      </x:c>
      <x:c r="B961" t="str">
        <x:v>tekta.ru</x:v>
      </x:c>
      <x:c r="C961" t="e">
        <x:f>HYPERLINK("https://belberrycrm.bitrix24.ru/crm/deal/details/7404/","https://belberrycrm.bitrix24.ru/crm/deal/details/7404/")</x:f>
      </x:c>
      <x:c r="D961" t="str">
        <x:v>Реанимация</x:v>
      </x:c>
      <x:c r="E961" t="str">
        <x:v>ПРОДАЖИ: Отвалы</x:v>
      </x:c>
      <x:c r="F961" t="str">
        <x:v>Александр Голядкин</x:v>
      </x:c>
      <x:c r="G961" t="str">
        <x:v>да</x:v>
      </x:c>
      <x:c r="H961" t="str">
        <x:v>нет</x:v>
      </x:c>
    </x:row>
    <x:row r="962">
      <x:c r="A962" t="str">
        <x:v>7420</x:v>
      </x:c>
      <x:c r="B962" t="str">
        <x:v>ldsp-market.ru</x:v>
      </x:c>
      <x:c r="C962" t="e">
        <x:f>HYPERLINK("https://belberrycrm.bitrix24.ru/crm/deal/details/7420/","https://belberrycrm.bitrix24.ru/crm/deal/details/7420/")</x:f>
      </x:c>
      <x:c r="D962" t="str">
        <x:v>Реанимация</x:v>
      </x:c>
      <x:c r="E962" t="str">
        <x:v>ПРОДАЖИ: Отвалы</x:v>
      </x:c>
      <x:c r="F962" t="str">
        <x:v>Мария Ус</x:v>
      </x:c>
      <x:c r="G962" t="str">
        <x:v>нет</x:v>
      </x:c>
      <x:c r="H962" t="str">
        <x:v>нет</x:v>
      </x:c>
    </x:row>
    <x:row r="963">
      <x:c r="A963" t="str">
        <x:v>7422</x:v>
      </x:c>
      <x:c r="B963" t="str">
        <x:v>avicenadoctor.ru</x:v>
      </x:c>
      <x:c r="C963" t="e">
        <x:f>HYPERLINK("https://belberrycrm.bitrix24.ru/crm/deal/details/7422/","https://belberrycrm.bitrix24.ru/crm/deal/details/7422/")</x:f>
      </x:c>
      <x:c r="D963" t="str">
        <x:v>Реанимация</x:v>
      </x:c>
      <x:c r="E963" t="str">
        <x:v>ПРОДАЖИ: Отвалы</x:v>
      </x:c>
      <x:c r="F963" t="str">
        <x:v>Петр Дудин</x:v>
      </x:c>
      <x:c r="G963" t="str">
        <x:v>нет</x:v>
      </x:c>
      <x:c r="H963" t="str">
        <x:v>нет</x:v>
      </x:c>
    </x:row>
    <x:row r="964">
      <x:c r="A964" t="str">
        <x:v>7428</x:v>
      </x:c>
      <x:c r="B964" t="str">
        <x:v>rimc-rambam.ru</x:v>
      </x:c>
      <x:c r="C964" t="e">
        <x:f>HYPERLINK("https://belberrycrm.bitrix24.ru/crm/deal/details/7428/","https://belberrycrm.bitrix24.ru/crm/deal/details/7428/")</x:f>
      </x:c>
      <x:c r="D964" t="str">
        <x:v>Реанимация</x:v>
      </x:c>
      <x:c r="E964" t="str">
        <x:v>ПРОДАЖИ: Отвалы</x:v>
      </x:c>
      <x:c r="F964" t="str">
        <x:v>Александр Голядкин</x:v>
      </x:c>
      <x:c r="G964" t="str">
        <x:v>нет</x:v>
      </x:c>
      <x:c r="H964" t="str">
        <x:v>нет</x:v>
      </x:c>
    </x:row>
    <x:row r="965">
      <x:c r="A965" t="str">
        <x:v>7448</x:v>
      </x:c>
      <x:c r="B965" t="str">
        <x:v>Волкова Эмина Славовна</x:v>
      </x:c>
      <x:c r="C965" t="e">
        <x:f>HYPERLINK("https://belberrycrm.bitrix24.ru/crm/deal/details/7448/","https://belberrycrm.bitrix24.ru/crm/deal/details/7448/")</x:f>
      </x:c>
      <x:c r="D965" t="str">
        <x:v>Реанимация</x:v>
      </x:c>
      <x:c r="E965" t="str">
        <x:v>ПРОДАЖИ: Отвалы</x:v>
      </x:c>
      <x:c r="F965" t="str">
        <x:v>Мария Ус</x:v>
      </x:c>
      <x:c r="G965" t="str">
        <x:v>нет</x:v>
      </x:c>
      <x:c r="H965" t="str">
        <x:v>нет</x:v>
      </x:c>
    </x:row>
    <x:row r="966">
      <x:c r="A966" t="str">
        <x:v>7492</x:v>
      </x:c>
      <x:c r="B966" t="str">
        <x:v>stopartroz.ru</x:v>
      </x:c>
      <x:c r="C966" t="e">
        <x:f>HYPERLINK("https://belberrycrm.bitrix24.ru/crm/deal/details/7492/","https://belberrycrm.bitrix24.ru/crm/deal/details/7492/")</x:f>
      </x:c>
      <x:c r="D966" t="str">
        <x:v>Реанимация</x:v>
      </x:c>
      <x:c r="E966" t="str">
        <x:v>ПРОДАЖИ: Отвалы</x:v>
      </x:c>
      <x:c r="F966" t="str">
        <x:v>Мария Ус</x:v>
      </x:c>
      <x:c r="G966" t="str">
        <x:v>нет</x:v>
      </x:c>
      <x:c r="H966" t="str">
        <x:v>нет</x:v>
      </x:c>
    </x:row>
    <x:row r="967">
      <x:c r="A967" t="str">
        <x:v>7518</x:v>
      </x:c>
      <x:c r="B967" t="str">
        <x:v>dstitov.ru</x:v>
      </x:c>
      <x:c r="C967" t="e">
        <x:f>HYPERLINK("https://belberrycrm.bitrix24.ru/crm/deal/details/7518/","https://belberrycrm.bitrix24.ru/crm/deal/details/7518/")</x:f>
      </x:c>
      <x:c r="D967" t="str">
        <x:v>Реанимация</x:v>
      </x:c>
      <x:c r="E967" t="str">
        <x:v>ПРОДАЖИ: Отвалы</x:v>
      </x:c>
      <x:c r="F967" t="str">
        <x:v>Александр Голядкин</x:v>
      </x:c>
      <x:c r="G967" t="str">
        <x:v>да</x:v>
      </x:c>
      <x:c r="H967" t="str">
        <x:v>нет</x:v>
      </x:c>
    </x:row>
    <x:row r="968">
      <x:c r="A968" t="str">
        <x:v>7524</x:v>
      </x:c>
      <x:c r="B968" t="str">
        <x:v>rasali-clinic.com</x:v>
      </x:c>
      <x:c r="C968" t="e">
        <x:f>HYPERLINK("https://belberrycrm.bitrix24.ru/crm/deal/details/7524/","https://belberrycrm.bitrix24.ru/crm/deal/details/7524/")</x:f>
      </x:c>
      <x:c r="D968" t="str">
        <x:v>Реанимация</x:v>
      </x:c>
      <x:c r="E968" t="str">
        <x:v>ПРОДАЖИ: Отвалы</x:v>
      </x:c>
      <x:c r="F968" t="str">
        <x:v>Петр Дудин</x:v>
      </x:c>
      <x:c r="G968" t="str">
        <x:v>да</x:v>
      </x:c>
      <x:c r="H968" t="str">
        <x:v>нет</x:v>
      </x:c>
    </x:row>
    <x:row r="969">
      <x:c r="A969" t="str">
        <x:v>7548</x:v>
      </x:c>
      <x:c r="B969" t="str">
        <x:v>ortovital.ru</x:v>
      </x:c>
      <x:c r="C969" t="e">
        <x:f>HYPERLINK("https://belberrycrm.bitrix24.ru/crm/deal/details/7548/","https://belberrycrm.bitrix24.ru/crm/deal/details/7548/")</x:f>
      </x:c>
      <x:c r="D969" t="str">
        <x:v>Реанимация</x:v>
      </x:c>
      <x:c r="E969" t="str">
        <x:v>ПРОДАЖИ: Отвалы</x:v>
      </x:c>
      <x:c r="F969" t="str">
        <x:v>Александр Голядкин</x:v>
      </x:c>
      <x:c r="G969" t="str">
        <x:v>нет</x:v>
      </x:c>
      <x:c r="H969" t="str">
        <x:v>нет</x:v>
      </x:c>
    </x:row>
    <x:row r="970">
      <x:c r="A970" t="str">
        <x:v>7572</x:v>
      </x:c>
      <x:c r="B970" t="str">
        <x:v>dentas-clinic.ru</x:v>
      </x:c>
      <x:c r="C970" t="e">
        <x:f>HYPERLINK("https://belberrycrm.bitrix24.ru/crm/deal/details/7572/","https://belberrycrm.bitrix24.ru/crm/deal/details/7572/")</x:f>
      </x:c>
      <x:c r="D970" t="str">
        <x:v>Реанимация</x:v>
      </x:c>
      <x:c r="E970" t="str">
        <x:v>ПРОДАЖИ: Отвалы</x:v>
      </x:c>
      <x:c r="F970" t="str">
        <x:v>Мария Ус</x:v>
      </x:c>
      <x:c r="G970" t="str">
        <x:v>да</x:v>
      </x:c>
      <x:c r="H970" t="str">
        <x:v>нет</x:v>
      </x:c>
    </x:row>
    <x:row r="971">
      <x:c r="A971" t="str">
        <x:v>7584</x:v>
      </x:c>
      <x:c r="B971" t="str">
        <x:v>Аренда и продажа недвижки на Бали</x:v>
      </x:c>
      <x:c r="C971" t="e">
        <x:f>HYPERLINK("https://belberrycrm.bitrix24.ru/crm/deal/details/7584/","https://belberrycrm.bitrix24.ru/crm/deal/details/7584/")</x:f>
      </x:c>
      <x:c r="D971" t="str">
        <x:v>Реанимация</x:v>
      </x:c>
      <x:c r="E971" t="str">
        <x:v>ПРОДАЖИ: Отвалы</x:v>
      </x:c>
      <x:c r="F971" t="str">
        <x:v>Петр Дудин</x:v>
      </x:c>
      <x:c r="G971" t="str">
        <x:v>нет</x:v>
      </x:c>
      <x:c r="H971" t="str">
        <x:v>нет</x:v>
      </x:c>
    </x:row>
    <x:row r="972">
      <x:c r="A972" t="str">
        <x:v>7604</x:v>
      </x:c>
      <x:c r="B972" t="str">
        <x:v>Телесный металлодетектор</x:v>
      </x:c>
      <x:c r="C972" t="e">
        <x:f>HYPERLINK("https://belberrycrm.bitrix24.ru/crm/deal/details/7604/","https://belberrycrm.bitrix24.ru/crm/deal/details/7604/")</x:f>
      </x:c>
      <x:c r="D972" t="str">
        <x:v>Реанимация</x:v>
      </x:c>
      <x:c r="E972" t="str">
        <x:v>ПРОДАЖИ: Отвалы</x:v>
      </x:c>
      <x:c r="F972" t="str">
        <x:v>Петр Дудин</x:v>
      </x:c>
      <x:c r="G972" t="str">
        <x:v>нет</x:v>
      </x:c>
      <x:c r="H972" t="str">
        <x:v>нет</x:v>
      </x:c>
    </x:row>
    <x:row r="973">
      <x:c r="A973" t="str">
        <x:v>7660</x:v>
      </x:c>
      <x:c r="B973" t="str">
        <x:v>аренда спец техники</x:v>
      </x:c>
      <x:c r="C973" t="e">
        <x:f>HYPERLINK("https://belberrycrm.bitrix24.ru/crm/deal/details/7660/","https://belberrycrm.bitrix24.ru/crm/deal/details/7660/")</x:f>
      </x:c>
      <x:c r="D973" t="str">
        <x:v>Реанимация</x:v>
      </x:c>
      <x:c r="E973" t="str">
        <x:v>ПРОДАЖИ: Отвалы</x:v>
      </x:c>
      <x:c r="F973" t="str">
        <x:v>Александр Голядкин</x:v>
      </x:c>
      <x:c r="G973" t="str">
        <x:v>нет</x:v>
      </x:c>
      <x:c r="H973" t="str">
        <x:v>нет</x:v>
      </x:c>
    </x:row>
    <x:row r="974">
      <x:c r="A974" t="str">
        <x:v>7678</x:v>
      </x:c>
      <x:c r="B974" t="str">
        <x:v>Салон красоты в Сочи</x:v>
      </x:c>
      <x:c r="C974" t="e">
        <x:f>HYPERLINK("https://belberrycrm.bitrix24.ru/crm/deal/details/7678/","https://belberrycrm.bitrix24.ru/crm/deal/details/7678/")</x:f>
      </x:c>
      <x:c r="D974" t="str">
        <x:v>Реанимация</x:v>
      </x:c>
      <x:c r="E974" t="str">
        <x:v>ПРОДАЖИ: Отвалы</x:v>
      </x:c>
      <x:c r="F974" t="str">
        <x:v>Петр Дудин</x:v>
      </x:c>
      <x:c r="G974" t="str">
        <x:v>нет</x:v>
      </x:c>
      <x:c r="H974" t="str">
        <x:v>нет</x:v>
      </x:c>
    </x:row>
    <x:row r="975">
      <x:c r="A975" t="str">
        <x:v>7722</x:v>
      </x:c>
      <x:c r="B975" t="str">
        <x:v>VICTORY CORP 56640003</x:v>
      </x:c>
      <x:c r="C975" t="e">
        <x:f>HYPERLINK("https://belberrycrm.bitrix24.ru/crm/deal/details/7722/","https://belberrycrm.bitrix24.ru/crm/deal/details/7722/")</x:f>
      </x:c>
      <x:c r="D975" t="str">
        <x:v>Реанимация</x:v>
      </x:c>
      <x:c r="E975" t="str">
        <x:v>ПРОДАЖИ: Отвалы</x:v>
      </x:c>
      <x:c r="F975" t="str">
        <x:v>Александр Голядкин</x:v>
      </x:c>
      <x:c r="G975" t="str">
        <x:v>нет</x:v>
      </x:c>
      <x:c r="H975" t="str">
        <x:v>нет</x:v>
      </x:c>
    </x:row>
    <x:row r="976">
      <x:c r="A976" t="str">
        <x:v>7728</x:v>
      </x:c>
      <x:c r="B976" t="str">
        <x:v>Вусал</x:v>
      </x:c>
      <x:c r="C976" t="e">
        <x:f>HYPERLINK("https://belberrycrm.bitrix24.ru/crm/deal/details/7728/","https://belberrycrm.bitrix24.ru/crm/deal/details/7728/")</x:f>
      </x:c>
      <x:c r="D976" t="str">
        <x:v>Реанимация</x:v>
      </x:c>
      <x:c r="E976" t="str">
        <x:v>ПРОДАЖИ: Отвалы</x:v>
      </x:c>
      <x:c r="F976" t="str">
        <x:v>Петр Дудин</x:v>
      </x:c>
      <x:c r="G976" t="str">
        <x:v>нет</x:v>
      </x:c>
      <x:c r="H976" t="str">
        <x:v>нет</x:v>
      </x:c>
    </x:row>
    <x:row r="977">
      <x:c r="A977" t="str">
        <x:v>7730</x:v>
      </x:c>
      <x:c r="B977" t="str">
        <x:v>pre-med.online</x:v>
      </x:c>
      <x:c r="C977" t="e">
        <x:f>HYPERLINK("https://belberrycrm.bitrix24.ru/crm/deal/details/7730/","https://belberrycrm.bitrix24.ru/crm/deal/details/7730/")</x:f>
      </x:c>
      <x:c r="D977" t="str">
        <x:v>Реанимация</x:v>
      </x:c>
      <x:c r="E977" t="str">
        <x:v>ПРОДАЖИ: Отвалы</x:v>
      </x:c>
      <x:c r="F977" t="str">
        <x:v>Петр Дудин</x:v>
      </x:c>
      <x:c r="G977" t="str">
        <x:v>нет</x:v>
      </x:c>
      <x:c r="H977" t="str">
        <x:v>нет</x:v>
      </x:c>
    </x:row>
    <x:row r="978">
      <x:c r="A978" t="str">
        <x:v>7736</x:v>
      </x:c>
      <x:c r="B978" t="str">
        <x:v>Ирина</x:v>
      </x:c>
      <x:c r="C978" t="e">
        <x:f>HYPERLINK("https://belberrycrm.bitrix24.ru/crm/deal/details/7736/","https://belberrycrm.bitrix24.ru/crm/deal/details/7736/")</x:f>
      </x:c>
      <x:c r="D978" t="str">
        <x:v>Реанимация</x:v>
      </x:c>
      <x:c r="E978" t="str">
        <x:v>ПРОДАЖИ: Не сейчас</x:v>
      </x:c>
      <x:c r="F978" t="str">
        <x:v>Петр Дудин</x:v>
      </x:c>
      <x:c r="G978" t="str">
        <x:v>нет</x:v>
      </x:c>
      <x:c r="H978" t="str">
        <x:v>нет</x:v>
      </x:c>
    </x:row>
    <x:row r="979">
      <x:c r="A979" t="str">
        <x:v>7738</x:v>
      </x:c>
      <x:c r="B979" t="str">
        <x:v>gvv2.ru</x:v>
      </x:c>
      <x:c r="C979" t="e">
        <x:f>HYPERLINK("https://belberrycrm.bitrix24.ru/crm/deal/details/7738/","https://belberrycrm.bitrix24.ru/crm/deal/details/7738/")</x:f>
      </x:c>
      <x:c r="D979" t="str">
        <x:v>Реанимация</x:v>
      </x:c>
      <x:c r="E979" t="str">
        <x:v>ПРОДАЖИ: Не сейчас</x:v>
      </x:c>
      <x:c r="F979" t="str">
        <x:v>Петр Дудин</x:v>
      </x:c>
      <x:c r="G979" t="str">
        <x:v>нет</x:v>
      </x:c>
      <x:c r="H979" t="str">
        <x:v>нет</x:v>
      </x:c>
    </x:row>
    <x:row r="980">
      <x:c r="A980" t="str">
        <x:v>7748</x:v>
      </x:c>
      <x:c r="B980" t="str">
        <x:v>Наталья</x:v>
      </x:c>
      <x:c r="C980" t="e">
        <x:f>HYPERLINK("https://belberrycrm.bitrix24.ru/crm/deal/details/7748/","https://belberrycrm.bitrix24.ru/crm/deal/details/7748/")</x:f>
      </x:c>
      <x:c r="D980" t="str">
        <x:v>Реанимация</x:v>
      </x:c>
      <x:c r="E980" t="str">
        <x:v>ПРОДАЖИ: Отвалы</x:v>
      </x:c>
      <x:c r="F980" t="str">
        <x:v>Петр Дудин</x:v>
      </x:c>
      <x:c r="G980" t="str">
        <x:v>нет</x:v>
      </x:c>
      <x:c r="H980" t="str">
        <x:v>нет</x:v>
      </x:c>
    </x:row>
    <x:row r="981">
      <x:c r="A981" t="str">
        <x:v>7756</x:v>
      </x:c>
      <x:c r="B981" t="str">
        <x:v>Заявка с сайта от Виктор  79384440444</x:v>
      </x:c>
      <x:c r="C981" t="e">
        <x:f>HYPERLINK("https://belberrycrm.bitrix24.ru/crm/deal/details/7756/","https://belberrycrm.bitrix24.ru/crm/deal/details/7756/")</x:f>
      </x:c>
      <x:c r="D981" t="str">
        <x:v>Реанимация</x:v>
      </x:c>
      <x:c r="E981" t="str">
        <x:v>ПРОДАЖИ: Отвалы</x:v>
      </x:c>
      <x:c r="F981" t="str">
        <x:v>Александр Голядкин</x:v>
      </x:c>
      <x:c r="G981" t="str">
        <x:v>нет</x:v>
      </x:c>
      <x:c r="H981" t="str">
        <x:v>нет</x:v>
      </x:c>
    </x:row>
    <x:row r="982">
      <x:c r="A982" t="str">
        <x:v>8208</x:v>
      </x:c>
      <x:c r="B982" t="str">
        <x:v>Алиса</x:v>
      </x:c>
      <x:c r="C982" t="e">
        <x:f>HYPERLINK("https://belberrycrm.bitrix24.ru/crm/deal/details/8208/","https://belberrycrm.bitrix24.ru/crm/deal/details/8208/")</x:f>
      </x:c>
      <x:c r="D982" t="str">
        <x:v>Реанимация</x:v>
      </x:c>
      <x:c r="E982" t="str">
        <x:v>ПРОДАЖИ: Запрос цены</x:v>
      </x:c>
      <x:c r="F982" t="str">
        <x:v>Петр Дудин</x:v>
      </x:c>
      <x:c r="G982" t="str">
        <x:v>нет</x:v>
      </x:c>
      <x:c r="H982" t="str">
        <x:v>нет</x:v>
      </x:c>
    </x:row>
    <x:row r="983">
      <x:c r="A983" t="str">
        <x:v>8210</x:v>
      </x:c>
      <x:c r="B983" t="str">
        <x:v>VICTORY CORP 58151229</x:v>
      </x:c>
      <x:c r="C983" t="e">
        <x:f>HYPERLINK("https://belberrycrm.bitrix24.ru/crm/deal/details/8210/","https://belberrycrm.bitrix24.ru/crm/deal/details/8210/")</x:f>
      </x:c>
      <x:c r="D983" t="str">
        <x:v>Реанимация</x:v>
      </x:c>
      <x:c r="E983" t="str">
        <x:v>ПРОДАЖИ: Не сейчас</x:v>
      </x:c>
      <x:c r="F983" t="str">
        <x:v>Александр Голядкин</x:v>
      </x:c>
      <x:c r="G983" t="str">
        <x:v>да</x:v>
      </x:c>
      <x:c r="H983" t="str">
        <x:v>нет</x:v>
      </x:c>
    </x:row>
    <x:row r="984">
      <x:c r="A984" t="str">
        <x:v>8216</x:v>
      </x:c>
      <x:c r="B984" t="str">
        <x:v>Павел Поповкин</x:v>
      </x:c>
      <x:c r="C984" t="e">
        <x:f>HYPERLINK("https://belberrycrm.bitrix24.ru/crm/deal/details/8216/","https://belberrycrm.bitrix24.ru/crm/deal/details/8216/")</x:f>
      </x:c>
      <x:c r="D984" t="str">
        <x:v>Реанимация</x:v>
      </x:c>
      <x:c r="E984" t="str">
        <x:v>ПРОДАЖИ: Не сейчас</x:v>
      </x:c>
      <x:c r="F984" t="str">
        <x:v>Петр Дудин</x:v>
      </x:c>
      <x:c r="G984" t="str">
        <x:v>нет</x:v>
      </x:c>
      <x:c r="H984" t="str">
        <x:v>нет</x:v>
      </x:c>
    </x:row>
    <x:row r="985">
      <x:c r="A985" t="str">
        <x:v>8224</x:v>
      </x:c>
      <x:c r="B985" t="str">
        <x:v>lifebeautyspa.ru</x:v>
      </x:c>
      <x:c r="C985" t="e">
        <x:f>HYPERLINK("https://belberrycrm.bitrix24.ru/crm/deal/details/8224/","https://belberrycrm.bitrix24.ru/crm/deal/details/8224/")</x:f>
      </x:c>
      <x:c r="D985" t="str">
        <x:v>Реанимация</x:v>
      </x:c>
      <x:c r="E985" t="str">
        <x:v>ПРОДАЖИ: Запрос цены</x:v>
      </x:c>
      <x:c r="F985" t="str">
        <x:v>Петр Дудин</x:v>
      </x:c>
      <x:c r="G985" t="str">
        <x:v>да</x:v>
      </x:c>
      <x:c r="H985" t="str">
        <x:v>нет</x:v>
      </x:c>
    </x:row>
    <x:row r="986">
      <x:c r="A986" t="str">
        <x:v>8234</x:v>
      </x:c>
      <x:c r="B986" t="str">
        <x:v>dentest.ru</x:v>
      </x:c>
      <x:c r="C986" t="e">
        <x:f>HYPERLINK("https://belberrycrm.bitrix24.ru/crm/deal/details/8234/","https://belberrycrm.bitrix24.ru/crm/deal/details/8234/")</x:f>
      </x:c>
      <x:c r="D986" t="str">
        <x:v>Реанимация</x:v>
      </x:c>
      <x:c r="E986" t="str">
        <x:v>ПРОДАЖИ: Не сейчас</x:v>
      </x:c>
      <x:c r="F986" t="str">
        <x:v>Петр Дудин</x:v>
      </x:c>
      <x:c r="G986" t="str">
        <x:v>нет</x:v>
      </x:c>
      <x:c r="H986" t="str">
        <x:v>нет</x:v>
      </x:c>
    </x:row>
    <x:row r="987">
      <x:c r="A987" t="str">
        <x:v>8258</x:v>
      </x:c>
      <x:c r="B987" t="str">
        <x:v>Максим (Стоматолог)</x:v>
      </x:c>
      <x:c r="C987" t="e">
        <x:f>HYPERLINK("https://belberrycrm.bitrix24.ru/crm/deal/details/8258/","https://belberrycrm.bitrix24.ru/crm/deal/details/8258/")</x:f>
      </x:c>
      <x:c r="D987" t="str">
        <x:v>Реанимация</x:v>
      </x:c>
      <x:c r="E987" t="str">
        <x:v>ПРОДАЖИ: Отвалы</x:v>
      </x:c>
      <x:c r="F987" t="str">
        <x:v>Петр Дудин</x:v>
      </x:c>
      <x:c r="G987" t="str">
        <x:v>нет</x:v>
      </x:c>
      <x:c r="H987" t="str">
        <x:v>нет</x:v>
      </x:c>
    </x:row>
    <x:row r="988">
      <x:c r="A988" t="str">
        <x:v>8260</x:v>
      </x:c>
      <x:c r="B988" t="str">
        <x:v>Заявка с сайта от Марина Валерьевна  79289642281</x:v>
      </x:c>
      <x:c r="C988" t="e">
        <x:f>HYPERLINK("https://belberrycrm.bitrix24.ru/crm/deal/details/8260/","https://belberrycrm.bitrix24.ru/crm/deal/details/8260/")</x:f>
      </x:c>
      <x:c r="D988" t="str">
        <x:v>Реанимация</x:v>
      </x:c>
      <x:c r="E988" t="str">
        <x:v>ПРОДАЖИ: Отвалы</x:v>
      </x:c>
      <x:c r="F988" t="str">
        <x:v>Петр Дудин</x:v>
      </x:c>
      <x:c r="G988" t="str">
        <x:v>нет</x:v>
      </x:c>
      <x:c r="H988" t="str">
        <x:v>нет</x:v>
      </x:c>
    </x:row>
    <x:row r="989">
      <x:c r="A989" t="str">
        <x:v>8274</x:v>
      </x:c>
      <x:c r="B989" t="str">
        <x:v>isotope-cmr.com</x:v>
      </x:c>
      <x:c r="C989" t="e">
        <x:f>HYPERLINK("https://belberrycrm.bitrix24.ru/crm/deal/details/8274/","https://belberrycrm.bitrix24.ru/crm/deal/details/8274/")</x:f>
      </x:c>
      <x:c r="D989" t="str">
        <x:v>Реанимация</x:v>
      </x:c>
      <x:c r="E989" t="str">
        <x:v>ПРОДАЖИ: Не сейчас</x:v>
      </x:c>
      <x:c r="F989" t="str">
        <x:v>Петр Дудин</x:v>
      </x:c>
      <x:c r="G989" t="str">
        <x:v>да</x:v>
      </x:c>
      <x:c r="H989" t="str">
        <x:v>нет</x:v>
      </x:c>
    </x:row>
    <x:row r="990">
      <x:c r="A990" t="str">
        <x:v>8292</x:v>
      </x:c>
      <x:c r="B990" t="str">
        <x:v>Заявка с сайта от Сергей 79255078765</x:v>
      </x:c>
      <x:c r="C990" t="e">
        <x:f>HYPERLINK("https://belberrycrm.bitrix24.ru/crm/deal/details/8292/","https://belberrycrm.bitrix24.ru/crm/deal/details/8292/")</x:f>
      </x:c>
      <x:c r="D990" t="str">
        <x:v>Реанимация</x:v>
      </x:c>
      <x:c r="E990" t="str">
        <x:v>ПРОДАЖИ: Отвалы</x:v>
      </x:c>
      <x:c r="F990" t="str">
        <x:v>Александр Голядкин</x:v>
      </x:c>
      <x:c r="G990" t="str">
        <x:v>нет</x:v>
      </x:c>
      <x:c r="H990" t="str">
        <x:v>нет</x:v>
      </x:c>
    </x:row>
    <x:row r="991">
      <x:c r="A991" t="str">
        <x:v>8294</x:v>
      </x:c>
      <x:c r="B991" t="str">
        <x:v>сосудистый хирург Никитина Анна Михайловна</x:v>
      </x:c>
      <x:c r="C991" t="e">
        <x:f>HYPERLINK("https://belberrycrm.bitrix24.ru/crm/deal/details/8294/","https://belberrycrm.bitrix24.ru/crm/deal/details/8294/")</x:f>
      </x:c>
      <x:c r="D991" t="str">
        <x:v>Реанимация</x:v>
      </x:c>
      <x:c r="E991" t="str">
        <x:v>ПРОДАЖИ: Отвалы</x:v>
      </x:c>
      <x:c r="F991" t="str">
        <x:v>Александр Голядкин</x:v>
      </x:c>
      <x:c r="G991" t="str">
        <x:v>нет</x:v>
      </x:c>
      <x:c r="H991" t="str">
        <x:v>нет</x:v>
      </x:c>
    </x:row>
    <x:row r="992">
      <x:c r="A992" t="str">
        <x:v>8306</x:v>
      </x:c>
      <x:c r="B992" t="str">
        <x:v>Иван СММщик личный бренд</x:v>
      </x:c>
      <x:c r="C992" t="e">
        <x:f>HYPERLINK("https://belberrycrm.bitrix24.ru/crm/deal/details/8306/","https://belberrycrm.bitrix24.ru/crm/deal/details/8306/")</x:f>
      </x:c>
      <x:c r="D992" t="str">
        <x:v>Реанимация</x:v>
      </x:c>
      <x:c r="E992" t="str">
        <x:v>ПРОДАЖИ: Запрос цены</x:v>
      </x:c>
      <x:c r="F992" t="str">
        <x:v>Александр Голядкин</x:v>
      </x:c>
      <x:c r="G992" t="str">
        <x:v>нет</x:v>
      </x:c>
      <x:c r="H992" t="str">
        <x:v>нет</x:v>
      </x:c>
    </x:row>
    <x:row r="993">
      <x:c r="A993" t="str">
        <x:v>8308</x:v>
      </x:c>
      <x:c r="B993" t="str">
        <x:v>easylex.ru</x:v>
      </x:c>
      <x:c r="C993" t="e">
        <x:f>HYPERLINK("https://belberrycrm.bitrix24.ru/crm/deal/details/8308/","https://belberrycrm.bitrix24.ru/crm/deal/details/8308/")</x:f>
      </x:c>
      <x:c r="D993" t="str">
        <x:v>Реанимация</x:v>
      </x:c>
      <x:c r="E993" t="str">
        <x:v>ПРОДАЖИ: Отвалы</x:v>
      </x:c>
      <x:c r="F993" t="str">
        <x:v>Петр Дудин</x:v>
      </x:c>
      <x:c r="G993" t="str">
        <x:v>нет</x:v>
      </x:c>
      <x:c r="H993" t="str">
        <x:v>нет</x:v>
      </x:c>
    </x:row>
    <x:row r="994">
      <x:c r="A994" t="str">
        <x:v>8334</x:v>
      </x:c>
      <x:c r="B994" t="str">
        <x:v>sasovoavia.ru</x:v>
      </x:c>
      <x:c r="C994" t="e">
        <x:f>HYPERLINK("https://belberrycrm.bitrix24.ru/crm/deal/details/8334/","https://belberrycrm.bitrix24.ru/crm/deal/details/8334/")</x:f>
      </x:c>
      <x:c r="D994" t="str">
        <x:v>Реанимация</x:v>
      </x:c>
      <x:c r="E994" t="str">
        <x:v>ПРОДАЖИ: Запрос цены</x:v>
      </x:c>
      <x:c r="F994" t="str">
        <x:v>Александр Голядкин</x:v>
      </x:c>
      <x:c r="G994" t="str">
        <x:v>да</x:v>
      </x:c>
      <x:c r="H994" t="str">
        <x:v>нет</x:v>
      </x:c>
    </x:row>
    <x:row r="995">
      <x:c r="A995" t="str">
        <x:v>8350</x:v>
      </x:c>
      <x:c r="B995" t="str">
        <x:v>Диана Суреновна Егорян (врач гинеколог)</x:v>
      </x:c>
      <x:c r="C995" t="e">
        <x:f>HYPERLINK("https://belberrycrm.bitrix24.ru/crm/deal/details/8350/","https://belberrycrm.bitrix24.ru/crm/deal/details/8350/")</x:f>
      </x:c>
      <x:c r="D995" t="str">
        <x:v>Реанимация</x:v>
      </x:c>
      <x:c r="E995" t="str">
        <x:v>ПРОДАЖИ: Отвалы</x:v>
      </x:c>
      <x:c r="F995" t="str">
        <x:v>Петр Дудин</x:v>
      </x:c>
      <x:c r="G995" t="str">
        <x:v>нет</x:v>
      </x:c>
      <x:c r="H995" t="str">
        <x:v>нет</x:v>
      </x:c>
    </x:row>
    <x:row r="996">
      <x:c r="A996" t="str">
        <x:v>8362</x:v>
      </x:c>
      <x:c r="B996" t="str">
        <x:v>Ася авито</x:v>
      </x:c>
      <x:c r="C996" t="e">
        <x:f>HYPERLINK("https://belberrycrm.bitrix24.ru/crm/deal/details/8362/","https://belberrycrm.bitrix24.ru/crm/deal/details/8362/")</x:f>
      </x:c>
      <x:c r="D996" t="str">
        <x:v>Реанимация</x:v>
      </x:c>
      <x:c r="E996" t="str">
        <x:v>ПРОДАЖИ: Отвалы</x:v>
      </x:c>
      <x:c r="F996" t="str">
        <x:v>Александр Голядкин</x:v>
      </x:c>
      <x:c r="G996" t="str">
        <x:v>нет</x:v>
      </x:c>
      <x:c r="H996" t="str">
        <x:v>нет</x:v>
      </x:c>
    </x:row>
    <x:row r="997">
      <x:c r="A997" t="str">
        <x:v>8378</x:v>
      </x:c>
      <x:c r="B997" t="str">
        <x:v>dobryydoktor.com.ua</x:v>
      </x:c>
      <x:c r="C997" t="e">
        <x:f>HYPERLINK("https://belberrycrm.bitrix24.ru/crm/deal/details/8378/","https://belberrycrm.bitrix24.ru/crm/deal/details/8378/")</x:f>
      </x:c>
      <x:c r="D997" t="str">
        <x:v>Реанимация</x:v>
      </x:c>
      <x:c r="E997" t="str">
        <x:v>ПРОДАЖИ: Отвалы</x:v>
      </x:c>
      <x:c r="F997" t="str">
        <x:v>Петр Дудин</x:v>
      </x:c>
      <x:c r="G997" t="str">
        <x:v>нет</x:v>
      </x:c>
      <x:c r="H997" t="str">
        <x:v>нет</x:v>
      </x:c>
    </x:row>
    <x:row r="998">
      <x:c r="A998" t="str">
        <x:v>8398</x:v>
      </x:c>
      <x:c r="B998" t="str">
        <x:v>katalepsia.ru</x:v>
      </x:c>
      <x:c r="C998" t="e">
        <x:f>HYPERLINK("https://belberrycrm.bitrix24.ru/crm/deal/details/8398/","https://belberrycrm.bitrix24.ru/crm/deal/details/8398/")</x:f>
      </x:c>
      <x:c r="D998" t="str">
        <x:v>Реанимация</x:v>
      </x:c>
      <x:c r="E998" t="str">
        <x:v>ПРОДАЖИ: Отвалы</x:v>
      </x:c>
      <x:c r="F998" t="str">
        <x:v>Петр Дудин</x:v>
      </x:c>
      <x:c r="G998" t="str">
        <x:v>нет</x:v>
      </x:c>
      <x:c r="H998" t="str">
        <x:v>нет</x:v>
      </x:c>
    </x:row>
    <x:row r="999">
      <x:c r="A999" t="str">
        <x:v>8426</x:v>
      </x:c>
      <x:c r="B999" t="str">
        <x:v>VICTORY CORP 64626828</x:v>
      </x:c>
      <x:c r="C999" t="e">
        <x:f>HYPERLINK("https://belberrycrm.bitrix24.ru/crm/deal/details/8426/","https://belberrycrm.bitrix24.ru/crm/deal/details/8426/")</x:f>
      </x:c>
      <x:c r="D999" t="str">
        <x:v>Реанимация</x:v>
      </x:c>
      <x:c r="E999" t="str">
        <x:v>ПРОДАЖИ: Отвалы</x:v>
      </x:c>
      <x:c r="F999" t="str">
        <x:v>Петр Дудин</x:v>
      </x:c>
      <x:c r="G999" t="str">
        <x:v>нет</x:v>
      </x:c>
      <x:c r="H999" t="str">
        <x:v>нет</x:v>
      </x:c>
    </x:row>
    <x:row r="1000">
      <x:c r="A1000" t="str">
        <x:v>8470</x:v>
      </x:c>
      <x:c r="B1000" t="str">
        <x:v>sechenov-clinic.ru</x:v>
      </x:c>
      <x:c r="C1000" t="e">
        <x:f>HYPERLINK("https://belberrycrm.bitrix24.ru/crm/deal/details/8470/","https://belberrycrm.bitrix24.ru/crm/deal/details/8470/")</x:f>
      </x:c>
      <x:c r="D1000" t="str">
        <x:v>Реанимация</x:v>
      </x:c>
      <x:c r="E1000" t="str">
        <x:v>ПРОДАЖИ: Отвалы</x:v>
      </x:c>
      <x:c r="F1000" t="str">
        <x:v>Петр Дудин</x:v>
      </x:c>
      <x:c r="G1000" t="str">
        <x:v>да</x:v>
      </x:c>
      <x:c r="H1000" t="str">
        <x:v>нет</x:v>
      </x:c>
    </x:row>
    <x:row r="1001">
      <x:c r="A1001" t="str">
        <x:v>8578</x:v>
      </x:c>
      <x:c r="B1001" t="str">
        <x:v>Маевская Ирина Валерьевна</x:v>
      </x:c>
      <x:c r="C1001" t="e">
        <x:f>HYPERLINK("https://belberrycrm.bitrix24.ru/crm/deal/details/8578/","https://belberrycrm.bitrix24.ru/crm/deal/details/8578/")</x:f>
      </x:c>
      <x:c r="D1001" t="str">
        <x:v>Реанимация</x:v>
      </x:c>
      <x:c r="E1001" t="str">
        <x:v>ПРОДАЖИ: Не сейчас</x:v>
      </x:c>
      <x:c r="F1001" t="str">
        <x:v>Петр Дудин</x:v>
      </x:c>
      <x:c r="G1001" t="str">
        <x:v>нет</x:v>
      </x:c>
      <x:c r="H1001" t="str">
        <x:v>нет</x:v>
      </x:c>
    </x:row>
    <x:row r="1002">
      <x:c r="A1002" t="str">
        <x:v>8584</x:v>
      </x:c>
      <x:c r="B1002" t="str">
        <x:v>Владимир калмыкия</x:v>
      </x:c>
      <x:c r="C1002" t="e">
        <x:f>HYPERLINK("https://belberrycrm.bitrix24.ru/crm/deal/details/8584/","https://belberrycrm.bitrix24.ru/crm/deal/details/8584/")</x:f>
      </x:c>
      <x:c r="D1002" t="str">
        <x:v>Реанимация</x:v>
      </x:c>
      <x:c r="E1002" t="str">
        <x:v>ПРОДАЖИ: Отвалы</x:v>
      </x:c>
      <x:c r="F1002" t="str">
        <x:v>Мария Ус</x:v>
      </x:c>
      <x:c r="G1002" t="str">
        <x:v>нет</x:v>
      </x:c>
      <x:c r="H1002" t="str">
        <x:v>нет</x:v>
      </x:c>
    </x:row>
    <x:row r="1003">
      <x:c r="A1003" t="str">
        <x:v>8652</x:v>
      </x:c>
      <x:c r="B1003" t="str">
        <x:v>ppvfx.com</x:v>
      </x:c>
      <x:c r="C1003" t="e">
        <x:f>HYPERLINK("https://belberrycrm.bitrix24.ru/crm/deal/details/8652/","https://belberrycrm.bitrix24.ru/crm/deal/details/8652/")</x:f>
      </x:c>
      <x:c r="D1003" t="str">
        <x:v>Реанимация</x:v>
      </x:c>
      <x:c r="E1003" t="str">
        <x:v>ПРОДАЖИ: Отвалы</x:v>
      </x:c>
      <x:c r="F1003" t="str">
        <x:v>Мария Ус</x:v>
      </x:c>
      <x:c r="G1003" t="str">
        <x:v>нет</x:v>
      </x:c>
      <x:c r="H1003" t="str">
        <x:v>нет</x:v>
      </x:c>
    </x:row>
    <x:row r="1004">
      <x:c r="A1004" t="str">
        <x:v>8704</x:v>
      </x:c>
      <x:c r="B1004" t="str">
        <x:v>tunikpartners.ru</x:v>
      </x:c>
      <x:c r="C1004" t="e">
        <x:f>HYPERLINK("https://belberrycrm.bitrix24.ru/crm/deal/details/8704/","https://belberrycrm.bitrix24.ru/crm/deal/details/8704/")</x:f>
      </x:c>
      <x:c r="D1004" t="str">
        <x:v>Реанимация</x:v>
      </x:c>
      <x:c r="E1004" t="str">
        <x:v>ПРОДАЖИ: Отвалы</x:v>
      </x:c>
      <x:c r="F1004" t="str">
        <x:v>Александр Голядкин</x:v>
      </x:c>
      <x:c r="G1004" t="str">
        <x:v>да</x:v>
      </x:c>
      <x:c r="H1004" t="str">
        <x:v>нет</x:v>
      </x:c>
    </x:row>
    <x:row r="1005">
      <x:c r="A1005" t="str">
        <x:v>8708</x:v>
      </x:c>
      <x:c r="B1005" t="str">
        <x:v>sklad-electro.ru</x:v>
      </x:c>
      <x:c r="C1005" t="e">
        <x:f>HYPERLINK("https://belberrycrm.bitrix24.ru/crm/deal/details/8708/","https://belberrycrm.bitrix24.ru/crm/deal/details/8708/")</x:f>
      </x:c>
      <x:c r="D1005" t="str">
        <x:v>Реанимация</x:v>
      </x:c>
      <x:c r="E1005" t="str">
        <x:v>ПРОДАЖИ: Не сейчас</x:v>
      </x:c>
      <x:c r="F1005" t="str">
        <x:v>Евгения Гордиенко</x:v>
      </x:c>
      <x:c r="G1005" t="str">
        <x:v>да</x:v>
      </x:c>
      <x:c r="H1005" t="str">
        <x:v>нет</x:v>
      </x:c>
    </x:row>
    <x:row r="1006">
      <x:c r="A1006" t="str">
        <x:v>8734</x:v>
      </x:c>
      <x:c r="B1006" t="str">
        <x:v>ООО "Нетит"</x:v>
      </x:c>
      <x:c r="C1006" t="e">
        <x:f>HYPERLINK("https://belberrycrm.bitrix24.ru/crm/deal/details/8734/","https://belberrycrm.bitrix24.ru/crm/deal/details/8734/")</x:f>
      </x:c>
      <x:c r="D1006" t="str">
        <x:v>Реанимация</x:v>
      </x:c>
      <x:c r="E1006" t="str">
        <x:v>ПРОДАЖИ: Запрос цены</x:v>
      </x:c>
      <x:c r="F1006" t="str">
        <x:v>Александр Голядкин</x:v>
      </x:c>
      <x:c r="G1006" t="str">
        <x:v>да</x:v>
      </x:c>
      <x:c r="H1006" t="str">
        <x:v>нет</x:v>
      </x:c>
    </x:row>
    <x:row r="1007">
      <x:c r="A1007" t="str">
        <x:v>8738</x:v>
      </x:c>
      <x:c r="B1007" t="str">
        <x:v>Стоматолог Артем Кацанов</x:v>
      </x:c>
      <x:c r="C1007" t="e">
        <x:f>HYPERLINK("https://belberrycrm.bitrix24.ru/crm/deal/details/8738/","https://belberrycrm.bitrix24.ru/crm/deal/details/8738/")</x:f>
      </x:c>
      <x:c r="D1007" t="str">
        <x:v>Реанимация</x:v>
      </x:c>
      <x:c r="E1007" t="str">
        <x:v>ПРОДАЖИ: Отвалы</x:v>
      </x:c>
      <x:c r="F1007" t="str">
        <x:v>Мария Ус</x:v>
      </x:c>
      <x:c r="G1007" t="str">
        <x:v>нет</x:v>
      </x:c>
      <x:c r="H1007" t="str">
        <x:v>нет</x:v>
      </x:c>
    </x:row>
    <x:row r="1008">
      <x:c r="A1008" t="str">
        <x:v>8758</x:v>
      </x:c>
      <x:c r="B1008" t="str">
        <x:v>Премиум водка "Победа"</x:v>
      </x:c>
      <x:c r="C1008" t="e">
        <x:f>HYPERLINK("https://belberrycrm.bitrix24.ru/crm/deal/details/8758/","https://belberrycrm.bitrix24.ru/crm/deal/details/8758/")</x:f>
      </x:c>
      <x:c r="D1008" t="str">
        <x:v>Реанимация</x:v>
      </x:c>
      <x:c r="E1008" t="str">
        <x:v>ПРОДАЖИ: Отвалы</x:v>
      </x:c>
      <x:c r="F1008" t="str">
        <x:v>Мария Ус</x:v>
      </x:c>
      <x:c r="G1008" t="str">
        <x:v>нет</x:v>
      </x:c>
      <x:c r="H1008" t="str">
        <x:v>нет</x:v>
      </x:c>
    </x:row>
    <x:row r="1009">
      <x:c r="A1009" t="str">
        <x:v>8778</x:v>
      </x:c>
      <x:c r="B1009" t="str">
        <x:v>Онкологический Центр</x:v>
      </x:c>
      <x:c r="C1009" t="e">
        <x:f>HYPERLINK("https://belberrycrm.bitrix24.ru/crm/deal/details/8778/","https://belberrycrm.bitrix24.ru/crm/deal/details/8778/")</x:f>
      </x:c>
      <x:c r="D1009" t="str">
        <x:v>Реанимация</x:v>
      </x:c>
      <x:c r="E1009" t="str">
        <x:v>ПРОДАЖИ: Отвалы</x:v>
      </x:c>
      <x:c r="F1009" t="str">
        <x:v>Петр Дудин</x:v>
      </x:c>
      <x:c r="G1009" t="str">
        <x:v>да</x:v>
      </x:c>
      <x:c r="H1009" t="str">
        <x:v>нет</x:v>
      </x:c>
    </x:row>
    <x:row r="1010">
      <x:c r="A1010" t="str">
        <x:v>8780</x:v>
      </x:c>
      <x:c r="B1010" t="str">
        <x:v>Анастасия</x:v>
      </x:c>
      <x:c r="C1010" t="e">
        <x:f>HYPERLINK("https://belberrycrm.bitrix24.ru/crm/deal/details/8780/","https://belberrycrm.bitrix24.ru/crm/deal/details/8780/")</x:f>
      </x:c>
      <x:c r="D1010" t="str">
        <x:v>Реанимация</x:v>
      </x:c>
      <x:c r="E1010" t="str">
        <x:v>ПРОДАЖИ: Отвалы</x:v>
      </x:c>
      <x:c r="F1010" t="str">
        <x:v>Петр Дудин</x:v>
      </x:c>
      <x:c r="G1010" t="str">
        <x:v>нет</x:v>
      </x:c>
      <x:c r="H1010" t="str">
        <x:v>нет</x:v>
      </x:c>
    </x:row>
    <x:row r="1011">
      <x:c r="A1011" t="str">
        <x:v>8786</x:v>
      </x:c>
      <x:c r="B1011" t="str">
        <x:v>Лия (Компанию и сайт пока не назвала)</x:v>
      </x:c>
      <x:c r="C1011" t="e">
        <x:f>HYPERLINK("https://belberrycrm.bitrix24.ru/crm/deal/details/8786/","https://belberrycrm.bitrix24.ru/crm/deal/details/8786/")</x:f>
      </x:c>
      <x:c r="D1011" t="str">
        <x:v>Реанимация</x:v>
      </x:c>
      <x:c r="E1011" t="str">
        <x:v>ПРОДАЖИ: Отвалы</x:v>
      </x:c>
      <x:c r="F1011" t="str">
        <x:v>Петр Дудин</x:v>
      </x:c>
      <x:c r="G1011" t="str">
        <x:v>нет</x:v>
      </x:c>
      <x:c r="H1011" t="str">
        <x:v>нет</x:v>
      </x:c>
    </x:row>
    <x:row r="1012">
      <x:c r="A1012" t="str">
        <x:v>8820</x:v>
      </x:c>
      <x:c r="B1012" t="str">
        <x:v>Заявка с сайта от Мадина  79285755656</x:v>
      </x:c>
      <x:c r="C1012" t="e">
        <x:f>HYPERLINK("https://belberrycrm.bitrix24.ru/crm/deal/details/8820/","https://belberrycrm.bitrix24.ru/crm/deal/details/8820/")</x:f>
      </x:c>
      <x:c r="D1012" t="str">
        <x:v>Реанимация</x:v>
      </x:c>
      <x:c r="E1012" t="str">
        <x:v>ПРОДАЖИ: Отвалы</x:v>
      </x:c>
      <x:c r="F1012" t="str">
        <x:v>Петр Дудин</x:v>
      </x:c>
      <x:c r="G1012" t="str">
        <x:v>нет</x:v>
      </x:c>
      <x:c r="H1012" t="str">
        <x:v>нет</x:v>
      </x:c>
    </x:row>
    <x:row r="1013">
      <x:c r="A1013" t="str">
        <x:v>8826</x:v>
      </x:c>
      <x:c r="B1013" t="str">
        <x:v>Заявка с сайта от Ислам 79896502999</x:v>
      </x:c>
      <x:c r="C1013" t="e">
        <x:f>HYPERLINK("https://belberrycrm.bitrix24.ru/crm/deal/details/8826/","https://belberrycrm.bitrix24.ru/crm/deal/details/8826/")</x:f>
      </x:c>
      <x:c r="D1013" t="str">
        <x:v>Реанимация</x:v>
      </x:c>
      <x:c r="E1013" t="str">
        <x:v>ПРОДАЖИ: Запрос цены</x:v>
      </x:c>
      <x:c r="F1013" t="str">
        <x:v>Петр Дудин</x:v>
      </x:c>
      <x:c r="G1013" t="str">
        <x:v>нет</x:v>
      </x:c>
      <x:c r="H1013" t="str">
        <x:v>нет</x:v>
      </x:c>
    </x:row>
    <x:row r="1014">
      <x:c r="A1014" t="str">
        <x:v>8852</x:v>
      </x:c>
      <x:c r="B1014" t="str">
        <x:v>Эдуард</x:v>
      </x:c>
      <x:c r="C1014" t="e">
        <x:f>HYPERLINK("https://belberrycrm.bitrix24.ru/crm/deal/details/8852/","https://belberrycrm.bitrix24.ru/crm/deal/details/8852/")</x:f>
      </x:c>
      <x:c r="D1014" t="str">
        <x:v>Реанимация</x:v>
      </x:c>
      <x:c r="E1014" t="str">
        <x:v>ПРОДАЖИ: Отвалы</x:v>
      </x:c>
      <x:c r="F1014" t="str">
        <x:v>Петр Дудин</x:v>
      </x:c>
      <x:c r="G1014" t="str">
        <x:v>нет</x:v>
      </x:c>
      <x:c r="H1014" t="str">
        <x:v>нет</x:v>
      </x:c>
    </x:row>
    <x:row r="1015">
      <x:c r="A1015" t="str">
        <x:v>8854</x:v>
      </x:c>
      <x:c r="B1015" t="str">
        <x:v>Сайт в разработке. Олеся.</x:v>
      </x:c>
      <x:c r="C1015" t="e">
        <x:f>HYPERLINK("https://belberrycrm.bitrix24.ru/crm/deal/details/8854/","https://belberrycrm.bitrix24.ru/crm/deal/details/8854/")</x:f>
      </x:c>
      <x:c r="D1015" t="str">
        <x:v>Реанимация</x:v>
      </x:c>
      <x:c r="E1015" t="str">
        <x:v>ПРОДАЖИ: Отвалы</x:v>
      </x:c>
      <x:c r="F1015" t="str">
        <x:v>Петр Дудин</x:v>
      </x:c>
      <x:c r="G1015" t="str">
        <x:v>нет</x:v>
      </x:c>
      <x:c r="H1015" t="str">
        <x:v>нет</x:v>
      </x:c>
    </x:row>
    <x:row r="1016">
      <x:c r="A1016" t="str">
        <x:v>8862</x:v>
      </x:c>
      <x:c r="B1016" t="str">
        <x:v>organize.house</x:v>
      </x:c>
      <x:c r="C1016" t="e">
        <x:f>HYPERLINK("https://belberrycrm.bitrix24.ru/crm/deal/details/8862/","https://belberrycrm.bitrix24.ru/crm/deal/details/8862/")</x:f>
      </x:c>
      <x:c r="D1016" t="str">
        <x:v>Реанимация</x:v>
      </x:c>
      <x:c r="E1016" t="str">
        <x:v>ПРОДАЖИ: Отвалы</x:v>
      </x:c>
      <x:c r="F1016" t="str">
        <x:v>Мария Ус</x:v>
      </x:c>
      <x:c r="G1016" t="str">
        <x:v>нет</x:v>
      </x:c>
      <x:c r="H1016" t="str">
        <x:v>нет</x:v>
      </x:c>
    </x:row>
    <x:row r="1017">
      <x:c r="A1017" t="str">
        <x:v>8866</x:v>
      </x:c>
      <x:c r="B1017" t="str">
        <x:v>rpm-moto.ru</x:v>
      </x:c>
      <x:c r="C1017" t="e">
        <x:f>HYPERLINK("https://belberrycrm.bitrix24.ru/crm/deal/details/8866/","https://belberrycrm.bitrix24.ru/crm/deal/details/8866/")</x:f>
      </x:c>
      <x:c r="D1017" t="str">
        <x:v>Реанимация</x:v>
      </x:c>
      <x:c r="E1017" t="str">
        <x:v>ПРОДАЖИ: Отвалы</x:v>
      </x:c>
      <x:c r="F1017" t="str">
        <x:v>Мария Ус</x:v>
      </x:c>
      <x:c r="G1017" t="str">
        <x:v>нет</x:v>
      </x:c>
      <x:c r="H1017" t="str">
        <x:v>нет</x:v>
      </x:c>
    </x:row>
    <x:row r="1018">
      <x:c r="A1018" t="str">
        <x:v>8888</x:v>
      </x:c>
      <x:c r="B1018" t="str">
        <x:v>Александр</x:v>
      </x:c>
      <x:c r="C1018" t="e">
        <x:f>HYPERLINK("https://belberrycrm.bitrix24.ru/crm/deal/details/8888/","https://belberrycrm.bitrix24.ru/crm/deal/details/8888/")</x:f>
      </x:c>
      <x:c r="D1018" t="str">
        <x:v>Реанимация</x:v>
      </x:c>
      <x:c r="E1018" t="str">
        <x:v>ПРОДАЖИ: Отвалы</x:v>
      </x:c>
      <x:c r="F1018" t="str">
        <x:v>Петр Дудин</x:v>
      </x:c>
      <x:c r="G1018" t="str">
        <x:v>нет</x:v>
      </x:c>
      <x:c r="H1018" t="str">
        <x:v>нет</x:v>
      </x:c>
    </x:row>
    <x:row r="1019">
      <x:c r="A1019" t="str">
        <x:v>8902</x:v>
      </x:c>
      <x:c r="B1019" t="str">
        <x:v>Заявка с сайта от Исмаил 79639992040</x:v>
      </x:c>
      <x:c r="C1019" t="e">
        <x:f>HYPERLINK("https://belberrycrm.bitrix24.ru/crm/deal/details/8902/","https://belberrycrm.bitrix24.ru/crm/deal/details/8902/")</x:f>
      </x:c>
      <x:c r="D1019" t="str">
        <x:v>Реанимация</x:v>
      </x:c>
      <x:c r="E1019" t="str">
        <x:v>ПРОДАЖИ: Отвалы</x:v>
      </x:c>
      <x:c r="F1019" t="str">
        <x:v>Петр Дудин</x:v>
      </x:c>
      <x:c r="G1019" t="str">
        <x:v>нет</x:v>
      </x:c>
      <x:c r="H1019" t="str">
        <x:v>нет</x:v>
      </x:c>
    </x:row>
    <x:row r="1020">
      <x:c r="A1020" t="str">
        <x:v>8910</x:v>
      </x:c>
      <x:c r="B1020" t="str">
        <x:v>Строительное проектирование</x:v>
      </x:c>
      <x:c r="C1020" t="e">
        <x:f>HYPERLINK("https://belberrycrm.bitrix24.ru/crm/deal/details/8910/","https://belberrycrm.bitrix24.ru/crm/deal/details/8910/")</x:f>
      </x:c>
      <x:c r="D1020" t="str">
        <x:v>Реанимация</x:v>
      </x:c>
      <x:c r="E1020" t="str">
        <x:v>ПРОДАЖИ: Отвалы</x:v>
      </x:c>
      <x:c r="F1020" t="str">
        <x:v>Александр Голядкин</x:v>
      </x:c>
      <x:c r="G1020" t="str">
        <x:v>нет</x:v>
      </x:c>
      <x:c r="H1020" t="str">
        <x:v>нет</x:v>
      </x:c>
    </x:row>
    <x:row r="1021">
      <x:c r="A1021" t="str">
        <x:v>8916</x:v>
      </x:c>
      <x:c r="B1021" t="str">
        <x:v>verakso.ru</x:v>
      </x:c>
      <x:c r="C1021" t="e">
        <x:f>HYPERLINK("https://belberrycrm.bitrix24.ru/crm/deal/details/8916/","https://belberrycrm.bitrix24.ru/crm/deal/details/8916/")</x:f>
      </x:c>
      <x:c r="D1021" t="str">
        <x:v>Реанимация</x:v>
      </x:c>
      <x:c r="E1021" t="str">
        <x:v>ПРОДАЖИ: Отвалы</x:v>
      </x:c>
      <x:c r="F1021" t="str">
        <x:v>Александр Голядкин</x:v>
      </x:c>
      <x:c r="G1021" t="str">
        <x:v>да</x:v>
      </x:c>
      <x:c r="H1021" t="str">
        <x:v>нет</x:v>
      </x:c>
    </x:row>
    <x:row r="1022">
      <x:c r="A1022" t="str">
        <x:v>8922</x:v>
      </x:c>
      <x:c r="B1022" t="str">
        <x:v>Balico</x:v>
      </x:c>
      <x:c r="C1022" t="e">
        <x:f>HYPERLINK("https://belberrycrm.bitrix24.ru/crm/deal/details/8922/","https://belberrycrm.bitrix24.ru/crm/deal/details/8922/")</x:f>
      </x:c>
      <x:c r="D1022" t="str">
        <x:v>Реанимация</x:v>
      </x:c>
      <x:c r="E1022" t="str">
        <x:v>ПРОДАЖИ: Запрос цены</x:v>
      </x:c>
      <x:c r="F1022" t="str">
        <x:v>Александр Голядкин</x:v>
      </x:c>
      <x:c r="G1022" t="str">
        <x:v>нет</x:v>
      </x:c>
      <x:c r="H1022" t="str">
        <x:v>нет</x:v>
      </x:c>
    </x:row>
    <x:row r="1023">
      <x:c r="A1023" t="str">
        <x:v>8924</x:v>
      </x:c>
      <x:c r="B1023" t="str">
        <x:v>real-estate.team</x:v>
      </x:c>
      <x:c r="C1023" t="e">
        <x:f>HYPERLINK("https://belberrycrm.bitrix24.ru/crm/deal/details/8924/","https://belberrycrm.bitrix24.ru/crm/deal/details/8924/")</x:f>
      </x:c>
      <x:c r="D1023" t="str">
        <x:v>Реанимация</x:v>
      </x:c>
      <x:c r="E1023" t="str">
        <x:v>ПРОДАЖИ: Отвалы</x:v>
      </x:c>
      <x:c r="F1023" t="str">
        <x:v>Александр Голядкин</x:v>
      </x:c>
      <x:c r="G1023" t="str">
        <x:v>нет</x:v>
      </x:c>
      <x:c r="H1023" t="str">
        <x:v>нет</x:v>
      </x:c>
    </x:row>
    <x:row r="1024">
      <x:c r="A1024" t="str">
        <x:v>8930</x:v>
      </x:c>
      <x:c r="B1024" t="str">
        <x:v>test2</x:v>
      </x:c>
      <x:c r="C1024" t="e">
        <x:f>HYPERLINK("https://belberrycrm.bitrix24.ru/crm/deal/details/8930/","https://belberrycrm.bitrix24.ru/crm/deal/details/8930/")</x:f>
      </x:c>
      <x:c r="D1024" t="str">
        <x:v>Реанимация</x:v>
      </x:c>
      <x:c r="E1024" t="str">
        <x:v>АРХИВ Общая</x:v>
      </x:c>
      <x:c r="F1024" t="str">
        <x:v>Екатерина Апушкина</x:v>
      </x:c>
      <x:c r="G1024" t="str">
        <x:v>нет</x:v>
      </x:c>
      <x:c r="H1024" t="str">
        <x:v>нет</x:v>
      </x:c>
    </x:row>
    <x:row r="1025">
      <x:c r="A1025" t="str">
        <x:v>8956</x:v>
      </x:c>
      <x:c r="B1025" t="str">
        <x:v>доставка товаров</x:v>
      </x:c>
      <x:c r="C1025" t="e">
        <x:f>HYPERLINK("https://belberrycrm.bitrix24.ru/crm/deal/details/8956/","https://belberrycrm.bitrix24.ru/crm/deal/details/8956/")</x:f>
      </x:c>
      <x:c r="D1025" t="str">
        <x:v>Реанимация</x:v>
      </x:c>
      <x:c r="E1025" t="str">
        <x:v>АРХИВ Общая</x:v>
      </x:c>
      <x:c r="F1025" t="str">
        <x:v>Екатерина Апушкина</x:v>
      </x:c>
      <x:c r="G1025" t="str">
        <x:v>нет</x:v>
      </x:c>
      <x:c r="H1025" t="str">
        <x:v>нет</x:v>
      </x:c>
    </x:row>
    <x:row r="1026">
      <x:c r="A1026" t="str">
        <x:v>8972</x:v>
      </x:c>
      <x:c r="B1026" t="str">
        <x:v>tennis1.ru</x:v>
      </x:c>
      <x:c r="C1026" t="e">
        <x:f>HYPERLINK("https://belberrycrm.bitrix24.ru/crm/deal/details/8972/","https://belberrycrm.bitrix24.ru/crm/deal/details/8972/")</x:f>
      </x:c>
      <x:c r="D1026" t="str">
        <x:v>Реанимация</x:v>
      </x:c>
      <x:c r="E1026" t="str">
        <x:v>ПРОДАЖИ: Отвалы</x:v>
      </x:c>
      <x:c r="F1026" t="str">
        <x:v>Александр Голядкин</x:v>
      </x:c>
      <x:c r="G1026" t="str">
        <x:v>да</x:v>
      </x:c>
      <x:c r="H1026" t="str">
        <x:v>нет</x:v>
      </x:c>
    </x:row>
    <x:row r="1027">
      <x:c r="A1027" t="str">
        <x:v>9006</x:v>
      </x:c>
      <x:c r="B1027" t="str">
        <x:v>МЦ Алис (Челябинск)</x:v>
      </x:c>
      <x:c r="C1027" t="e">
        <x:f>HYPERLINK("https://belberrycrm.bitrix24.ru/crm/deal/details/9006/","https://belberrycrm.bitrix24.ru/crm/deal/details/9006/")</x:f>
      </x:c>
      <x:c r="D1027" t="str">
        <x:v>Реанимация</x:v>
      </x:c>
      <x:c r="E1027" t="str">
        <x:v>ПРОДАЖИ: Отвалы</x:v>
      </x:c>
      <x:c r="F1027" t="str">
        <x:v>Руслан Дмитриев</x:v>
      </x:c>
      <x:c r="G1027" t="str">
        <x:v>да</x:v>
      </x:c>
      <x:c r="H1027" t="str">
        <x:v>нет</x:v>
      </x:c>
    </x:row>
    <x:row r="1028">
      <x:c r="A1028" t="str">
        <x:v>9024</x:v>
      </x:c>
      <x:c r="B1028" t="str">
        <x:v>echo-service.ru</x:v>
      </x:c>
      <x:c r="C1028" t="e">
        <x:f>HYPERLINK("https://belberrycrm.bitrix24.ru/crm/deal/details/9024/","https://belberrycrm.bitrix24.ru/crm/deal/details/9024/")</x:f>
      </x:c>
      <x:c r="D1028" t="str">
        <x:v>Реанимация</x:v>
      </x:c>
      <x:c r="E1028" t="str">
        <x:v>ПРОДАЖИ: Отвалы</x:v>
      </x:c>
      <x:c r="F1028" t="str">
        <x:v>Александр Голядкин</x:v>
      </x:c>
      <x:c r="G1028" t="str">
        <x:v>да</x:v>
      </x:c>
      <x:c r="H1028" t="str">
        <x:v>нет</x:v>
      </x:c>
    </x:row>
    <x:row r="1029">
      <x:c r="A1029" t="str">
        <x:v>9040</x:v>
      </x:c>
      <x:c r="B1029" t="str">
        <x:v>Айдар</x:v>
      </x:c>
      <x:c r="C1029" t="e">
        <x:f>HYPERLINK("https://belberrycrm.bitrix24.ru/crm/deal/details/9040/","https://belberrycrm.bitrix24.ru/crm/deal/details/9040/")</x:f>
      </x:c>
      <x:c r="D1029" t="str">
        <x:v>Реанимация</x:v>
      </x:c>
      <x:c r="E1029" t="str">
        <x:v>ПРОДАЖИ: Отвалы</x:v>
      </x:c>
      <x:c r="F1029" t="str">
        <x:v>Петр Дудин</x:v>
      </x:c>
      <x:c r="G1029" t="str">
        <x:v>нет</x:v>
      </x:c>
      <x:c r="H1029" t="str">
        <x:v>нет</x:v>
      </x:c>
    </x:row>
    <x:row r="1030">
      <x:c r="A1030" t="str">
        <x:v>9084</x:v>
      </x:c>
      <x:c r="B1030" t="str">
        <x:v>Юлия (психолог)</x:v>
      </x:c>
      <x:c r="C1030" t="e">
        <x:f>HYPERLINK("https://belberrycrm.bitrix24.ru/crm/deal/details/9084/","https://belberrycrm.bitrix24.ru/crm/deal/details/9084/")</x:f>
      </x:c>
      <x:c r="D1030" t="str">
        <x:v>Реанимация</x:v>
      </x:c>
      <x:c r="E1030" t="str">
        <x:v>ПРОДАЖИ: Не сейчас</x:v>
      </x:c>
      <x:c r="F1030" t="str">
        <x:v>Петр Дудин</x:v>
      </x:c>
      <x:c r="G1030" t="str">
        <x:v>нет</x:v>
      </x:c>
      <x:c r="H1030" t="str">
        <x:v>нет</x:v>
      </x:c>
    </x:row>
    <x:row r="1031">
      <x:c r="A1031" t="str">
        <x:v>9086</x:v>
      </x:c>
      <x:c r="B1031" t="str">
        <x:v>фуд кластер ру</x:v>
      </x:c>
      <x:c r="C1031" t="e">
        <x:f>HYPERLINK("https://belberrycrm.bitrix24.ru/crm/deal/details/9086/","https://belberrycrm.bitrix24.ru/crm/deal/details/9086/")</x:f>
      </x:c>
      <x:c r="D1031" t="str">
        <x:v>Реанимация</x:v>
      </x:c>
      <x:c r="E1031" t="str">
        <x:v>ПРОДАЖИ: Запрос цены</x:v>
      </x:c>
      <x:c r="F1031" t="str">
        <x:v>Александр Голядкин</x:v>
      </x:c>
      <x:c r="G1031" t="str">
        <x:v>нет</x:v>
      </x:c>
      <x:c r="H1031" t="str">
        <x:v>нет</x:v>
      </x:c>
    </x:row>
    <x:row r="1032">
      <x:c r="A1032" t="str">
        <x:v>9088</x:v>
      </x:c>
      <x:c r="B1032" t="str">
        <x:v>тутморе-лайф.рф‎</x:v>
      </x:c>
      <x:c r="C1032" t="e">
        <x:f>HYPERLINK("https://belberrycrm.bitrix24.ru/crm/deal/details/9088/","https://belberrycrm.bitrix24.ru/crm/deal/details/9088/")</x:f>
      </x:c>
      <x:c r="D1032" t="str">
        <x:v>Реанимация</x:v>
      </x:c>
      <x:c r="E1032" t="str">
        <x:v>ПРОДАЖИ: Запрос цены</x:v>
      </x:c>
      <x:c r="F1032" t="str">
        <x:v>Александр Голядкин</x:v>
      </x:c>
      <x:c r="G1032" t="str">
        <x:v>нет</x:v>
      </x:c>
      <x:c r="H1032" t="str">
        <x:v>нет</x:v>
      </x:c>
    </x:row>
    <x:row r="1033">
      <x:c r="A1033" t="str">
        <x:v>9118</x:v>
      </x:c>
      <x:c r="B1033" t="str">
        <x:v>Анатолий (психолог)</x:v>
      </x:c>
      <x:c r="C1033" t="e">
        <x:f>HYPERLINK("https://belberrycrm.bitrix24.ru/crm/deal/details/9118/","https://belberrycrm.bitrix24.ru/crm/deal/details/9118/")</x:f>
      </x:c>
      <x:c r="D1033" t="str">
        <x:v>Реанимация</x:v>
      </x:c>
      <x:c r="E1033" t="str">
        <x:v>ПРОДАЖИ: Отвалы</x:v>
      </x:c>
      <x:c r="F1033" t="str">
        <x:v>Петр Дудин</x:v>
      </x:c>
      <x:c r="G1033" t="str">
        <x:v>нет</x:v>
      </x:c>
      <x:c r="H1033" t="str">
        <x:v>нет</x:v>
      </x:c>
    </x:row>
    <x:row r="1034">
      <x:c r="A1034" t="str">
        <x:v>9144</x:v>
      </x:c>
      <x:c r="B1034" t="str">
        <x:v>maximabank.ru</x:v>
      </x:c>
      <x:c r="C1034" t="e">
        <x:f>HYPERLINK("https://belberrycrm.bitrix24.ru/crm/deal/details/9144/","https://belberrycrm.bitrix24.ru/crm/deal/details/9144/")</x:f>
      </x:c>
      <x:c r="D1034" t="str">
        <x:v>Реанимация</x:v>
      </x:c>
      <x:c r="E1034" t="str">
        <x:v>ПРОДАЖИ: Отвалы</x:v>
      </x:c>
      <x:c r="F1034" t="str">
        <x:v>Петр Дудин</x:v>
      </x:c>
      <x:c r="G1034" t="str">
        <x:v>да</x:v>
      </x:c>
      <x:c r="H1034" t="str">
        <x:v>нет</x:v>
      </x:c>
    </x:row>
    <x:row r="1035">
      <x:c r="A1035" t="str">
        <x:v>9166</x:v>
      </x:c>
      <x:c r="B1035" t="str">
        <x:v>ООО «МАЛЕФ»</x:v>
      </x:c>
      <x:c r="C1035" t="e">
        <x:f>HYPERLINK("https://belberrycrm.bitrix24.ru/crm/deal/details/9166/","https://belberrycrm.bitrix24.ru/crm/deal/details/9166/")</x:f>
      </x:c>
      <x:c r="D1035" t="str">
        <x:v>Реанимация</x:v>
      </x:c>
      <x:c r="E1035" t="str">
        <x:v>ПРОДАЖИ: Отвалы</x:v>
      </x:c>
      <x:c r="F1035" t="str">
        <x:v>Александр Голядкин</x:v>
      </x:c>
      <x:c r="G1035" t="str">
        <x:v>да</x:v>
      </x:c>
      <x:c r="H1035" t="str">
        <x:v>нет</x:v>
      </x:c>
    </x:row>
    <x:row r="1036">
      <x:c r="A1036" t="str">
        <x:v>9184</x:v>
      </x:c>
      <x:c r="B1036" t="str">
        <x:v>Клиника “АКАДЕМИКА”</x:v>
      </x:c>
      <x:c r="C1036" t="e">
        <x:f>HYPERLINK("https://belberrycrm.bitrix24.ru/crm/deal/details/9184/","https://belberrycrm.bitrix24.ru/crm/deal/details/9184/")</x:f>
      </x:c>
      <x:c r="D1036" t="str">
        <x:v>Реанимация</x:v>
      </x:c>
      <x:c r="E1036" t="str">
        <x:v>ПРОДАЖИ: Отвалы</x:v>
      </x:c>
      <x:c r="F1036" t="str">
        <x:v>Петр Дудин</x:v>
      </x:c>
      <x:c r="G1036" t="str">
        <x:v>нет</x:v>
      </x:c>
      <x:c r="H1036" t="str">
        <x:v>нет</x:v>
      </x:c>
    </x:row>
    <x:row r="1037">
      <x:c r="A1037" t="str">
        <x:v>9252</x:v>
      </x:c>
      <x:c r="B1037" t="str">
        <x:v>unkp.ru</x:v>
      </x:c>
      <x:c r="C1037" t="e">
        <x:f>HYPERLINK("https://belberrycrm.bitrix24.ru/crm/deal/details/9252/","https://belberrycrm.bitrix24.ru/crm/deal/details/9252/")</x:f>
      </x:c>
      <x:c r="D1037" t="str">
        <x:v>Реанимация</x:v>
      </x:c>
      <x:c r="E1037" t="str">
        <x:v>ПРОДАЖИ: Отвалы</x:v>
      </x:c>
      <x:c r="F1037" t="str">
        <x:v>Петр Дудин</x:v>
      </x:c>
      <x:c r="G1037" t="str">
        <x:v>да</x:v>
      </x:c>
      <x:c r="H1037" t="str">
        <x:v>нет</x:v>
      </x:c>
    </x:row>
    <x:row r="1038">
      <x:c r="A1038" t="str">
        <x:v>9254</x:v>
      </x:c>
      <x:c r="B1038" t="str">
        <x:v>Зелимхан (онко-прокто отделение rzd-medicine.ru)</x:v>
      </x:c>
      <x:c r="C1038" t="e">
        <x:f>HYPERLINK("https://belberrycrm.bitrix24.ru/crm/deal/details/9254/","https://belberrycrm.bitrix24.ru/crm/deal/details/9254/")</x:f>
      </x:c>
      <x:c r="D1038" t="str">
        <x:v>Реанимация</x:v>
      </x:c>
      <x:c r="E1038" t="str">
        <x:v>ПРОДАЖИ: Отвалы</x:v>
      </x:c>
      <x:c r="F1038" t="str">
        <x:v>Петр Дудин</x:v>
      </x:c>
      <x:c r="G1038" t="str">
        <x:v>нет</x:v>
      </x:c>
      <x:c r="H1038" t="str">
        <x:v>нет</x:v>
      </x:c>
    </x:row>
    <x:row r="1039">
      <x:c r="A1039" t="str">
        <x:v>9282</x:v>
      </x:c>
      <x:c r="B1039" t="str">
        <x:v>Заявка с сайта от Вадим 79522600056</x:v>
      </x:c>
      <x:c r="C1039" t="e">
        <x:f>HYPERLINK("https://belberrycrm.bitrix24.ru/crm/deal/details/9282/","https://belberrycrm.bitrix24.ru/crm/deal/details/9282/")</x:f>
      </x:c>
      <x:c r="D1039" t="str">
        <x:v>Реанимация</x:v>
      </x:c>
      <x:c r="E1039" t="str">
        <x:v>ПРОДАЖИ: Отвалы</x:v>
      </x:c>
      <x:c r="F1039" t="str">
        <x:v>Александр Голядкин</x:v>
      </x:c>
      <x:c r="G1039" t="str">
        <x:v>нет</x:v>
      </x:c>
      <x:c r="H1039" t="str">
        <x:v>нет</x:v>
      </x:c>
    </x:row>
    <x:row r="1040">
      <x:c r="A1040" t="str">
        <x:v>9288</x:v>
      </x:c>
      <x:c r="B1040" t="str">
        <x:v>Клиентология +79637779121</x:v>
      </x:c>
      <x:c r="C1040" t="e">
        <x:f>HYPERLINK("https://belberrycrm.bitrix24.ru/crm/deal/details/9288/","https://belberrycrm.bitrix24.ru/crm/deal/details/9288/")</x:f>
      </x:c>
      <x:c r="D1040" t="str">
        <x:v>Реанимация</x:v>
      </x:c>
      <x:c r="E1040" t="str">
        <x:v>ПРОДАЖИ: Отвалы</x:v>
      </x:c>
      <x:c r="F1040" t="str">
        <x:v>Петр Дудин</x:v>
      </x:c>
      <x:c r="G1040" t="str">
        <x:v>да</x:v>
      </x:c>
      <x:c r="H1040" t="str">
        <x:v>нет</x:v>
      </x:c>
    </x:row>
    <x:row r="1041">
      <x:c r="A1041" t="str">
        <x:v>9290</x:v>
      </x:c>
      <x:c r="B1041" t="str">
        <x:v>ООО ИКСО</x:v>
      </x:c>
      <x:c r="C1041" t="e">
        <x:f>HYPERLINK("https://belberrycrm.bitrix24.ru/crm/deal/details/9290/","https://belberrycrm.bitrix24.ru/crm/deal/details/9290/")</x:f>
      </x:c>
      <x:c r="D1041" t="str">
        <x:v>Реанимация</x:v>
      </x:c>
      <x:c r="E1041" t="str">
        <x:v>ПРОДАЖИ: Запрос цены</x:v>
      </x:c>
      <x:c r="F1041" t="str">
        <x:v>Александр Голядкин</x:v>
      </x:c>
      <x:c r="G1041" t="str">
        <x:v>нет</x:v>
      </x:c>
      <x:c r="H1041" t="str">
        <x:v>нет</x:v>
      </x:c>
    </x:row>
    <x:row r="1042">
      <x:c r="A1042" t="str">
        <x:v>9348</x:v>
      </x:c>
      <x:c r="B1042" t="str">
        <x:v>Первоздрав</x:v>
      </x:c>
      <x:c r="C1042" t="e">
        <x:f>HYPERLINK("https://belberrycrm.bitrix24.ru/crm/deal/details/9348/","https://belberrycrm.bitrix24.ru/crm/deal/details/9348/")</x:f>
      </x:c>
      <x:c r="D1042" t="str">
        <x:v>Реанимация</x:v>
      </x:c>
      <x:c r="E1042" t="str">
        <x:v>ПРОДАЖИ: Отвалы</x:v>
      </x:c>
      <x:c r="F1042" t="str">
        <x:v>Александр Голядкин</x:v>
      </x:c>
      <x:c r="G1042" t="str">
        <x:v>нет</x:v>
      </x:c>
      <x:c r="H1042" t="str">
        <x:v>нет</x:v>
      </x:c>
    </x:row>
    <x:row r="1043">
      <x:c r="A1043" t="str">
        <x:v>9374</x:v>
      </x:c>
      <x:c r="B1043" t="str">
        <x:v>https://t.me/sretenskaya_top</x:v>
      </x:c>
      <x:c r="C1043" t="e">
        <x:f>HYPERLINK("https://belberrycrm.bitrix24.ru/crm/deal/details/9374/","https://belberrycrm.bitrix24.ru/crm/deal/details/9374/")</x:f>
      </x:c>
      <x:c r="D1043" t="str">
        <x:v>Реанимация</x:v>
      </x:c>
      <x:c r="E1043" t="str">
        <x:v>ПРОДАЖИ: Отвалы</x:v>
      </x:c>
      <x:c r="F1043" t="str">
        <x:v>Петр Дудин</x:v>
      </x:c>
      <x:c r="G1043" t="str">
        <x:v>нет</x:v>
      </x:c>
      <x:c r="H1043" t="str">
        <x:v>нет</x:v>
      </x:c>
    </x:row>
    <x:row r="1044">
      <x:c r="A1044" t="str">
        <x:v>9376</x:v>
      </x:c>
      <x:c r="B1044" t="str">
        <x:v>Марьям Самвелян стоматолог</x:v>
      </x:c>
      <x:c r="C1044" t="e">
        <x:f>HYPERLINK("https://belberrycrm.bitrix24.ru/crm/deal/details/9376/","https://belberrycrm.bitrix24.ru/crm/deal/details/9376/")</x:f>
      </x:c>
      <x:c r="D1044" t="str">
        <x:v>Реанимация</x:v>
      </x:c>
      <x:c r="E1044" t="str">
        <x:v>ПРОДАЖИ: Отвалы</x:v>
      </x:c>
      <x:c r="F1044" t="str">
        <x:v>Петр Дудин</x:v>
      </x:c>
      <x:c r="G1044" t="str">
        <x:v>нет</x:v>
      </x:c>
      <x:c r="H1044" t="str">
        <x:v>нет</x:v>
      </x:c>
    </x:row>
    <x:row r="1045">
      <x:c r="A1045" t="str">
        <x:v>9378</x:v>
      </x:c>
      <x:c r="B1045" t="str">
        <x:v>сайт врача</x:v>
      </x:c>
      <x:c r="C1045" t="e">
        <x:f>HYPERLINK("https://belberrycrm.bitrix24.ru/crm/deal/details/9378/","https://belberrycrm.bitrix24.ru/crm/deal/details/9378/")</x:f>
      </x:c>
      <x:c r="D1045" t="str">
        <x:v>Реанимация</x:v>
      </x:c>
      <x:c r="E1045" t="str">
        <x:v>ПРОДАЖИ: Запрос цены</x:v>
      </x:c>
      <x:c r="F1045" t="str">
        <x:v>Александр Голядкин</x:v>
      </x:c>
      <x:c r="G1045" t="str">
        <x:v>нет</x:v>
      </x:c>
      <x:c r="H1045" t="str">
        <x:v>нет</x:v>
      </x:c>
    </x:row>
    <x:row r="1046">
      <x:c r="A1046" t="str">
        <x:v>9386</x:v>
      </x:c>
      <x:c r="B1046" t="str">
        <x:v>Детские реабилитологи</x:v>
      </x:c>
      <x:c r="C1046" t="e">
        <x:f>HYPERLINK("https://belberrycrm.bitrix24.ru/crm/deal/details/9386/","https://belberrycrm.bitrix24.ru/crm/deal/details/9386/")</x:f>
      </x:c>
      <x:c r="D1046" t="str">
        <x:v>Реанимация</x:v>
      </x:c>
      <x:c r="E1046" t="str">
        <x:v>ПРОДАЖИ: Отвалы</x:v>
      </x:c>
      <x:c r="F1046" t="str">
        <x:v>Петр Дудин</x:v>
      </x:c>
      <x:c r="G1046" t="str">
        <x:v>нет</x:v>
      </x:c>
      <x:c r="H1046" t="str">
        <x:v>нет</x:v>
      </x:c>
    </x:row>
    <x:row r="1047">
      <x:c r="A1047" t="str">
        <x:v>9392</x:v>
      </x:c>
      <x:c r="B1047" t="str">
        <x:v>upsale-agency.ru</x:v>
      </x:c>
      <x:c r="C1047" t="e">
        <x:f>HYPERLINK("https://belberrycrm.bitrix24.ru/crm/deal/details/9392/","https://belberrycrm.bitrix24.ru/crm/deal/details/9392/")</x:f>
      </x:c>
      <x:c r="D1047" t="str">
        <x:v>Реанимация</x:v>
      </x:c>
      <x:c r="E1047" t="str">
        <x:v>ПРОДАЖИ: Отвалы</x:v>
      </x:c>
      <x:c r="F1047" t="str">
        <x:v>Петр Дудин</x:v>
      </x:c>
      <x:c r="G1047" t="str">
        <x:v>нет</x:v>
      </x:c>
      <x:c r="H1047" t="str">
        <x:v>нет</x:v>
      </x:c>
    </x:row>
    <x:row r="1048">
      <x:c r="A1048" t="str">
        <x:v>9430</x:v>
      </x:c>
      <x:c r="B1048" t="str">
        <x:v>erv.ru</x:v>
      </x:c>
      <x:c r="C1048" t="e">
        <x:f>HYPERLINK("https://belberrycrm.bitrix24.ru/crm/deal/details/9430/","https://belberrycrm.bitrix24.ru/crm/deal/details/9430/")</x:f>
      </x:c>
      <x:c r="D1048" t="str">
        <x:v>Реанимация</x:v>
      </x:c>
      <x:c r="E1048" t="str">
        <x:v>База для реанимации</x:v>
      </x:c>
      <x:c r="F1048" t="str">
        <x:v>Екатерина Кохтачева</x:v>
      </x:c>
      <x:c r="G1048" t="str">
        <x:v>да</x:v>
      </x:c>
      <x:c r="H1048" t="str">
        <x:v>нет</x:v>
      </x:c>
    </x:row>
    <x:row r="1049">
      <x:c r="A1049" t="str">
        <x:v>9446</x:v>
      </x:c>
      <x:c r="B1049" t="str">
        <x:v>Врач Невролог Т.Шерефли</x:v>
      </x:c>
      <x:c r="C1049" t="e">
        <x:f>HYPERLINK("https://belberrycrm.bitrix24.ru/crm/deal/details/9446/","https://belberrycrm.bitrix24.ru/crm/deal/details/9446/")</x:f>
      </x:c>
      <x:c r="D1049" t="str">
        <x:v>Реанимация</x:v>
      </x:c>
      <x:c r="E1049" t="str">
        <x:v>ПРОДАЖИ: Отвалы</x:v>
      </x:c>
      <x:c r="F1049" t="str">
        <x:v>Петр Дудин</x:v>
      </x:c>
      <x:c r="G1049" t="str">
        <x:v>нет</x:v>
      </x:c>
      <x:c r="H1049" t="str">
        <x:v>нет</x:v>
      </x:c>
    </x:row>
    <x:row r="1050">
      <x:c r="A1050" t="str">
        <x:v>9476</x:v>
      </x:c>
      <x:c r="B1050" t="str">
        <x:v>Сергей (Косметология)</x:v>
      </x:c>
      <x:c r="C1050" t="e">
        <x:f>HYPERLINK("https://belberrycrm.bitrix24.ru/crm/deal/details/9476/","https://belberrycrm.bitrix24.ru/crm/deal/details/9476/")</x:f>
      </x:c>
      <x:c r="D1050" t="str">
        <x:v>Реанимация</x:v>
      </x:c>
      <x:c r="E1050" t="str">
        <x:v>ПРОДАЖИ: Не сейчас</x:v>
      </x:c>
      <x:c r="F1050" t="str">
        <x:v>Екатерина Кохтачева</x:v>
      </x:c>
      <x:c r="G1050" t="str">
        <x:v>нет</x:v>
      </x:c>
      <x:c r="H1050" t="str">
        <x:v>нет</x:v>
      </x:c>
    </x:row>
    <x:row r="1051">
      <x:c r="A1051" t="str">
        <x:v>9490</x:v>
      </x:c>
      <x:c r="B1051" t="str">
        <x:v>univ.su</x:v>
      </x:c>
      <x:c r="C1051" t="e">
        <x:f>HYPERLINK("https://belberrycrm.bitrix24.ru/crm/deal/details/9490/","https://belberrycrm.bitrix24.ru/crm/deal/details/9490/")</x:f>
      </x:c>
      <x:c r="D1051" t="str">
        <x:v>Реанимация</x:v>
      </x:c>
      <x:c r="E1051" t="str">
        <x:v>ПРОДАЖИ: Отвалы</x:v>
      </x:c>
      <x:c r="F1051" t="str">
        <x:v>Евгения Гордиенко</x:v>
      </x:c>
      <x:c r="G1051" t="str">
        <x:v>да</x:v>
      </x:c>
      <x:c r="H1051" t="str">
        <x:v>нет</x:v>
      </x:c>
    </x:row>
    <x:row r="1052">
      <x:c r="A1052" t="str">
        <x:v>9492</x:v>
      </x:c>
      <x:c r="B1052" t="str">
        <x:v>Каталина (стоматология)</x:v>
      </x:c>
      <x:c r="C1052" t="e">
        <x:f>HYPERLINK("https://belberrycrm.bitrix24.ru/crm/deal/details/9492/","https://belberrycrm.bitrix24.ru/crm/deal/details/9492/")</x:f>
      </x:c>
      <x:c r="D1052" t="str">
        <x:v>Реанимация</x:v>
      </x:c>
      <x:c r="E1052" t="str">
        <x:v>ПРОДАЖИ: Отвалы</x:v>
      </x:c>
      <x:c r="F1052" t="str">
        <x:v>Петр Дудин</x:v>
      </x:c>
      <x:c r="G1052" t="str">
        <x:v>нет</x:v>
      </x:c>
      <x:c r="H1052" t="str">
        <x:v>нет</x:v>
      </x:c>
    </x:row>
    <x:row r="1053">
      <x:c r="A1053" t="str">
        <x:v>9508</x:v>
      </x:c>
      <x:c r="B1053" t="str">
        <x:v>Заявка на покупку лицензии</x:v>
      </x:c>
      <x:c r="C1053" t="e">
        <x:f>HYPERLINK("https://belberrycrm.bitrix24.ru/crm/deal/details/9508/","https://belberrycrm.bitrix24.ru/crm/deal/details/9508/")</x:f>
      </x:c>
      <x:c r="D1053" t="str">
        <x:v>Реанимация</x:v>
      </x:c>
      <x:c r="E1053" t="str">
        <x:v>АРХИВ Общая</x:v>
      </x:c>
      <x:c r="F1053" t="str">
        <x:v>Екатерина Апушкина</x:v>
      </x:c>
      <x:c r="G1053" t="str">
        <x:v>нет</x:v>
      </x:c>
      <x:c r="H1053" t="str">
        <x:v>нет</x:v>
      </x:c>
    </x:row>
    <x:row r="1054">
      <x:c r="A1054" t="str">
        <x:v>9510</x:v>
      </x:c>
      <x:c r="B1054" t="str">
        <x:v>Заявка на покупку лицензии</x:v>
      </x:c>
      <x:c r="C1054" t="e">
        <x:f>HYPERLINK("https://belberrycrm.bitrix24.ru/crm/deal/details/9510/","https://belberrycrm.bitrix24.ru/crm/deal/details/9510/")</x:f>
      </x:c>
      <x:c r="D1054" t="str">
        <x:v>Реанимация</x:v>
      </x:c>
      <x:c r="E1054" t="str">
        <x:v>АРХИВ Общая</x:v>
      </x:c>
      <x:c r="F1054" t="str">
        <x:v>Екатерина Апушкина</x:v>
      </x:c>
      <x:c r="G1054" t="str">
        <x:v>нет</x:v>
      </x:c>
      <x:c r="H1054" t="str">
        <x:v>нет</x:v>
      </x:c>
    </x:row>
    <x:row r="1055">
      <x:c r="A1055" t="str">
        <x:v>9602</x:v>
      </x:c>
      <x:c r="B1055" t="str">
        <x:v>Ковган (Бариотрический хирург)</x:v>
      </x:c>
      <x:c r="C1055" t="e">
        <x:f>HYPERLINK("https://belberrycrm.bitrix24.ru/crm/deal/details/9602/","https://belberrycrm.bitrix24.ru/crm/deal/details/9602/")</x:f>
      </x:c>
      <x:c r="D1055" t="str">
        <x:v>Реанимация</x:v>
      </x:c>
      <x:c r="E1055" t="str">
        <x:v>ПРОДАЖИ: Не сейчас</x:v>
      </x:c>
      <x:c r="F1055" t="str">
        <x:v>Петр Дудин</x:v>
      </x:c>
      <x:c r="G1055" t="str">
        <x:v>нет</x:v>
      </x:c>
      <x:c r="H1055" t="str">
        <x:v>нет</x:v>
      </x:c>
    </x:row>
    <x:row r="1056">
      <x:c r="A1056" t="str">
        <x:v>9604</x:v>
      </x:c>
      <x:c r="B1056" t="str">
        <x:v>bariatriya.com</x:v>
      </x:c>
      <x:c r="C1056" t="e">
        <x:f>HYPERLINK("https://belberrycrm.bitrix24.ru/crm/deal/details/9604/","https://belberrycrm.bitrix24.ru/crm/deal/details/9604/")</x:f>
      </x:c>
      <x:c r="D1056" t="str">
        <x:v>Реанимация</x:v>
      </x:c>
      <x:c r="E1056" t="str">
        <x:v>ПРОДАЖИ: Отвалы</x:v>
      </x:c>
      <x:c r="F1056" t="str">
        <x:v>Руслан Дмитриев</x:v>
      </x:c>
      <x:c r="G1056" t="str">
        <x:v>нет</x:v>
      </x:c>
      <x:c r="H1056" t="str">
        <x:v>нет</x:v>
      </x:c>
    </x:row>
    <x:row r="1057">
      <x:c r="A1057" t="str">
        <x:v>9616</x:v>
      </x:c>
      <x:c r="B1057" t="str">
        <x:v>Дмитрий (лечение капельницами)</x:v>
      </x:c>
      <x:c r="C1057" t="e">
        <x:f>HYPERLINK("https://belberrycrm.bitrix24.ru/crm/deal/details/9616/","https://belberrycrm.bitrix24.ru/crm/deal/details/9616/")</x:f>
      </x:c>
      <x:c r="D1057" t="str">
        <x:v>Реанимация</x:v>
      </x:c>
      <x:c r="E1057" t="str">
        <x:v>ПРОДАЖИ: Отвалы</x:v>
      </x:c>
      <x:c r="F1057" t="str">
        <x:v>Петр Дудин</x:v>
      </x:c>
      <x:c r="G1057" t="str">
        <x:v>нет</x:v>
      </x:c>
      <x:c r="H1057" t="str">
        <x:v>нет</x:v>
      </x:c>
    </x:row>
    <x:row r="1058">
      <x:c r="A1058" t="str">
        <x:v>9646</x:v>
      </x:c>
      <x:c r="B1058" t="str">
        <x:v>А. К. А. Smile</x:v>
      </x:c>
      <x:c r="C1058" t="e">
        <x:f>HYPERLINK("https://belberrycrm.bitrix24.ru/crm/deal/details/9646/","https://belberrycrm.bitrix24.ru/crm/deal/details/9646/")</x:f>
      </x:c>
      <x:c r="D1058" t="str">
        <x:v>Реанимация</x:v>
      </x:c>
      <x:c r="E1058" t="str">
        <x:v>ПРОДАЖИ: Отвалы</x:v>
      </x:c>
      <x:c r="F1058" t="str">
        <x:v>Петр Дудин</x:v>
      </x:c>
      <x:c r="G1058" t="str">
        <x:v>нет</x:v>
      </x:c>
      <x:c r="H1058" t="str">
        <x:v>нет</x:v>
      </x:c>
    </x:row>
    <x:row r="1059">
      <x:c r="A1059" t="str">
        <x:v>9654</x:v>
      </x:c>
      <x:c r="B1059" t="str">
        <x:v>veksgroup.com/ru</x:v>
      </x:c>
      <x:c r="C1059" t="e">
        <x:f>HYPERLINK("https://belberrycrm.bitrix24.ru/crm/deal/details/9654/","https://belberrycrm.bitrix24.ru/crm/deal/details/9654/")</x:f>
      </x:c>
      <x:c r="D1059" t="str">
        <x:v>Реанимация</x:v>
      </x:c>
      <x:c r="E1059" t="str">
        <x:v>ПРОДАЖИ: Запрос цены</x:v>
      </x:c>
      <x:c r="F1059" t="str">
        <x:v>Александр Голядкин</x:v>
      </x:c>
      <x:c r="G1059" t="str">
        <x:v>нет</x:v>
      </x:c>
      <x:c r="H1059" t="str">
        <x:v>нет</x:v>
      </x:c>
    </x:row>
    <x:row r="1060">
      <x:c r="A1060" t="str">
        <x:v>9694</x:v>
      </x:c>
      <x:c r="B1060" t="str">
        <x:v>metriks.ru</x:v>
      </x:c>
      <x:c r="C1060" t="e">
        <x:f>HYPERLINK("https://belberrycrm.bitrix24.ru/crm/deal/details/9694/","https://belberrycrm.bitrix24.ru/crm/deal/details/9694/")</x:f>
      </x:c>
      <x:c r="D1060" t="str">
        <x:v>Реанимация</x:v>
      </x:c>
      <x:c r="E1060" t="str">
        <x:v>ПРОДАЖИ: Отвалы</x:v>
      </x:c>
      <x:c r="F1060" t="str">
        <x:v>Евгения Гордиенко</x:v>
      </x:c>
      <x:c r="G1060" t="str">
        <x:v>да</x:v>
      </x:c>
      <x:c r="H1060" t="str">
        <x:v>нет</x:v>
      </x:c>
    </x:row>
    <x:row r="1061">
      <x:c r="A1061" t="str">
        <x:v>9714</x:v>
      </x:c>
      <x:c r="B1061" t="str">
        <x:v>scena.me</x:v>
      </x:c>
      <x:c r="C1061" t="e">
        <x:f>HYPERLINK("https://belberrycrm.bitrix24.ru/crm/deal/details/9714/","https://belberrycrm.bitrix24.ru/crm/deal/details/9714/")</x:f>
      </x:c>
      <x:c r="D1061" t="str">
        <x:v>Реанимация</x:v>
      </x:c>
      <x:c r="E1061" t="str">
        <x:v>ПРОДАЖИ: Отвалы</x:v>
      </x:c>
      <x:c r="F1061" t="str">
        <x:v>Евгения Гордиенко</x:v>
      </x:c>
      <x:c r="G1061" t="str">
        <x:v>нет</x:v>
      </x:c>
      <x:c r="H1061" t="str">
        <x:v>нет</x:v>
      </x:c>
    </x:row>
    <x:row r="1062">
      <x:c r="A1062" t="str">
        <x:v>9734</x:v>
      </x:c>
      <x:c r="B1062" t="str">
        <x:v>urologypro.ru</x:v>
      </x:c>
      <x:c r="C1062" t="e">
        <x:f>HYPERLINK("https://belberrycrm.bitrix24.ru/crm/deal/details/9734/","https://belberrycrm.bitrix24.ru/crm/deal/details/9734/")</x:f>
      </x:c>
      <x:c r="D1062" t="str">
        <x:v>Реанимация</x:v>
      </x:c>
      <x:c r="E1062" t="str">
        <x:v>ПРОДАЖИ: Не сейчас</x:v>
      </x:c>
      <x:c r="F1062" t="str">
        <x:v>Петр Дудин</x:v>
      </x:c>
      <x:c r="G1062" t="str">
        <x:v>нет</x:v>
      </x:c>
      <x:c r="H1062" t="str">
        <x:v>нет</x:v>
      </x:c>
    </x:row>
    <x:row r="1063">
      <x:c r="A1063" t="str">
        <x:v>9804</x:v>
      </x:c>
      <x:c r="B1063" t="str">
        <x:v>kankadze.school</x:v>
      </x:c>
      <x:c r="C1063" t="e">
        <x:f>HYPERLINK("https://belberrycrm.bitrix24.ru/crm/deal/details/9804/","https://belberrycrm.bitrix24.ru/crm/deal/details/9804/")</x:f>
      </x:c>
      <x:c r="D1063" t="str">
        <x:v>Реанимация</x:v>
      </x:c>
      <x:c r="E1063" t="str">
        <x:v>ПРОДАЖИ: Отвалы</x:v>
      </x:c>
      <x:c r="F1063" t="str">
        <x:v>Евгения Гордиенко</x:v>
      </x:c>
      <x:c r="G1063" t="str">
        <x:v>нет</x:v>
      </x:c>
      <x:c r="H1063" t="str">
        <x:v>нет</x:v>
      </x:c>
    </x:row>
    <x:row r="1064">
      <x:c r="A1064" t="str">
        <x:v>9838</x:v>
      </x:c>
      <x:c r="B1064" t="str">
        <x:v>jprettier.ru</x:v>
      </x:c>
      <x:c r="C1064" t="e">
        <x:f>HYPERLINK("https://belberrycrm.bitrix24.ru/crm/deal/details/9838/","https://belberrycrm.bitrix24.ru/crm/deal/details/9838/")</x:f>
      </x:c>
      <x:c r="D1064" t="str">
        <x:v>Реанимация</x:v>
      </x:c>
      <x:c r="E1064" t="str">
        <x:v>ПРОДАЖИ: Отвалы</x:v>
      </x:c>
      <x:c r="F1064" t="str">
        <x:v>Евгения Гордиенко</x:v>
      </x:c>
      <x:c r="G1064" t="str">
        <x:v>да</x:v>
      </x:c>
      <x:c r="H1064" t="str">
        <x:v>нет</x:v>
      </x:c>
    </x:row>
    <x:row r="1065">
      <x:c r="A1065" t="str">
        <x:v>9872</x:v>
      </x:c>
      <x:c r="B1065" t="str">
        <x:v>crystal-klining.ru</x:v>
      </x:c>
      <x:c r="C1065" t="e">
        <x:f>HYPERLINK("https://belberrycrm.bitrix24.ru/crm/deal/details/9872/","https://belberrycrm.bitrix24.ru/crm/deal/details/9872/")</x:f>
      </x:c>
      <x:c r="D1065" t="str">
        <x:v>Реанимация</x:v>
      </x:c>
      <x:c r="E1065" t="str">
        <x:v>ПРОДАЖИ: Отвалы</x:v>
      </x:c>
      <x:c r="F1065" t="str">
        <x:v>Петр Дудин</x:v>
      </x:c>
      <x:c r="G1065" t="str">
        <x:v>да</x:v>
      </x:c>
      <x:c r="H1065" t="str">
        <x:v>нет</x:v>
      </x:c>
    </x:row>
    <x:row r="1066">
      <x:c r="A1066" t="str">
        <x:v>9944</x:v>
      </x:c>
      <x:c r="B1066" t="str">
        <x:v>Владимир клиника Время красоты</x:v>
      </x:c>
      <x:c r="C1066" t="e">
        <x:f>HYPERLINK("https://belberrycrm.bitrix24.ru/crm/deal/details/9944/","https://belberrycrm.bitrix24.ru/crm/deal/details/9944/")</x:f>
      </x:c>
      <x:c r="D1066" t="str">
        <x:v>Реанимация</x:v>
      </x:c>
      <x:c r="E1066" t="str">
        <x:v>ПРОДАЖИ: Отвалы</x:v>
      </x:c>
      <x:c r="F1066" t="str">
        <x:v>Петр Дудин</x:v>
      </x:c>
      <x:c r="G1066" t="str">
        <x:v>нет</x:v>
      </x:c>
      <x:c r="H1066" t="str">
        <x:v>нет</x:v>
      </x:c>
    </x:row>
    <x:row r="1067">
      <x:c r="A1067" t="str">
        <x:v>9954</x:v>
      </x:c>
      <x:c r="B1067" t="str">
        <x:v>gbsge.com</x:v>
      </x:c>
      <x:c r="C1067" t="e">
        <x:f>HYPERLINK("https://belberrycrm.bitrix24.ru/crm/deal/details/9954/","https://belberrycrm.bitrix24.ru/crm/deal/details/9954/")</x:f>
      </x:c>
      <x:c r="D1067" t="str">
        <x:v>Реанимация</x:v>
      </x:c>
      <x:c r="E1067" t="str">
        <x:v>ПРОДАЖИ: Отвалы</x:v>
      </x:c>
      <x:c r="F1067" t="str">
        <x:v>Евгения Гордиенко</x:v>
      </x:c>
      <x:c r="G1067" t="str">
        <x:v>нет</x:v>
      </x:c>
      <x:c r="H1067" t="str">
        <x:v>нет</x:v>
      </x:c>
    </x:row>
    <x:row r="1068">
      <x:c r="A1068" t="str">
        <x:v>9964</x:v>
      </x:c>
      <x:c r="B1068" t="str">
        <x:v>personne.ru</x:v>
      </x:c>
      <x:c r="C1068" t="e">
        <x:f>HYPERLINK("https://belberrycrm.bitrix24.ru/crm/deal/details/9964/","https://belberrycrm.bitrix24.ru/crm/deal/details/9964/")</x:f>
      </x:c>
      <x:c r="D1068" t="str">
        <x:v>Реанимация</x:v>
      </x:c>
      <x:c r="E1068" t="str">
        <x:v>ПРОДАЖИ: Отвалы</x:v>
      </x:c>
      <x:c r="F1068" t="str">
        <x:v>Евгения Гордиенко</x:v>
      </x:c>
      <x:c r="G1068" t="str">
        <x:v>да</x:v>
      </x:c>
      <x:c r="H1068" t="str">
        <x:v>нет</x:v>
      </x:c>
    </x:row>
    <x:row r="1069">
      <x:c r="A1069" t="str">
        <x:v>9966</x:v>
      </x:c>
      <x:c r="B1069" t="str">
        <x:v>ru.grandsurgery.com</x:v>
      </x:c>
      <x:c r="C1069" t="e">
        <x:f>HYPERLINK("https://belberrycrm.bitrix24.ru/crm/deal/details/9966/","https://belberrycrm.bitrix24.ru/crm/deal/details/9966/")</x:f>
      </x:c>
      <x:c r="D1069" t="str">
        <x:v>Реанимация</x:v>
      </x:c>
      <x:c r="E1069" t="str">
        <x:v>ПРОДАЖИ: Отвалы</x:v>
      </x:c>
      <x:c r="F1069" t="str">
        <x:v>Дарья Исаева</x:v>
      </x:c>
      <x:c r="G1069" t="str">
        <x:v>нет</x:v>
      </x:c>
      <x:c r="H1069" t="str">
        <x:v>нет</x:v>
      </x:c>
    </x:row>
    <x:row r="1070">
      <x:c r="A1070" t="str">
        <x:v>9968</x:v>
      </x:c>
      <x:c r="B1070" t="str">
        <x:v>gorfox.ru</x:v>
      </x:c>
      <x:c r="C1070" t="e">
        <x:f>HYPERLINK("https://belberrycrm.bitrix24.ru/crm/deal/details/9968/","https://belberrycrm.bitrix24.ru/crm/deal/details/9968/")</x:f>
      </x:c>
      <x:c r="D1070" t="str">
        <x:v>Реанимация</x:v>
      </x:c>
      <x:c r="E1070" t="str">
        <x:v>ПРОДАЖИ: Отвалы</x:v>
      </x:c>
      <x:c r="F1070" t="str">
        <x:v>Евгения Гордиенко</x:v>
      </x:c>
      <x:c r="G1070" t="str">
        <x:v>да</x:v>
      </x:c>
      <x:c r="H1070" t="str">
        <x:v>нет</x:v>
      </x:c>
    </x:row>
    <x:row r="1071">
      <x:c r="A1071" t="str">
        <x:v>9984</x:v>
      </x:c>
      <x:c r="B1071" t="str">
        <x:v>smorodina.ru</x:v>
      </x:c>
      <x:c r="C1071" t="e">
        <x:f>HYPERLINK("https://belberrycrm.bitrix24.ru/crm/deal/details/9984/","https://belberrycrm.bitrix24.ru/crm/deal/details/9984/")</x:f>
      </x:c>
      <x:c r="D1071" t="str">
        <x:v>Реанимация</x:v>
      </x:c>
      <x:c r="E1071" t="str">
        <x:v>ПРОДАЖИ: Отвалы</x:v>
      </x:c>
      <x:c r="F1071" t="str">
        <x:v>Евгения Гордиенко</x:v>
      </x:c>
      <x:c r="G1071" t="str">
        <x:v>да</x:v>
      </x:c>
      <x:c r="H1071" t="str">
        <x:v>нет</x:v>
      </x:c>
    </x:row>
    <x:row r="1072">
      <x:c r="A1072" t="str">
        <x:v>10030</x:v>
      </x:c>
      <x:c r="B1072" t="str">
        <x:v>https://dru-vid.tilda.ws</x:v>
      </x:c>
      <x:c r="C1072" t="e">
        <x:f>HYPERLINK("https://belberrycrm.bitrix24.ru/crm/deal/details/10030/","https://belberrycrm.bitrix24.ru/crm/deal/details/10030/")</x:f>
      </x:c>
      <x:c r="D1072" t="str">
        <x:v>Реанимация</x:v>
      </x:c>
      <x:c r="E1072" t="str">
        <x:v>ПРОДАЖИ: Отвалы</x:v>
      </x:c>
      <x:c r="F1072" t="str">
        <x:v>Петр Дудин</x:v>
      </x:c>
      <x:c r="G1072" t="str">
        <x:v>нет</x:v>
      </x:c>
      <x:c r="H1072" t="str">
        <x:v>нет</x:v>
      </x:c>
    </x:row>
    <x:row r="1073">
      <x:c r="A1073" t="str">
        <x:v>10050</x:v>
      </x:c>
      <x:c r="B1073" t="str">
        <x:v>Сделка по обращению в WhatsApp (79884712231)</x:v>
      </x:c>
      <x:c r="C1073" t="e">
        <x:f>HYPERLINK("https://belberrycrm.bitrix24.ru/crm/deal/details/10050/","https://belberrycrm.bitrix24.ru/crm/deal/details/10050/")</x:f>
      </x:c>
      <x:c r="D1073" t="str">
        <x:v>Реанимация</x:v>
      </x:c>
      <x:c r="E1073" t="str">
        <x:v>АРХИВ Общая</x:v>
      </x:c>
      <x:c r="F1073" t="str">
        <x:v>Екатерина Апушкина</x:v>
      </x:c>
      <x:c r="G1073" t="str">
        <x:v>нет</x:v>
      </x:c>
      <x:c r="H1073" t="str">
        <x:v>нет</x:v>
      </x:c>
    </x:row>
    <x:row r="1074">
      <x:c r="A1074" t="str">
        <x:v>10096</x:v>
      </x:c>
      <x:c r="B1074" t="str">
        <x:v>newvettech.ru</x:v>
      </x:c>
      <x:c r="C1074" t="e">
        <x:f>HYPERLINK("https://belberrycrm.bitrix24.ru/crm/deal/details/10096/","https://belberrycrm.bitrix24.ru/crm/deal/details/10096/")</x:f>
      </x:c>
      <x:c r="D1074" t="str">
        <x:v>Реанимация</x:v>
      </x:c>
      <x:c r="E1074" t="str">
        <x:v>ПРОДАЖИ: Отвалы</x:v>
      </x:c>
      <x:c r="F1074" t="str">
        <x:v>Евгения Гордиенко</x:v>
      </x:c>
      <x:c r="G1074" t="str">
        <x:v>да</x:v>
      </x:c>
      <x:c r="H1074" t="str">
        <x:v>нет</x:v>
      </x:c>
    </x:row>
    <x:row r="1075">
      <x:c r="A1075" t="str">
        <x:v>10112</x:v>
      </x:c>
      <x:c r="B1075" t="str">
        <x:v>Сделка по обращению в WhatsApp (79259864784)</x:v>
      </x:c>
      <x:c r="C1075" t="e">
        <x:f>HYPERLINK("https://belberrycrm.bitrix24.ru/crm/deal/details/10112/","https://belberrycrm.bitrix24.ru/crm/deal/details/10112/")</x:f>
      </x:c>
      <x:c r="D1075" t="str">
        <x:v>Реанимация</x:v>
      </x:c>
      <x:c r="E1075" t="str">
        <x:v>АРХИВ Общая</x:v>
      </x:c>
      <x:c r="F1075" t="str">
        <x:v>Екатерина Апушкина</x:v>
      </x:c>
      <x:c r="G1075" t="str">
        <x:v>нет</x:v>
      </x:c>
      <x:c r="H1075" t="str">
        <x:v>нет</x:v>
      </x:c>
    </x:row>
    <x:row r="1076">
      <x:c r="A1076" t="str">
        <x:v>10118</x:v>
      </x:c>
      <x:c r="B1076" t="str">
        <x:v>Кирилл</x:v>
      </x:c>
      <x:c r="C1076" t="e">
        <x:f>HYPERLINK("https://belberrycrm.bitrix24.ru/crm/deal/details/10118/","https://belberrycrm.bitrix24.ru/crm/deal/details/10118/")</x:f>
      </x:c>
      <x:c r="D1076" t="str">
        <x:v>Реанимация</x:v>
      </x:c>
      <x:c r="E1076" t="str">
        <x:v>ПРОДАЖИ: Отвалы</x:v>
      </x:c>
      <x:c r="F1076" t="str">
        <x:v>Евгения Гордиенко</x:v>
      </x:c>
      <x:c r="G1076" t="str">
        <x:v>нет</x:v>
      </x:c>
      <x:c r="H1076" t="str">
        <x:v>нет</x:v>
      </x:c>
    </x:row>
    <x:row r="1077">
      <x:c r="A1077" t="str">
        <x:v>10120</x:v>
      </x:c>
      <x:c r="B1077" t="str">
        <x:v>Клара психолог, интересует Дзен</x:v>
      </x:c>
      <x:c r="C1077" t="e">
        <x:f>HYPERLINK("https://belberrycrm.bitrix24.ru/crm/deal/details/10120/","https://belberrycrm.bitrix24.ru/crm/deal/details/10120/")</x:f>
      </x:c>
      <x:c r="D1077" t="str">
        <x:v>Реанимация</x:v>
      </x:c>
      <x:c r="E1077" t="str">
        <x:v>ПРОДАЖИ: Отвалы</x:v>
      </x:c>
      <x:c r="F1077" t="str">
        <x:v>Павел Фролов</x:v>
      </x:c>
      <x:c r="G1077" t="str">
        <x:v>нет</x:v>
      </x:c>
      <x:c r="H1077" t="str">
        <x:v>нет</x:v>
      </x:c>
    </x:row>
    <x:row r="1078">
      <x:c r="A1078" t="str">
        <x:v>10128</x:v>
      </x:c>
      <x:c r="B1078" t="str">
        <x:v>enjoy.ru</x:v>
      </x:c>
      <x:c r="C1078" t="e">
        <x:f>HYPERLINK("https://belberrycrm.bitrix24.ru/crm/deal/details/10128/","https://belberrycrm.bitrix24.ru/crm/deal/details/10128/")</x:f>
      </x:c>
      <x:c r="D1078" t="str">
        <x:v>Реанимация</x:v>
      </x:c>
      <x:c r="E1078" t="str">
        <x:v>ПРОДАЖИ: Отвалы</x:v>
      </x:c>
      <x:c r="F1078" t="str">
        <x:v>Аркадий Вострецов</x:v>
      </x:c>
      <x:c r="G1078" t="str">
        <x:v>да</x:v>
      </x:c>
      <x:c r="H1078" t="str">
        <x:v>нет</x:v>
      </x:c>
    </x:row>
    <x:row r="1079">
      <x:c r="A1079" t="str">
        <x:v>10130</x:v>
      </x:c>
      <x:c r="B1079" t="str">
        <x:v>dinstom.ru</x:v>
      </x:c>
      <x:c r="C1079" t="e">
        <x:f>HYPERLINK("https://belberrycrm.bitrix24.ru/crm/deal/details/10130/","https://belberrycrm.bitrix24.ru/crm/deal/details/10130/")</x:f>
      </x:c>
      <x:c r="D1079" t="str">
        <x:v>Реанимация</x:v>
      </x:c>
      <x:c r="E1079" t="str">
        <x:v>ПРОДАЖИ: Отвалы</x:v>
      </x:c>
      <x:c r="F1079" t="str">
        <x:v>Павел Фролов</x:v>
      </x:c>
      <x:c r="G1079" t="str">
        <x:v>нет</x:v>
      </x:c>
      <x:c r="H1079" t="str">
        <x:v>нет</x:v>
      </x:c>
    </x:row>
    <x:row r="1080">
      <x:c r="A1080" t="str">
        <x:v>10140</x:v>
      </x:c>
      <x:c r="B1080" t="str">
        <x:v>drserkanaygin.com</x:v>
      </x:c>
      <x:c r="C1080" t="e">
        <x:f>HYPERLINK("https://belberrycrm.bitrix24.ru/crm/deal/details/10140/","https://belberrycrm.bitrix24.ru/crm/deal/details/10140/")</x:f>
      </x:c>
      <x:c r="D1080" t="str">
        <x:v>Реанимация</x:v>
      </x:c>
      <x:c r="E1080" t="str">
        <x:v>ПРОДАЖИ: Отвалы</x:v>
      </x:c>
      <x:c r="F1080" t="str">
        <x:v>Павел Фролов</x:v>
      </x:c>
      <x:c r="G1080" t="str">
        <x:v>нет</x:v>
      </x:c>
      <x:c r="H1080" t="str">
        <x:v>нет</x:v>
      </x:c>
    </x:row>
    <x:row r="1081">
      <x:c r="A1081" t="str">
        <x:v>10156</x:v>
      </x:c>
      <x:c r="B1081" t="str">
        <x:v>stomatikmsk.ru</x:v>
      </x:c>
      <x:c r="C1081" t="e">
        <x:f>HYPERLINK("https://belberrycrm.bitrix24.ru/crm/deal/details/10156/","https://belberrycrm.bitrix24.ru/crm/deal/details/10156/")</x:f>
      </x:c>
      <x:c r="D1081" t="str">
        <x:v>Реанимация</x:v>
      </x:c>
      <x:c r="E1081" t="str">
        <x:v>База для реанимации</x:v>
      </x:c>
      <x:c r="F1081" t="str">
        <x:v>Анна Гудинова</x:v>
      </x:c>
      <x:c r="G1081" t="str">
        <x:v>нет</x:v>
      </x:c>
      <x:c r="H1081" t="str">
        <x:v>нет</x:v>
      </x:c>
    </x:row>
    <x:row r="1082">
      <x:c r="A1082" t="str">
        <x:v>10180</x:v>
      </x:c>
      <x:c r="B1082" t="str">
        <x:v>Заявка с сайта от Светлана 79884712613</x:v>
      </x:c>
      <x:c r="C1082" t="e">
        <x:f>HYPERLINK("https://belberrycrm.bitrix24.ru/crm/deal/details/10180/","https://belberrycrm.bitrix24.ru/crm/deal/details/10180/")</x:f>
      </x:c>
      <x:c r="D1082" t="str">
        <x:v>Реанимация</x:v>
      </x:c>
      <x:c r="E1082" t="str">
        <x:v>ПРОДАЖИ: Не сейчас</x:v>
      </x:c>
      <x:c r="F1082" t="str">
        <x:v>Анна Гудинова</x:v>
      </x:c>
      <x:c r="G1082" t="str">
        <x:v>нет</x:v>
      </x:c>
      <x:c r="H1082" t="str">
        <x:v>нет</x:v>
      </x:c>
    </x:row>
    <x:row r="1083">
      <x:c r="A1083" t="str">
        <x:v>10198</x:v>
      </x:c>
      <x:c r="B1083" t="str">
        <x:v>trace-it.ru</x:v>
      </x:c>
      <x:c r="C1083" t="e">
        <x:f>HYPERLINK("https://belberrycrm.bitrix24.ru/crm/deal/details/10198/","https://belberrycrm.bitrix24.ru/crm/deal/details/10198/")</x:f>
      </x:c>
      <x:c r="D1083" t="str">
        <x:v>Реанимация</x:v>
      </x:c>
      <x:c r="E1083" t="str">
        <x:v>ПРОДАЖИ: Отвалы</x:v>
      </x:c>
      <x:c r="F1083" t="str">
        <x:v>Евгения Гордиенко</x:v>
      </x:c>
      <x:c r="G1083" t="str">
        <x:v>нет</x:v>
      </x:c>
      <x:c r="H1083" t="str">
        <x:v>нет</x:v>
      </x:c>
    </x:row>
    <x:row r="1084">
      <x:c r="A1084" t="str">
        <x:v>10226</x:v>
      </x:c>
      <x:c r="B1084" t="str">
        <x:v>perezagruzkahm.ru</x:v>
      </x:c>
      <x:c r="C1084" t="e">
        <x:f>HYPERLINK("https://belberrycrm.bitrix24.ru/crm/deal/details/10226/","https://belberrycrm.bitrix24.ru/crm/deal/details/10226/")</x:f>
      </x:c>
      <x:c r="D1084" t="str">
        <x:v>Реанимация</x:v>
      </x:c>
      <x:c r="E1084" t="str">
        <x:v>ПРОДАЖИ: Отвалы</x:v>
      </x:c>
      <x:c r="F1084" t="str">
        <x:v>Екатерина Кохтачева</x:v>
      </x:c>
      <x:c r="G1084" t="str">
        <x:v>нет</x:v>
      </x:c>
      <x:c r="H1084" t="str">
        <x:v>нет</x:v>
      </x:c>
    </x:row>
    <x:row r="1085">
      <x:c r="A1085" t="str">
        <x:v>10264</x:v>
      </x:c>
      <x:c r="B1085" t="str">
        <x:v>Дарья (БАДы)</x:v>
      </x:c>
      <x:c r="C1085" t="e">
        <x:f>HYPERLINK("https://belberrycrm.bitrix24.ru/crm/deal/details/10264/","https://belberrycrm.bitrix24.ru/crm/deal/details/10264/")</x:f>
      </x:c>
      <x:c r="D1085" t="str">
        <x:v>Реанимация</x:v>
      </x:c>
      <x:c r="E1085" t="str">
        <x:v>ПРОДАЖИ: Отвалы</x:v>
      </x:c>
      <x:c r="F1085" t="str">
        <x:v>Петр Дудин</x:v>
      </x:c>
      <x:c r="G1085" t="str">
        <x:v>нет</x:v>
      </x:c>
      <x:c r="H1085" t="str">
        <x:v>нет</x:v>
      </x:c>
    </x:row>
    <x:row r="1086">
      <x:c r="A1086" t="str">
        <x:v>10384</x:v>
      </x:c>
      <x:c r="B1086" t="str">
        <x:v>bernardcassiere.ru</x:v>
      </x:c>
      <x:c r="C1086" t="e">
        <x:f>HYPERLINK("https://belberrycrm.bitrix24.ru/crm/deal/details/10384/","https://belberrycrm.bitrix24.ru/crm/deal/details/10384/")</x:f>
      </x:c>
      <x:c r="D1086" t="str">
        <x:v>Реанимация</x:v>
      </x:c>
      <x:c r="E1086" t="str">
        <x:v>ПРОДАЖИ: Отвалы</x:v>
      </x:c>
      <x:c r="F1086" t="str">
        <x:v>Анна Гудинова</x:v>
      </x:c>
      <x:c r="G1086" t="str">
        <x:v>нет</x:v>
      </x:c>
      <x:c r="H1086" t="str">
        <x:v>нет</x:v>
      </x:c>
    </x:row>
    <x:row r="1087">
      <x:c r="A1087" t="str">
        <x:v>10386</x:v>
      </x:c>
      <x:c r="B1087" t="str">
        <x:v>Мухамеджанова Юлия</x:v>
      </x:c>
      <x:c r="C1087" t="e">
        <x:f>HYPERLINK("https://belberrycrm.bitrix24.ru/crm/deal/details/10386/","https://belberrycrm.bitrix24.ru/crm/deal/details/10386/")</x:f>
      </x:c>
      <x:c r="D1087" t="str">
        <x:v>Реанимация</x:v>
      </x:c>
      <x:c r="E1087" t="str">
        <x:v>База для реанимации</x:v>
      </x:c>
      <x:c r="F1087" t="str">
        <x:v>Павел Фролов</x:v>
      </x:c>
      <x:c r="G1087" t="str">
        <x:v>нет</x:v>
      </x:c>
      <x:c r="H1087" t="str">
        <x:v>нет</x:v>
      </x:c>
    </x:row>
    <x:row r="1088">
      <x:c r="A1088" t="str">
        <x:v>10388</x:v>
      </x:c>
      <x:c r="B1088" t="str">
        <x:v>armed.ru</x:v>
      </x:c>
      <x:c r="C1088" t="e">
        <x:f>HYPERLINK("https://belberrycrm.bitrix24.ru/crm/deal/details/10388/","https://belberrycrm.bitrix24.ru/crm/deal/details/10388/")</x:f>
      </x:c>
      <x:c r="D1088" t="str">
        <x:v>Реанимация</x:v>
      </x:c>
      <x:c r="E1088" t="str">
        <x:v>База для реанимации</x:v>
      </x:c>
      <x:c r="F1088" t="str">
        <x:v>Анна Гудинова</x:v>
      </x:c>
      <x:c r="G1088" t="str">
        <x:v>нет</x:v>
      </x:c>
      <x:c r="H1088" t="str">
        <x:v>нет</x:v>
      </x:c>
    </x:row>
    <x:row r="1089">
      <x:c r="A1089" t="str">
        <x:v>10396</x:v>
      </x:c>
      <x:c r="B1089" t="str">
        <x:v>sunkarpremium.kz</x:v>
      </x:c>
      <x:c r="C1089" t="e">
        <x:f>HYPERLINK("https://belberrycrm.bitrix24.ru/crm/deal/details/10396/","https://belberrycrm.bitrix24.ru/crm/deal/details/10396/")</x:f>
      </x:c>
      <x:c r="D1089" t="str">
        <x:v>Реанимация</x:v>
      </x:c>
      <x:c r="E1089" t="str">
        <x:v>ПРОДАЖИ: Отвалы</x:v>
      </x:c>
      <x:c r="F1089" t="str">
        <x:v>Анна Гудинова</x:v>
      </x:c>
      <x:c r="G1089" t="str">
        <x:v>нет</x:v>
      </x:c>
      <x:c r="H1089" t="str">
        <x:v>нет</x:v>
      </x:c>
    </x:row>
    <x:row r="1090">
      <x:c r="A1090" t="str">
        <x:v>10398</x:v>
      </x:c>
      <x:c r="B1090" t="str">
        <x:v>nika-nn.ru</x:v>
      </x:c>
      <x:c r="C1090" t="e">
        <x:f>HYPERLINK("https://belberrycrm.bitrix24.ru/crm/deal/details/10398/","https://belberrycrm.bitrix24.ru/crm/deal/details/10398/")</x:f>
      </x:c>
      <x:c r="D1090" t="str">
        <x:v>Реанимация</x:v>
      </x:c>
      <x:c r="E1090" t="str">
        <x:v>ПРОДАЖИ: Не сейчас</x:v>
      </x:c>
      <x:c r="F1090" t="str">
        <x:v>Петр Дудин</x:v>
      </x:c>
      <x:c r="G1090" t="str">
        <x:v>нет</x:v>
      </x:c>
      <x:c r="H1090" t="str">
        <x:v>нет</x:v>
      </x:c>
    </x:row>
    <x:row r="1091">
      <x:c r="A1091" t="str">
        <x:v>10404</x:v>
      </x:c>
      <x:c r="B1091" t="str">
        <x:v>usystems.ru</x:v>
      </x:c>
      <x:c r="C1091" t="e">
        <x:f>HYPERLINK("https://belberrycrm.bitrix24.ru/crm/deal/details/10404/","https://belberrycrm.bitrix24.ru/crm/deal/details/10404/")</x:f>
      </x:c>
      <x:c r="D1091" t="str">
        <x:v>Реанимация</x:v>
      </x:c>
      <x:c r="E1091" t="str">
        <x:v>База для реанимации</x:v>
      </x:c>
      <x:c r="F1091" t="str">
        <x:v>Евгения Гордиенко</x:v>
      </x:c>
      <x:c r="G1091" t="str">
        <x:v>нет</x:v>
      </x:c>
      <x:c r="H1091" t="str">
        <x:v>нет</x:v>
      </x:c>
    </x:row>
    <x:row r="1092">
      <x:c r="A1092" t="str">
        <x:v>10442</x:v>
      </x:c>
      <x:c r="B1092" t="str">
        <x:v>insightai.ru</x:v>
      </x:c>
      <x:c r="C1092" t="e">
        <x:f>HYPERLINK("https://belberrycrm.bitrix24.ru/crm/deal/details/10442/","https://belberrycrm.bitrix24.ru/crm/deal/details/10442/")</x:f>
      </x:c>
      <x:c r="D1092" t="str">
        <x:v>Реанимация</x:v>
      </x:c>
      <x:c r="E1092" t="str">
        <x:v>ПРОДАЖИ: Отвалы</x:v>
      </x:c>
      <x:c r="F1092" t="str">
        <x:v>Анна Гудинова</x:v>
      </x:c>
      <x:c r="G1092" t="str">
        <x:v>нет</x:v>
      </x:c>
      <x:c r="H1092" t="str">
        <x:v>нет</x:v>
      </x:c>
    </x:row>
    <x:row r="1093">
      <x:c r="A1093" t="str">
        <x:v>10456</x:v>
      </x:c>
      <x:c r="B1093" t="str">
        <x:v>Даниил (бренд новый, косметика)</x:v>
      </x:c>
      <x:c r="C1093" t="e">
        <x:f>HYPERLINK("https://belberrycrm.bitrix24.ru/crm/deal/details/10456/","https://belberrycrm.bitrix24.ru/crm/deal/details/10456/")</x:f>
      </x:c>
      <x:c r="D1093" t="str">
        <x:v>Реанимация</x:v>
      </x:c>
      <x:c r="E1093" t="str">
        <x:v>ПРОДАЖИ: Отвалы</x:v>
      </x:c>
      <x:c r="F1093" t="str">
        <x:v>Евгения Гордиенко</x:v>
      </x:c>
      <x:c r="G1093" t="str">
        <x:v>нет</x:v>
      </x:c>
      <x:c r="H1093" t="str">
        <x:v>нет</x:v>
      </x:c>
    </x:row>
    <x:row r="1094">
      <x:c r="A1094" t="str">
        <x:v>10468</x:v>
      </x:c>
      <x:c r="B1094" t="str">
        <x:v>Дмитрий Владимирович</x:v>
      </x:c>
      <x:c r="C1094" t="e">
        <x:f>HYPERLINK("https://belberrycrm.bitrix24.ru/crm/deal/details/10468/","https://belberrycrm.bitrix24.ru/crm/deal/details/10468/")</x:f>
      </x:c>
      <x:c r="D1094" t="str">
        <x:v>Реанимация</x:v>
      </x:c>
      <x:c r="E1094" t="str">
        <x:v>ПРОДАЖИ: Запрос цены</x:v>
      </x:c>
      <x:c r="F1094" t="str">
        <x:v>Анна Гудинова</x:v>
      </x:c>
      <x:c r="G1094" t="str">
        <x:v>нет</x:v>
      </x:c>
      <x:c r="H1094" t="str">
        <x:v>нет</x:v>
      </x:c>
    </x:row>
    <x:row r="1095">
      <x:c r="A1095" t="str">
        <x:v>10500</x:v>
      </x:c>
      <x:c r="B1095" t="str">
        <x:v>Татьяна сваи</x:v>
      </x:c>
      <x:c r="C1095" t="e">
        <x:f>HYPERLINK("https://belberrycrm.bitrix24.ru/crm/deal/details/10500/","https://belberrycrm.bitrix24.ru/crm/deal/details/10500/")</x:f>
      </x:c>
      <x:c r="D1095" t="str">
        <x:v>Реанимация</x:v>
      </x:c>
      <x:c r="E1095" t="str">
        <x:v>Взят в работу</x:v>
      </x:c>
      <x:c r="F1095" t="str">
        <x:v>Евгения Гордиенко</x:v>
      </x:c>
      <x:c r="G1095" t="str">
        <x:v>нет</x:v>
      </x:c>
      <x:c r="H1095" t="str">
        <x:v>нет</x:v>
      </x:c>
    </x:row>
    <x:row r="1096">
      <x:c r="A1096" t="str">
        <x:v>10554</x:v>
      </x:c>
      <x:c r="B1096" t="str">
        <x:v>woodw.ru</x:v>
      </x:c>
      <x:c r="C1096" t="e">
        <x:f>HYPERLINK("https://belberrycrm.bitrix24.ru/crm/deal/details/10554/","https://belberrycrm.bitrix24.ru/crm/deal/details/10554/")</x:f>
      </x:c>
      <x:c r="D1096" t="str">
        <x:v>Реанимация</x:v>
      </x:c>
      <x:c r="E1096" t="str">
        <x:v>ПРОДАЖИ: Отвалы</x:v>
      </x:c>
      <x:c r="F1096" t="str">
        <x:v>Екатерина Кохтачева</x:v>
      </x:c>
      <x:c r="G1096" t="str">
        <x:v>нет</x:v>
      </x:c>
      <x:c r="H1096" t="str">
        <x:v>нет</x:v>
      </x:c>
    </x:row>
    <x:row r="1097">
      <x:c r="A1097" t="str">
        <x:v>10562</x:v>
      </x:c>
      <x:c r="B1097" t="str">
        <x:v>center-akusherstva.ru</x:v>
      </x:c>
      <x:c r="C1097" t="e">
        <x:f>HYPERLINK("https://belberrycrm.bitrix24.ru/crm/deal/details/10562/","https://belberrycrm.bitrix24.ru/crm/deal/details/10562/")</x:f>
      </x:c>
      <x:c r="D1097" t="str">
        <x:v>Реанимация</x:v>
      </x:c>
      <x:c r="E1097" t="str">
        <x:v>База для реанимации</x:v>
      </x:c>
      <x:c r="F1097" t="str">
        <x:v>Анна Гудинова</x:v>
      </x:c>
      <x:c r="G1097" t="str">
        <x:v>нет</x:v>
      </x:c>
      <x:c r="H1097" t="str">
        <x:v>нет</x:v>
      </x:c>
    </x:row>
    <x:row r="1098">
      <x:c r="A1098" t="str">
        <x:v>10596</x:v>
      </x:c>
      <x:c r="B1098" t="str">
        <x:v>Заявка на покупку лицензии</x:v>
      </x:c>
      <x:c r="C1098" t="e">
        <x:f>HYPERLINK("https://belberrycrm.bitrix24.ru/crm/deal/details/10596/","https://belberrycrm.bitrix24.ru/crm/deal/details/10596/")</x:f>
      </x:c>
      <x:c r="D1098" t="str">
        <x:v>Реанимация</x:v>
      </x:c>
      <x:c r="E1098" t="str">
        <x:v>АРХИВ Общая</x:v>
      </x:c>
      <x:c r="F1098" t="str">
        <x:v>Екатерина Апушкина</x:v>
      </x:c>
      <x:c r="G1098" t="str">
        <x:v>нет</x:v>
      </x:c>
      <x:c r="H1098" t="str">
        <x:v>нет</x:v>
      </x:c>
    </x:row>
    <x:row r="1099">
      <x:c r="A1099" t="str">
        <x:v>10602</x:v>
      </x:c>
      <x:c r="B1099" t="str">
        <x:v>Заказ интернет-магазина №20</x:v>
      </x:c>
      <x:c r="C1099" t="e">
        <x:f>HYPERLINK("https://belberrycrm.bitrix24.ru/crm/deal/details/10602/","https://belberrycrm.bitrix24.ru/crm/deal/details/10602/")</x:f>
      </x:c>
      <x:c r="D1099" t="str">
        <x:v>Реанимация</x:v>
      </x:c>
      <x:c r="E1099" t="str">
        <x:v>АРХИВ Общая</x:v>
      </x:c>
      <x:c r="F1099" t="str">
        <x:v>Екатерина Апушкина</x:v>
      </x:c>
      <x:c r="G1099" t="str">
        <x:v>нет</x:v>
      </x:c>
      <x:c r="H1099" t="str">
        <x:v>нет</x:v>
      </x:c>
    </x:row>
    <x:row r="1100">
      <x:c r="A1100" t="str">
        <x:v>10606</x:v>
      </x:c>
      <x:c r="B1100" t="str">
        <x:v>Заказ интернет-магазина №24</x:v>
      </x:c>
      <x:c r="C1100" t="e">
        <x:f>HYPERLINK("https://belberrycrm.bitrix24.ru/crm/deal/details/10606/","https://belberrycrm.bitrix24.ru/crm/deal/details/10606/")</x:f>
      </x:c>
      <x:c r="D1100" t="str">
        <x:v>Реанимация</x:v>
      </x:c>
      <x:c r="E1100" t="str">
        <x:v>АРХИВ Общая</x:v>
      </x:c>
      <x:c r="F1100" t="str">
        <x:v>Екатерина Апушкина</x:v>
      </x:c>
      <x:c r="G1100" t="str">
        <x:v>нет</x:v>
      </x:c>
      <x:c r="H1100" t="str">
        <x:v>нет</x:v>
      </x:c>
    </x:row>
    <x:row r="1101">
      <x:c r="A1101" t="str">
        <x:v>10608</x:v>
      </x:c>
      <x:c r="B1101" t="str">
        <x:v>Заказ интернет-магазина №26</x:v>
      </x:c>
      <x:c r="C1101" t="e">
        <x:f>HYPERLINK("https://belberrycrm.bitrix24.ru/crm/deal/details/10608/","https://belberrycrm.bitrix24.ru/crm/deal/details/10608/")</x:f>
      </x:c>
      <x:c r="D1101" t="str">
        <x:v>Реанимация</x:v>
      </x:c>
      <x:c r="E1101" t="str">
        <x:v>АРХИВ Общая</x:v>
      </x:c>
      <x:c r="F1101" t="str">
        <x:v>Екатерина Апушкина</x:v>
      </x:c>
      <x:c r="G1101" t="str">
        <x:v>нет</x:v>
      </x:c>
      <x:c r="H1101" t="str">
        <x:v>нет</x:v>
      </x:c>
    </x:row>
    <x:row r="1102">
      <x:c r="A1102" t="str">
        <x:v>10618</x:v>
      </x:c>
      <x:c r="B1102" t="str">
        <x:v>sdt.ru</x:v>
      </x:c>
      <x:c r="C1102" t="e">
        <x:f>HYPERLINK("https://belberrycrm.bitrix24.ru/crm/deal/details/10618/","https://belberrycrm.bitrix24.ru/crm/deal/details/10618/")</x:f>
      </x:c>
      <x:c r="D1102" t="str">
        <x:v>Реанимация</x:v>
      </x:c>
      <x:c r="E1102" t="str">
        <x:v>ПРОДАЖИ: Не сейчас</x:v>
      </x:c>
      <x:c r="F1102" t="str">
        <x:v>Евгения Гордиенко</x:v>
      </x:c>
      <x:c r="G1102" t="str">
        <x:v>нет</x:v>
      </x:c>
      <x:c r="H1102" t="str">
        <x:v>нет</x:v>
      </x:c>
    </x:row>
    <x:row r="1103">
      <x:c r="A1103" t="str">
        <x:v>10624</x:v>
      </x:c>
      <x:c r="B1103" t="str">
        <x:v>Николай Стрекалов</x:v>
      </x:c>
      <x:c r="C1103" t="e">
        <x:f>HYPERLINK("https://belberrycrm.bitrix24.ru/crm/deal/details/10624/","https://belberrycrm.bitrix24.ru/crm/deal/details/10624/")</x:f>
      </x:c>
      <x:c r="D1103" t="str">
        <x:v>Реанимация</x:v>
      </x:c>
      <x:c r="E1103" t="str">
        <x:v>ПРОДАЖИ: Отвалы</x:v>
      </x:c>
      <x:c r="F1103" t="str">
        <x:v>Петр Дудин</x:v>
      </x:c>
      <x:c r="G1103" t="str">
        <x:v>нет</x:v>
      </x:c>
      <x:c r="H1103" t="str">
        <x:v>нет</x:v>
      </x:c>
    </x:row>
    <x:row r="1104">
      <x:c r="A1104" t="str">
        <x:v>10644</x:v>
      </x:c>
      <x:c r="B1104" t="str">
        <x:v>Заказ интернет-магазина №28</x:v>
      </x:c>
      <x:c r="C1104" t="e">
        <x:f>HYPERLINK("https://belberrycrm.bitrix24.ru/crm/deal/details/10644/","https://belberrycrm.bitrix24.ru/crm/deal/details/10644/")</x:f>
      </x:c>
      <x:c r="D1104" t="str">
        <x:v>Реанимация</x:v>
      </x:c>
      <x:c r="E1104" t="str">
        <x:v>АРХИВ Общая</x:v>
      </x:c>
      <x:c r="F1104" t="str">
        <x:v>Екатерина Апушкина</x:v>
      </x:c>
      <x:c r="G1104" t="str">
        <x:v>нет</x:v>
      </x:c>
      <x:c r="H1104" t="str">
        <x:v>нет</x:v>
      </x:c>
    </x:row>
    <x:row r="1105">
      <x:c r="A1105" t="str">
        <x:v>10646</x:v>
      </x:c>
      <x:c r="B1105" t="str">
        <x:v>Заказ интернет-магазина №30</x:v>
      </x:c>
      <x:c r="C1105" t="e">
        <x:f>HYPERLINK("https://belberrycrm.bitrix24.ru/crm/deal/details/10646/","https://belberrycrm.bitrix24.ru/crm/deal/details/10646/")</x:f>
      </x:c>
      <x:c r="D1105" t="str">
        <x:v>Реанимация</x:v>
      </x:c>
      <x:c r="E1105" t="str">
        <x:v>АРХИВ Общая</x:v>
      </x:c>
      <x:c r="F1105" t="str">
        <x:v>Екатерина Апушкина</x:v>
      </x:c>
      <x:c r="G1105" t="str">
        <x:v>нет</x:v>
      </x:c>
      <x:c r="H1105" t="str">
        <x:v>нет</x:v>
      </x:c>
    </x:row>
    <x:row r="1106">
      <x:c r="A1106" t="str">
        <x:v>10648</x:v>
      </x:c>
      <x:c r="B1106" t="str">
        <x:v>Сделка по обращению в WhatsApp (79602882177)</x:v>
      </x:c>
      <x:c r="C1106" t="e">
        <x:f>HYPERLINK("https://belberrycrm.bitrix24.ru/crm/deal/details/10648/","https://belberrycrm.bitrix24.ru/crm/deal/details/10648/")</x:f>
      </x:c>
      <x:c r="D1106" t="str">
        <x:v>Реанимация</x:v>
      </x:c>
      <x:c r="E1106" t="str">
        <x:v>АРХИВ Общая</x:v>
      </x:c>
      <x:c r="F1106" t="str">
        <x:v>Екатерина Апушкина</x:v>
      </x:c>
      <x:c r="G1106" t="str">
        <x:v>нет</x:v>
      </x:c>
      <x:c r="H1106" t="str">
        <x:v>нет</x:v>
      </x:c>
    </x:row>
    <x:row r="1107">
      <x:c r="A1107" t="str">
        <x:v>10652</x:v>
      </x:c>
      <x:c r="B1107" t="str">
        <x:v>Andrey Pink</x:v>
      </x:c>
      <x:c r="C1107" t="e">
        <x:f>HYPERLINK("https://belberrycrm.bitrix24.ru/crm/deal/details/10652/","https://belberrycrm.bitrix24.ru/crm/deal/details/10652/")</x:f>
      </x:c>
      <x:c r="D1107" t="str">
        <x:v>Реанимация</x:v>
      </x:c>
      <x:c r="E1107" t="str">
        <x:v>ПРОДАЖИ: Отвалы</x:v>
      </x:c>
      <x:c r="F1107" t="str">
        <x:v>Петр Дудин</x:v>
      </x:c>
      <x:c r="G1107" t="str">
        <x:v>нет</x:v>
      </x:c>
      <x:c r="H1107" t="str">
        <x:v>нет</x:v>
      </x:c>
    </x:row>
    <x:row r="1108">
      <x:c r="A1108" t="str">
        <x:v>10654</x:v>
      </x:c>
      <x:c r="B1108" t="str">
        <x:v>Заказ интернет-магазина №32</x:v>
      </x:c>
      <x:c r="C1108" t="e">
        <x:f>HYPERLINK("https://belberrycrm.bitrix24.ru/crm/deal/details/10654/","https://belberrycrm.bitrix24.ru/crm/deal/details/10654/")</x:f>
      </x:c>
      <x:c r="D1108" t="str">
        <x:v>Реанимация</x:v>
      </x:c>
      <x:c r="E1108" t="str">
        <x:v>АРХИВ Общая</x:v>
      </x:c>
      <x:c r="F1108" t="str">
        <x:v>Екатерина Апушкина</x:v>
      </x:c>
      <x:c r="G1108" t="str">
        <x:v>нет</x:v>
      </x:c>
      <x:c r="H1108" t="str">
        <x:v>нет</x:v>
      </x:c>
    </x:row>
    <x:row r="1109">
      <x:c r="A1109" t="str">
        <x:v>10656</x:v>
      </x:c>
      <x:c r="B1109" t="str">
        <x:v>Заказ интернет-магазина №34</x:v>
      </x:c>
      <x:c r="C1109" t="e">
        <x:f>HYPERLINK("https://belberrycrm.bitrix24.ru/crm/deal/details/10656/","https://belberrycrm.bitrix24.ru/crm/deal/details/10656/")</x:f>
      </x:c>
      <x:c r="D1109" t="str">
        <x:v>Реанимация</x:v>
      </x:c>
      <x:c r="E1109" t="str">
        <x:v>АРХИВ Общая</x:v>
      </x:c>
      <x:c r="F1109" t="str">
        <x:v>Екатерина Апушкина</x:v>
      </x:c>
      <x:c r="G1109" t="str">
        <x:v>нет</x:v>
      </x:c>
      <x:c r="H1109" t="str">
        <x:v>нет</x:v>
      </x:c>
    </x:row>
    <x:row r="1110">
      <x:c r="A1110" t="str">
        <x:v>10658</x:v>
      </x:c>
      <x:c r="B1110" t="str">
        <x:v>Заказ интернет-магазина №36</x:v>
      </x:c>
      <x:c r="C1110" t="e">
        <x:f>HYPERLINK("https://belberrycrm.bitrix24.ru/crm/deal/details/10658/","https://belberrycrm.bitrix24.ru/crm/deal/details/10658/")</x:f>
      </x:c>
      <x:c r="D1110" t="str">
        <x:v>Реанимация</x:v>
      </x:c>
      <x:c r="E1110" t="str">
        <x:v>АРХИВ Общая</x:v>
      </x:c>
      <x:c r="F1110" t="str">
        <x:v>Екатерина Апушкина</x:v>
      </x:c>
      <x:c r="G1110" t="str">
        <x:v>нет</x:v>
      </x:c>
      <x:c r="H1110" t="str">
        <x:v>нет</x:v>
      </x:c>
    </x:row>
    <x:row r="1111">
      <x:c r="A1111" t="str">
        <x:v>10660</x:v>
      </x:c>
      <x:c r="B1111" t="str">
        <x:v>cito-priorov.ru</x:v>
      </x:c>
      <x:c r="C1111" t="e">
        <x:f>HYPERLINK("https://belberrycrm.bitrix24.ru/crm/deal/details/10660/","https://belberrycrm.bitrix24.ru/crm/deal/details/10660/")</x:f>
      </x:c>
      <x:c r="D1111" t="str">
        <x:v>Реанимация</x:v>
      </x:c>
      <x:c r="E1111" t="str">
        <x:v>База для реанимации</x:v>
      </x:c>
      <x:c r="F1111" t="str">
        <x:v>Анна Гудинова</x:v>
      </x:c>
      <x:c r="G1111" t="str">
        <x:v>нет</x:v>
      </x:c>
      <x:c r="H1111" t="str">
        <x:v>нет</x:v>
      </x:c>
    </x:row>
    <x:row r="1112">
      <x:c r="A1112" t="str">
        <x:v>10662</x:v>
      </x:c>
      <x:c r="B1112" t="str">
        <x:v>Заказ интернет-магазина №38</x:v>
      </x:c>
      <x:c r="C1112" t="e">
        <x:f>HYPERLINK("https://belberrycrm.bitrix24.ru/crm/deal/details/10662/","https://belberrycrm.bitrix24.ru/crm/deal/details/10662/")</x:f>
      </x:c>
      <x:c r="D1112" t="str">
        <x:v>Реанимация</x:v>
      </x:c>
      <x:c r="E1112" t="str">
        <x:v>АРХИВ Общая</x:v>
      </x:c>
      <x:c r="F1112" t="str">
        <x:v>Екатерина Апушкина</x:v>
      </x:c>
      <x:c r="G1112" t="str">
        <x:v>нет</x:v>
      </x:c>
      <x:c r="H1112" t="str">
        <x:v>нет</x:v>
      </x:c>
    </x:row>
    <x:row r="1113">
      <x:c r="A1113" t="str">
        <x:v>10692</x:v>
      </x:c>
      <x:c r="B1113" t="str">
        <x:v>Заказ интернет-магазина №40</x:v>
      </x:c>
      <x:c r="C1113" t="e">
        <x:f>HYPERLINK("https://belberrycrm.bitrix24.ru/crm/deal/details/10692/","https://belberrycrm.bitrix24.ru/crm/deal/details/10692/")</x:f>
      </x:c>
      <x:c r="D1113" t="str">
        <x:v>Реанимация</x:v>
      </x:c>
      <x:c r="E1113" t="str">
        <x:v>АРХИВ Общая</x:v>
      </x:c>
      <x:c r="F1113" t="str">
        <x:v>Екатерина Апушкина</x:v>
      </x:c>
      <x:c r="G1113" t="str">
        <x:v>нет</x:v>
      </x:c>
      <x:c r="H1113" t="str">
        <x:v>нет</x:v>
      </x:c>
    </x:row>
    <x:row r="1114">
      <x:c r="A1114" t="str">
        <x:v>10694</x:v>
      </x:c>
      <x:c r="B1114" t="str">
        <x:v>Заказ интернет-магазина №42</x:v>
      </x:c>
      <x:c r="C1114" t="e">
        <x:f>HYPERLINK("https://belberrycrm.bitrix24.ru/crm/deal/details/10694/","https://belberrycrm.bitrix24.ru/crm/deal/details/10694/")</x:f>
      </x:c>
      <x:c r="D1114" t="str">
        <x:v>Реанимация</x:v>
      </x:c>
      <x:c r="E1114" t="str">
        <x:v>АРХИВ Общая</x:v>
      </x:c>
      <x:c r="F1114" t="str">
        <x:v>Екатерина Апушкина</x:v>
      </x:c>
      <x:c r="G1114" t="str">
        <x:v>нет</x:v>
      </x:c>
      <x:c r="H1114" t="str">
        <x:v>нет</x:v>
      </x:c>
    </x:row>
    <x:row r="1115">
      <x:c r="A1115" t="str">
        <x:v>10700</x:v>
      </x:c>
      <x:c r="B1115" t="str">
        <x:v>Заказ интернет-магазина №44</x:v>
      </x:c>
      <x:c r="C1115" t="e">
        <x:f>HYPERLINK("https://belberrycrm.bitrix24.ru/crm/deal/details/10700/","https://belberrycrm.bitrix24.ru/crm/deal/details/10700/")</x:f>
      </x:c>
      <x:c r="D1115" t="str">
        <x:v>Реанимация</x:v>
      </x:c>
      <x:c r="E1115" t="str">
        <x:v>АРХИВ Общая</x:v>
      </x:c>
      <x:c r="F1115" t="str">
        <x:v>Екатерина Апушкина</x:v>
      </x:c>
      <x:c r="G1115" t="str">
        <x:v>нет</x:v>
      </x:c>
      <x:c r="H1115" t="str">
        <x:v>нет</x:v>
      </x:c>
    </x:row>
    <x:row r="1116">
      <x:c r="A1116" t="str">
        <x:v>10702</x:v>
      </x:c>
      <x:c r="B1116" t="str">
        <x:v>Заказ интернет-магазина №46</x:v>
      </x:c>
      <x:c r="C1116" t="e">
        <x:f>HYPERLINK("https://belberrycrm.bitrix24.ru/crm/deal/details/10702/","https://belberrycrm.bitrix24.ru/crm/deal/details/10702/")</x:f>
      </x:c>
      <x:c r="D1116" t="str">
        <x:v>Реанимация</x:v>
      </x:c>
      <x:c r="E1116" t="str">
        <x:v>АРХИВ Общая</x:v>
      </x:c>
      <x:c r="F1116" t="str">
        <x:v>Екатерина Апушкина</x:v>
      </x:c>
      <x:c r="G1116" t="str">
        <x:v>нет</x:v>
      </x:c>
      <x:c r="H1116" t="str">
        <x:v>нет</x:v>
      </x:c>
    </x:row>
    <x:row r="1117">
      <x:c r="A1117" t="str">
        <x:v>10704</x:v>
      </x:c>
      <x:c r="B1117" t="str">
        <x:v>Заказ интернет-магазина №48</x:v>
      </x:c>
      <x:c r="C1117" t="e">
        <x:f>HYPERLINK("https://belberrycrm.bitrix24.ru/crm/deal/details/10704/","https://belberrycrm.bitrix24.ru/crm/deal/details/10704/")</x:f>
      </x:c>
      <x:c r="D1117" t="str">
        <x:v>Реанимация</x:v>
      </x:c>
      <x:c r="E1117" t="str">
        <x:v>АРХИВ Общая</x:v>
      </x:c>
      <x:c r="F1117" t="str">
        <x:v>Екатерина Апушкина</x:v>
      </x:c>
      <x:c r="G1117" t="str">
        <x:v>нет</x:v>
      </x:c>
      <x:c r="H1117" t="str">
        <x:v>нет</x:v>
      </x:c>
    </x:row>
    <x:row r="1118">
      <x:c r="A1118" t="str">
        <x:v>10706</x:v>
      </x:c>
      <x:c r="B1118" t="str">
        <x:v>Заказ интернет-магазина №50</x:v>
      </x:c>
      <x:c r="C1118" t="e">
        <x:f>HYPERLINK("https://belberrycrm.bitrix24.ru/crm/deal/details/10706/","https://belberrycrm.bitrix24.ru/crm/deal/details/10706/")</x:f>
      </x:c>
      <x:c r="D1118" t="str">
        <x:v>Реанимация</x:v>
      </x:c>
      <x:c r="E1118" t="str">
        <x:v>АРХИВ Общая</x:v>
      </x:c>
      <x:c r="F1118" t="str">
        <x:v>Екатерина Апушкина</x:v>
      </x:c>
      <x:c r="G1118" t="str">
        <x:v>нет</x:v>
      </x:c>
      <x:c r="H1118" t="str">
        <x:v>нет</x:v>
      </x:c>
    </x:row>
    <x:row r="1119">
      <x:c r="A1119" t="str">
        <x:v>10708</x:v>
      </x:c>
      <x:c r="B1119" t="str">
        <x:v>faktorium.ru</x:v>
      </x:c>
      <x:c r="C1119" t="e">
        <x:f>HYPERLINK("https://belberrycrm.bitrix24.ru/crm/deal/details/10708/","https://belberrycrm.bitrix24.ru/crm/deal/details/10708/")</x:f>
      </x:c>
      <x:c r="D1119" t="str">
        <x:v>Реанимация</x:v>
      </x:c>
      <x:c r="E1119" t="str">
        <x:v>ПРОДАЖИ: Отвалы</x:v>
      </x:c>
      <x:c r="F1119" t="str">
        <x:v>Дарья Исаева</x:v>
      </x:c>
      <x:c r="G1119" t="str">
        <x:v>да</x:v>
      </x:c>
      <x:c r="H1119" t="str">
        <x:v>нет</x:v>
      </x:c>
    </x:row>
    <x:row r="1120">
      <x:c r="A1120" t="str">
        <x:v>10730</x:v>
      </x:c>
      <x:c r="B1120" t="str">
        <x:v>Заказ интернет-магазина №52</x:v>
      </x:c>
      <x:c r="C1120" t="e">
        <x:f>HYPERLINK("https://belberrycrm.bitrix24.ru/crm/deal/details/10730/","https://belberrycrm.bitrix24.ru/crm/deal/details/10730/")</x:f>
      </x:c>
      <x:c r="D1120" t="str">
        <x:v>Реанимация</x:v>
      </x:c>
      <x:c r="E1120" t="str">
        <x:v>АРХИВ Общая</x:v>
      </x:c>
      <x:c r="F1120" t="str">
        <x:v>Екатерина Апушкина</x:v>
      </x:c>
      <x:c r="G1120" t="str">
        <x:v>нет</x:v>
      </x:c>
      <x:c r="H1120" t="str">
        <x:v>нет</x:v>
      </x:c>
    </x:row>
    <x:row r="1121">
      <x:c r="A1121" t="str">
        <x:v>10742</x:v>
      </x:c>
      <x:c r="B1121" t="str">
        <x:v>Заказ интернет-магазина №54</x:v>
      </x:c>
      <x:c r="C1121" t="e">
        <x:f>HYPERLINK("https://belberrycrm.bitrix24.ru/crm/deal/details/10742/","https://belberrycrm.bitrix24.ru/crm/deal/details/10742/")</x:f>
      </x:c>
      <x:c r="D1121" t="str">
        <x:v>Реанимация</x:v>
      </x:c>
      <x:c r="E1121" t="str">
        <x:v>АРХИВ Общая</x:v>
      </x:c>
      <x:c r="F1121" t="str">
        <x:v>Екатерина Апушкина</x:v>
      </x:c>
      <x:c r="G1121" t="str">
        <x:v>нет</x:v>
      </x:c>
      <x:c r="H1121" t="str">
        <x:v>нет</x:v>
      </x:c>
    </x:row>
    <x:row r="1122">
      <x:c r="A1122" t="str">
        <x:v>10748</x:v>
      </x:c>
      <x:c r="B1122" t="str">
        <x:v>индустриязаботы27.рф</x:v>
      </x:c>
      <x:c r="C1122" t="e">
        <x:f>HYPERLINK("https://belberrycrm.bitrix24.ru/crm/deal/details/10748/","https://belberrycrm.bitrix24.ru/crm/deal/details/10748/")</x:f>
      </x:c>
      <x:c r="D1122" t="str">
        <x:v>Реанимация</x:v>
      </x:c>
      <x:c r="E1122" t="str">
        <x:v>ПРОДАЖИ: Отвалы</x:v>
      </x:c>
      <x:c r="F1122" t="str">
        <x:v>Петр Дудин</x:v>
      </x:c>
      <x:c r="G1122" t="str">
        <x:v>нет</x:v>
      </x:c>
      <x:c r="H1122" t="str">
        <x:v>нет</x:v>
      </x:c>
    </x:row>
    <x:row r="1123">
      <x:c r="A1123" t="str">
        <x:v>10762</x:v>
      </x:c>
      <x:c r="B1123" t="str">
        <x:v>рсоз.рф</x:v>
      </x:c>
      <x:c r="C1123" t="e">
        <x:f>HYPERLINK("https://belberrycrm.bitrix24.ru/crm/deal/details/10762/","https://belberrycrm.bitrix24.ru/crm/deal/details/10762/")</x:f>
      </x:c>
      <x:c r="D1123" t="str">
        <x:v>Реанимация</x:v>
      </x:c>
      <x:c r="E1123" t="str">
        <x:v>ПРОДАЖИ: Отвалы</x:v>
      </x:c>
      <x:c r="F1123" t="str">
        <x:v>Евгения Гордиенко</x:v>
      </x:c>
      <x:c r="G1123" t="str">
        <x:v>да</x:v>
      </x:c>
      <x:c r="H1123" t="str">
        <x:v>нет</x:v>
      </x:c>
    </x:row>
    <x:row r="1124">
      <x:c r="A1124" t="str">
        <x:v>10766</x:v>
      </x:c>
      <x:c r="B1124" t="str">
        <x:v>Заказ интернет-магазина №56</x:v>
      </x:c>
      <x:c r="C1124" t="e">
        <x:f>HYPERLINK("https://belberrycrm.bitrix24.ru/crm/deal/details/10766/","https://belberrycrm.bitrix24.ru/crm/deal/details/10766/")</x:f>
      </x:c>
      <x:c r="D1124" t="str">
        <x:v>Реанимация</x:v>
      </x:c>
      <x:c r="E1124" t="str">
        <x:v>АРХИВ Общая</x:v>
      </x:c>
      <x:c r="F1124" t="str">
        <x:v>Екатерина Апушкина</x:v>
      </x:c>
      <x:c r="G1124" t="str">
        <x:v>нет</x:v>
      </x:c>
      <x:c r="H1124" t="str">
        <x:v>нет</x:v>
      </x:c>
    </x:row>
    <x:row r="1125">
      <x:c r="A1125" t="str">
        <x:v>10776</x:v>
      </x:c>
      <x:c r="B1125" t="str">
        <x:v>Заказ интернет-магазина №58</x:v>
      </x:c>
      <x:c r="C1125" t="e">
        <x:f>HYPERLINK("https://belberrycrm.bitrix24.ru/crm/deal/details/10776/","https://belberrycrm.bitrix24.ru/crm/deal/details/10776/")</x:f>
      </x:c>
      <x:c r="D1125" t="str">
        <x:v>Реанимация</x:v>
      </x:c>
      <x:c r="E1125" t="str">
        <x:v>АРХИВ Общая</x:v>
      </x:c>
      <x:c r="F1125" t="str">
        <x:v>Екатерина Апушкина</x:v>
      </x:c>
      <x:c r="G1125" t="str">
        <x:v>нет</x:v>
      </x:c>
      <x:c r="H1125" t="str">
        <x:v>нет</x:v>
      </x:c>
    </x:row>
    <x:row r="1126">
      <x:c r="A1126" t="str">
        <x:v>10782</x:v>
      </x:c>
      <x:c r="B1126" t="str">
        <x:v>Юлия Психолог</x:v>
      </x:c>
      <x:c r="C1126" t="e">
        <x:f>HYPERLINK("https://belberrycrm.bitrix24.ru/crm/deal/details/10782/","https://belberrycrm.bitrix24.ru/crm/deal/details/10782/")</x:f>
      </x:c>
      <x:c r="D1126" t="str">
        <x:v>Реанимация</x:v>
      </x:c>
      <x:c r="E1126" t="str">
        <x:v>ПРОДАЖИ: Отвалы</x:v>
      </x:c>
      <x:c r="F1126" t="str">
        <x:v>Анна Гудинова</x:v>
      </x:c>
      <x:c r="G1126" t="str">
        <x:v>нет</x:v>
      </x:c>
      <x:c r="H1126" t="str">
        <x:v>нет</x:v>
      </x:c>
    </x:row>
    <x:row r="1127">
      <x:c r="A1127" t="str">
        <x:v>10792</x:v>
      </x:c>
      <x:c r="B1127" t="str">
        <x:v>mtclinica.ru</x:v>
      </x:c>
      <x:c r="C1127" t="e">
        <x:f>HYPERLINK("https://belberrycrm.bitrix24.ru/crm/deal/details/10792/","https://belberrycrm.bitrix24.ru/crm/deal/details/10792/")</x:f>
      </x:c>
      <x:c r="D1127" t="str">
        <x:v>Реанимация</x:v>
      </x:c>
      <x:c r="E1127" t="str">
        <x:v>ПРОДАЖИ: Отвалы</x:v>
      </x:c>
      <x:c r="F1127" t="str">
        <x:v>Петр Дудин</x:v>
      </x:c>
      <x:c r="G1127" t="str">
        <x:v>нет</x:v>
      </x:c>
      <x:c r="H1127" t="str">
        <x:v>нет</x:v>
      </x:c>
    </x:row>
    <x:row r="1128">
      <x:c r="A1128" t="str">
        <x:v>10802</x:v>
      </x:c>
      <x:c r="B1128" t="str">
        <x:v>Заказ интернет-магазина №60</x:v>
      </x:c>
      <x:c r="C1128" t="e">
        <x:f>HYPERLINK("https://belberrycrm.bitrix24.ru/crm/deal/details/10802/","https://belberrycrm.bitrix24.ru/crm/deal/details/10802/")</x:f>
      </x:c>
      <x:c r="D1128" t="str">
        <x:v>Реанимация</x:v>
      </x:c>
      <x:c r="E1128" t="str">
        <x:v>АРХИВ Общая</x:v>
      </x:c>
      <x:c r="F1128" t="str">
        <x:v>Екатерина Апушкина</x:v>
      </x:c>
      <x:c r="G1128" t="str">
        <x:v>нет</x:v>
      </x:c>
      <x:c r="H1128" t="str">
        <x:v>нет</x:v>
      </x:c>
    </x:row>
    <x:row r="1129">
      <x:c r="A1129" t="str">
        <x:v>10804</x:v>
      </x:c>
      <x:c r="B1129" t="str">
        <x:v>Заказ интернет-магазина №62</x:v>
      </x:c>
      <x:c r="C1129" t="e">
        <x:f>HYPERLINK("https://belberrycrm.bitrix24.ru/crm/deal/details/10804/","https://belberrycrm.bitrix24.ru/crm/deal/details/10804/")</x:f>
      </x:c>
      <x:c r="D1129" t="str">
        <x:v>Реанимация</x:v>
      </x:c>
      <x:c r="E1129" t="str">
        <x:v>АРХИВ Общая</x:v>
      </x:c>
      <x:c r="F1129" t="str">
        <x:v>Екатерина Апушкина</x:v>
      </x:c>
      <x:c r="G1129" t="str">
        <x:v>нет</x:v>
      </x:c>
      <x:c r="H1129" t="str">
        <x:v>нет</x:v>
      </x:c>
    </x:row>
    <x:row r="1130">
      <x:c r="A1130" t="str">
        <x:v>10806</x:v>
      </x:c>
      <x:c r="B1130" t="str">
        <x:v>Заказ интернет-магазина №64</x:v>
      </x:c>
      <x:c r="C1130" t="e">
        <x:f>HYPERLINK("https://belberrycrm.bitrix24.ru/crm/deal/details/10806/","https://belberrycrm.bitrix24.ru/crm/deal/details/10806/")</x:f>
      </x:c>
      <x:c r="D1130" t="str">
        <x:v>Реанимация</x:v>
      </x:c>
      <x:c r="E1130" t="str">
        <x:v>АРХИВ Общая</x:v>
      </x:c>
      <x:c r="F1130" t="str">
        <x:v>Екатерина Апушкина</x:v>
      </x:c>
      <x:c r="G1130" t="str">
        <x:v>нет</x:v>
      </x:c>
      <x:c r="H1130" t="str">
        <x:v>нет</x:v>
      </x:c>
    </x:row>
    <x:row r="1131">
      <x:c r="A1131" t="str">
        <x:v>10812</x:v>
      </x:c>
      <x:c r="B1131" t="str">
        <x:v>Заказ интернет-магазина №68</x:v>
      </x:c>
      <x:c r="C1131" t="e">
        <x:f>HYPERLINK("https://belberrycrm.bitrix24.ru/crm/deal/details/10812/","https://belberrycrm.bitrix24.ru/crm/deal/details/10812/")</x:f>
      </x:c>
      <x:c r="D1131" t="str">
        <x:v>Реанимация</x:v>
      </x:c>
      <x:c r="E1131" t="str">
        <x:v>АРХИВ Общая</x:v>
      </x:c>
      <x:c r="F1131" t="str">
        <x:v>Екатерина Апушкина</x:v>
      </x:c>
      <x:c r="G1131" t="str">
        <x:v>нет</x:v>
      </x:c>
      <x:c r="H1131" t="str">
        <x:v>нет</x:v>
      </x:c>
    </x:row>
    <x:row r="1132">
      <x:c r="A1132" t="str">
        <x:v>10814</x:v>
      </x:c>
      <x:c r="B1132" t="str">
        <x:v>Заказ интернет-магазина №70</x:v>
      </x:c>
      <x:c r="C1132" t="e">
        <x:f>HYPERLINK("https://belberrycrm.bitrix24.ru/crm/deal/details/10814/","https://belberrycrm.bitrix24.ru/crm/deal/details/10814/")</x:f>
      </x:c>
      <x:c r="D1132" t="str">
        <x:v>Реанимация</x:v>
      </x:c>
      <x:c r="E1132" t="str">
        <x:v>АРХИВ Общая</x:v>
      </x:c>
      <x:c r="F1132" t="str">
        <x:v>Екатерина Апушкина</x:v>
      </x:c>
      <x:c r="G1132" t="str">
        <x:v>нет</x:v>
      </x:c>
      <x:c r="H1132" t="str">
        <x:v>нет</x:v>
      </x:c>
    </x:row>
    <x:row r="1133">
      <x:c r="A1133" t="str">
        <x:v>10822</x:v>
      </x:c>
      <x:c r="B1133" t="str">
        <x:v>connect-donor.com</x:v>
      </x:c>
      <x:c r="C1133" t="e">
        <x:f>HYPERLINK("https://belberrycrm.bitrix24.ru/crm/deal/details/10822/","https://belberrycrm.bitrix24.ru/crm/deal/details/10822/")</x:f>
      </x:c>
      <x:c r="D1133" t="str">
        <x:v>Реанимация</x:v>
      </x:c>
      <x:c r="E1133" t="str">
        <x:v>ПРОДАЖИ: Отвалы</x:v>
      </x:c>
      <x:c r="F1133" t="str">
        <x:v>Евгения Гордиенко</x:v>
      </x:c>
      <x:c r="G1133" t="str">
        <x:v>нет</x:v>
      </x:c>
      <x:c r="H1133" t="str">
        <x:v>нет</x:v>
      </x:c>
    </x:row>
    <x:row r="1134">
      <x:c r="A1134" t="str">
        <x:v>10836</x:v>
      </x:c>
      <x:c r="B1134" t="str">
        <x:v>ГБУ РМЭ «Волжская ЦГБ»</x:v>
      </x:c>
      <x:c r="C1134" t="e">
        <x:f>HYPERLINK("https://belberrycrm.bitrix24.ru/crm/deal/details/10836/","https://belberrycrm.bitrix24.ru/crm/deal/details/10836/")</x:f>
      </x:c>
      <x:c r="D1134" t="str">
        <x:v>Реанимация</x:v>
      </x:c>
      <x:c r="E1134" t="str">
        <x:v>ПРОДАЖИ: Отвалы</x:v>
      </x:c>
      <x:c r="F1134" t="str">
        <x:v>Петр Дудин</x:v>
      </x:c>
      <x:c r="G1134" t="str">
        <x:v>да</x:v>
      </x:c>
      <x:c r="H1134" t="str">
        <x:v>нет</x:v>
      </x:c>
    </x:row>
    <x:row r="1135">
      <x:c r="A1135" t="str">
        <x:v>10862</x:v>
      </x:c>
      <x:c r="B1135" t="str">
        <x:v>Заказ интернет-магазина №72</x:v>
      </x:c>
      <x:c r="C1135" t="e">
        <x:f>HYPERLINK("https://belberrycrm.bitrix24.ru/crm/deal/details/10862/","https://belberrycrm.bitrix24.ru/crm/deal/details/10862/")</x:f>
      </x:c>
      <x:c r="D1135" t="str">
        <x:v>Реанимация</x:v>
      </x:c>
      <x:c r="E1135" t="str">
        <x:v>АРХИВ Общая</x:v>
      </x:c>
      <x:c r="F1135" t="str">
        <x:v>Екатерина Апушкина</x:v>
      </x:c>
      <x:c r="G1135" t="str">
        <x:v>нет</x:v>
      </x:c>
      <x:c r="H1135" t="str">
        <x:v>нет</x:v>
      </x:c>
    </x:row>
    <x:row r="1136">
      <x:c r="A1136" t="str">
        <x:v>10866</x:v>
      </x:c>
      <x:c r="B1136" t="str">
        <x:v>Заказ интернет-магазина №74</x:v>
      </x:c>
      <x:c r="C1136" t="e">
        <x:f>HYPERLINK("https://belberrycrm.bitrix24.ru/crm/deal/details/10866/","https://belberrycrm.bitrix24.ru/crm/deal/details/10866/")</x:f>
      </x:c>
      <x:c r="D1136" t="str">
        <x:v>Реанимация</x:v>
      </x:c>
      <x:c r="E1136" t="str">
        <x:v>АРХИВ Общая</x:v>
      </x:c>
      <x:c r="F1136" t="str">
        <x:v>Екатерина Апушкина</x:v>
      </x:c>
      <x:c r="G1136" t="str">
        <x:v>нет</x:v>
      </x:c>
      <x:c r="H1136" t="str">
        <x:v>нет</x:v>
      </x:c>
    </x:row>
    <x:row r="1137">
      <x:c r="A1137" t="str">
        <x:v>10868</x:v>
      </x:c>
      <x:c r="B1137" t="str">
        <x:v>Заказ интернет-магазина №76</x:v>
      </x:c>
      <x:c r="C1137" t="e">
        <x:f>HYPERLINK("https://belberrycrm.bitrix24.ru/crm/deal/details/10868/","https://belberrycrm.bitrix24.ru/crm/deal/details/10868/")</x:f>
      </x:c>
      <x:c r="D1137" t="str">
        <x:v>Реанимация</x:v>
      </x:c>
      <x:c r="E1137" t="str">
        <x:v>АРХИВ Общая</x:v>
      </x:c>
      <x:c r="F1137" t="str">
        <x:v>Екатерина Апушкина</x:v>
      </x:c>
      <x:c r="G1137" t="str">
        <x:v>нет</x:v>
      </x:c>
      <x:c r="H1137" t="str">
        <x:v>нет</x:v>
      </x:c>
    </x:row>
    <x:row r="1138">
      <x:c r="A1138" t="str">
        <x:v>10870</x:v>
      </x:c>
      <x:c r="B1138" t="str">
        <x:v>Заказ интернет-магазина №78</x:v>
      </x:c>
      <x:c r="C1138" t="e">
        <x:f>HYPERLINK("https://belberrycrm.bitrix24.ru/crm/deal/details/10870/","https://belberrycrm.bitrix24.ru/crm/deal/details/10870/")</x:f>
      </x:c>
      <x:c r="D1138" t="str">
        <x:v>Реанимация</x:v>
      </x:c>
      <x:c r="E1138" t="str">
        <x:v>АРХИВ Общая</x:v>
      </x:c>
      <x:c r="F1138" t="str">
        <x:v>Екатерина Апушкина</x:v>
      </x:c>
      <x:c r="G1138" t="str">
        <x:v>нет</x:v>
      </x:c>
      <x:c r="H1138" t="str">
        <x:v>нет</x:v>
      </x:c>
    </x:row>
    <x:row r="1139">
      <x:c r="A1139" t="str">
        <x:v>10872</x:v>
      </x:c>
      <x:c r="B1139" t="str">
        <x:v>Заказ интернет-магазина №80</x:v>
      </x:c>
      <x:c r="C1139" t="e">
        <x:f>HYPERLINK("https://belberrycrm.bitrix24.ru/crm/deal/details/10872/","https://belberrycrm.bitrix24.ru/crm/deal/details/10872/")</x:f>
      </x:c>
      <x:c r="D1139" t="str">
        <x:v>Реанимация</x:v>
      </x:c>
      <x:c r="E1139" t="str">
        <x:v>АРХИВ Общая</x:v>
      </x:c>
      <x:c r="F1139" t="str">
        <x:v>Екатерина Апушкина</x:v>
      </x:c>
      <x:c r="G1139" t="str">
        <x:v>нет</x:v>
      </x:c>
      <x:c r="H1139" t="str">
        <x:v>нет</x:v>
      </x:c>
    </x:row>
    <x:row r="1140">
      <x:c r="A1140" t="str">
        <x:v>10874</x:v>
      </x:c>
      <x:c r="B1140" t="str">
        <x:v>Заказ интернет-магазина №82</x:v>
      </x:c>
      <x:c r="C1140" t="e">
        <x:f>HYPERLINK("https://belberrycrm.bitrix24.ru/crm/deal/details/10874/","https://belberrycrm.bitrix24.ru/crm/deal/details/10874/")</x:f>
      </x:c>
      <x:c r="D1140" t="str">
        <x:v>Реанимация</x:v>
      </x:c>
      <x:c r="E1140" t="str">
        <x:v>АРХИВ Общая</x:v>
      </x:c>
      <x:c r="F1140" t="str">
        <x:v>Екатерина Апушкина</x:v>
      </x:c>
      <x:c r="G1140" t="str">
        <x:v>нет</x:v>
      </x:c>
      <x:c r="H1140" t="str">
        <x:v>нет</x:v>
      </x:c>
    </x:row>
    <x:row r="1141">
      <x:c r="A1141" t="str">
        <x:v>10876</x:v>
      </x:c>
      <x:c r="B1141" t="str">
        <x:v>Заказ интернет-магазина №84</x:v>
      </x:c>
      <x:c r="C1141" t="e">
        <x:f>HYPERLINK("https://belberrycrm.bitrix24.ru/crm/deal/details/10876/","https://belberrycrm.bitrix24.ru/crm/deal/details/10876/")</x:f>
      </x:c>
      <x:c r="D1141" t="str">
        <x:v>Реанимация</x:v>
      </x:c>
      <x:c r="E1141" t="str">
        <x:v>АРХИВ Общая</x:v>
      </x:c>
      <x:c r="F1141" t="str">
        <x:v>Екатерина Апушкина</x:v>
      </x:c>
      <x:c r="G1141" t="str">
        <x:v>нет</x:v>
      </x:c>
      <x:c r="H1141" t="str">
        <x:v>нет</x:v>
      </x:c>
    </x:row>
    <x:row r="1142">
      <x:c r="A1142" t="str">
        <x:v>10878</x:v>
      </x:c>
      <x:c r="B1142" t="str">
        <x:v>Заказ интернет-магазина №86</x:v>
      </x:c>
      <x:c r="C1142" t="e">
        <x:f>HYPERLINK("https://belberrycrm.bitrix24.ru/crm/deal/details/10878/","https://belberrycrm.bitrix24.ru/crm/deal/details/10878/")</x:f>
      </x:c>
      <x:c r="D1142" t="str">
        <x:v>Реанимация</x:v>
      </x:c>
      <x:c r="E1142" t="str">
        <x:v>АРХИВ Общая</x:v>
      </x:c>
      <x:c r="F1142" t="str">
        <x:v>Екатерина Апушкина</x:v>
      </x:c>
      <x:c r="G1142" t="str">
        <x:v>нет</x:v>
      </x:c>
      <x:c r="H1142" t="str">
        <x:v>нет</x:v>
      </x:c>
    </x:row>
    <x:row r="1143">
      <x:c r="A1143" t="str">
        <x:v>10880</x:v>
      </x:c>
      <x:c r="B1143" t="str">
        <x:v>Заказ интернет-магазина №88</x:v>
      </x:c>
      <x:c r="C1143" t="e">
        <x:f>HYPERLINK("https://belberrycrm.bitrix24.ru/crm/deal/details/10880/","https://belberrycrm.bitrix24.ru/crm/deal/details/10880/")</x:f>
      </x:c>
      <x:c r="D1143" t="str">
        <x:v>Реанимация</x:v>
      </x:c>
      <x:c r="E1143" t="str">
        <x:v>АРХИВ Общая</x:v>
      </x:c>
      <x:c r="F1143" t="str">
        <x:v>Екатерина Апушкина</x:v>
      </x:c>
      <x:c r="G1143" t="str">
        <x:v>нет</x:v>
      </x:c>
      <x:c r="H1143" t="str">
        <x:v>нет</x:v>
      </x:c>
    </x:row>
    <x:row r="1144">
      <x:c r="A1144" t="str">
        <x:v>10882</x:v>
      </x:c>
      <x:c r="B1144" t="str">
        <x:v>Заказ интернет-магазина №90</x:v>
      </x:c>
      <x:c r="C1144" t="e">
        <x:f>HYPERLINK("https://belberrycrm.bitrix24.ru/crm/deal/details/10882/","https://belberrycrm.bitrix24.ru/crm/deal/details/10882/")</x:f>
      </x:c>
      <x:c r="D1144" t="str">
        <x:v>Реанимация</x:v>
      </x:c>
      <x:c r="E1144" t="str">
        <x:v>АРХИВ Общая</x:v>
      </x:c>
      <x:c r="F1144" t="str">
        <x:v>Екатерина Апушкина</x:v>
      </x:c>
      <x:c r="G1144" t="str">
        <x:v>нет</x:v>
      </x:c>
      <x:c r="H1144" t="str">
        <x:v>нет</x:v>
      </x:c>
    </x:row>
    <x:row r="1145">
      <x:c r="A1145" t="str">
        <x:v>10884</x:v>
      </x:c>
      <x:c r="B1145" t="str">
        <x:v>Заказ интернет-магазина №92</x:v>
      </x:c>
      <x:c r="C1145" t="e">
        <x:f>HYPERLINK("https://belberrycrm.bitrix24.ru/crm/deal/details/10884/","https://belberrycrm.bitrix24.ru/crm/deal/details/10884/")</x:f>
      </x:c>
      <x:c r="D1145" t="str">
        <x:v>Реанимация</x:v>
      </x:c>
      <x:c r="E1145" t="str">
        <x:v>АРХИВ Общая</x:v>
      </x:c>
      <x:c r="F1145" t="str">
        <x:v>Екатерина Апушкина</x:v>
      </x:c>
      <x:c r="G1145" t="str">
        <x:v>нет</x:v>
      </x:c>
      <x:c r="H1145" t="str">
        <x:v>нет</x:v>
      </x:c>
    </x:row>
    <x:row r="1146">
      <x:c r="A1146" t="str">
        <x:v>10890</x:v>
      </x:c>
      <x:c r="B1146" t="str">
        <x:v>Заказ интернет-магазина №96</x:v>
      </x:c>
      <x:c r="C1146" t="e">
        <x:f>HYPERLINK("https://belberrycrm.bitrix24.ru/crm/deal/details/10890/","https://belberrycrm.bitrix24.ru/crm/deal/details/10890/")</x:f>
      </x:c>
      <x:c r="D1146" t="str">
        <x:v>Реанимация</x:v>
      </x:c>
      <x:c r="E1146" t="str">
        <x:v>АРХИВ Общая</x:v>
      </x:c>
      <x:c r="F1146" t="str">
        <x:v>Екатерина Апушкина</x:v>
      </x:c>
      <x:c r="G1146" t="str">
        <x:v>нет</x:v>
      </x:c>
      <x:c r="H1146" t="str">
        <x:v>нет</x:v>
      </x:c>
    </x:row>
    <x:row r="1147">
      <x:c r="A1147" t="str">
        <x:v>10894</x:v>
      </x:c>
      <x:c r="B1147" t="str">
        <x:v>Заказ интернет-магазина №98</x:v>
      </x:c>
      <x:c r="C1147" t="e">
        <x:f>HYPERLINK("https://belberrycrm.bitrix24.ru/crm/deal/details/10894/","https://belberrycrm.bitrix24.ru/crm/deal/details/10894/")</x:f>
      </x:c>
      <x:c r="D1147" t="str">
        <x:v>Реанимация</x:v>
      </x:c>
      <x:c r="E1147" t="str">
        <x:v>АРХИВ Общая</x:v>
      </x:c>
      <x:c r="F1147" t="str">
        <x:v>Екатерина Апушкина</x:v>
      </x:c>
      <x:c r="G1147" t="str">
        <x:v>нет</x:v>
      </x:c>
      <x:c r="H1147" t="str">
        <x:v>нет</x:v>
      </x:c>
    </x:row>
    <x:row r="1148">
      <x:c r="A1148" t="str">
        <x:v>10896</x:v>
      </x:c>
      <x:c r="B1148" t="str">
        <x:v>Заказ интернет-магазина №100</x:v>
      </x:c>
      <x:c r="C1148" t="e">
        <x:f>HYPERLINK("https://belberrycrm.bitrix24.ru/crm/deal/details/10896/","https://belberrycrm.bitrix24.ru/crm/deal/details/10896/")</x:f>
      </x:c>
      <x:c r="D1148" t="str">
        <x:v>Реанимация</x:v>
      </x:c>
      <x:c r="E1148" t="str">
        <x:v>АРХИВ Общая</x:v>
      </x:c>
      <x:c r="F1148" t="str">
        <x:v>Екатерина Апушкина</x:v>
      </x:c>
      <x:c r="G1148" t="str">
        <x:v>нет</x:v>
      </x:c>
      <x:c r="H1148" t="str">
        <x:v>нет</x:v>
      </x:c>
    </x:row>
    <x:row r="1149">
      <x:c r="A1149" t="str">
        <x:v>10898</x:v>
      </x:c>
      <x:c r="B1149" t="str">
        <x:v>Заказ интернет-магазина №102</x:v>
      </x:c>
      <x:c r="C1149" t="e">
        <x:f>HYPERLINK("https://belberrycrm.bitrix24.ru/crm/deal/details/10898/","https://belberrycrm.bitrix24.ru/crm/deal/details/10898/")</x:f>
      </x:c>
      <x:c r="D1149" t="str">
        <x:v>Реанимация</x:v>
      </x:c>
      <x:c r="E1149" t="str">
        <x:v>АРХИВ Общая</x:v>
      </x:c>
      <x:c r="F1149" t="str">
        <x:v>Екатерина Апушкина</x:v>
      </x:c>
      <x:c r="G1149" t="str">
        <x:v>нет</x:v>
      </x:c>
      <x:c r="H1149" t="str">
        <x:v>нет</x:v>
      </x:c>
    </x:row>
    <x:row r="1150">
      <x:c r="A1150" t="str">
        <x:v>10932</x:v>
      </x:c>
      <x:c r="B1150" t="str">
        <x:v>immun.ru</x:v>
      </x:c>
      <x:c r="C1150" t="e">
        <x:f>HYPERLINK("https://belberrycrm.bitrix24.ru/crm/deal/details/10932/","https://belberrycrm.bitrix24.ru/crm/deal/details/10932/")</x:f>
      </x:c>
      <x:c r="D1150" t="str">
        <x:v>Реанимация</x:v>
      </x:c>
      <x:c r="E1150" t="str">
        <x:v>ПРОДАЖИ: Отвалы</x:v>
      </x:c>
      <x:c r="F1150" t="str">
        <x:v>Петр Дудин</x:v>
      </x:c>
      <x:c r="G1150" t="str">
        <x:v>нет</x:v>
      </x:c>
      <x:c r="H1150" t="str">
        <x:v>нет</x:v>
      </x:c>
    </x:row>
    <x:row r="1151">
      <x:c r="A1151" t="str">
        <x:v>10934</x:v>
      </x:c>
      <x:c r="B1151" t="str">
        <x:v>Заказ интернет-магазина №104</x:v>
      </x:c>
      <x:c r="C1151" t="e">
        <x:f>HYPERLINK("https://belberrycrm.bitrix24.ru/crm/deal/details/10934/","https://belberrycrm.bitrix24.ru/crm/deal/details/10934/")</x:f>
      </x:c>
      <x:c r="D1151" t="str">
        <x:v>Реанимация</x:v>
      </x:c>
      <x:c r="E1151" t="str">
        <x:v>АРХИВ Общая</x:v>
      </x:c>
      <x:c r="F1151" t="str">
        <x:v>Екатерина Апушкина</x:v>
      </x:c>
      <x:c r="G1151" t="str">
        <x:v>нет</x:v>
      </x:c>
      <x:c r="H1151" t="str">
        <x:v>нет</x:v>
      </x:c>
    </x:row>
    <x:row r="1152">
      <x:c r="A1152" t="str">
        <x:v>10942</x:v>
      </x:c>
      <x:c r="B1152" t="str">
        <x:v>Заказ интернет-магазина №106</x:v>
      </x:c>
      <x:c r="C1152" t="e">
        <x:f>HYPERLINK("https://belberrycrm.bitrix24.ru/crm/deal/details/10942/","https://belberrycrm.bitrix24.ru/crm/deal/details/10942/")</x:f>
      </x:c>
      <x:c r="D1152" t="str">
        <x:v>Реанимация</x:v>
      </x:c>
      <x:c r="E1152" t="str">
        <x:v>АРХИВ Общая</x:v>
      </x:c>
      <x:c r="F1152" t="str">
        <x:v>Екатерина Апушкина</x:v>
      </x:c>
      <x:c r="G1152" t="str">
        <x:v>нет</x:v>
      </x:c>
      <x:c r="H1152" t="str">
        <x:v>нет</x:v>
      </x:c>
    </x:row>
    <x:row r="1153">
      <x:c r="A1153" t="str">
        <x:v>10944</x:v>
      </x:c>
      <x:c r="B1153" t="str">
        <x:v>viaqurata.com</x:v>
      </x:c>
      <x:c r="C1153" t="e">
        <x:f>HYPERLINK("https://belberrycrm.bitrix24.ru/crm/deal/details/10944/","https://belberrycrm.bitrix24.ru/crm/deal/details/10944/")</x:f>
      </x:c>
      <x:c r="D1153" t="str">
        <x:v>Реанимация</x:v>
      </x:c>
      <x:c r="E1153" t="str">
        <x:v>ПРОДАЖИ: Отвалы</x:v>
      </x:c>
      <x:c r="F1153" t="str">
        <x:v>Екатерина Кохтачева</x:v>
      </x:c>
      <x:c r="G1153" t="str">
        <x:v>нет</x:v>
      </x:c>
      <x:c r="H1153" t="str">
        <x:v>нет</x:v>
      </x:c>
    </x:row>
    <x:row r="1154">
      <x:c r="A1154" t="str">
        <x:v>10946</x:v>
      </x:c>
      <x:c r="B1154" t="str">
        <x:v>Заказ интернет-магазина №108</x:v>
      </x:c>
      <x:c r="C1154" t="e">
        <x:f>HYPERLINK("https://belberrycrm.bitrix24.ru/crm/deal/details/10946/","https://belberrycrm.bitrix24.ru/crm/deal/details/10946/")</x:f>
      </x:c>
      <x:c r="D1154" t="str">
        <x:v>Реанимация</x:v>
      </x:c>
      <x:c r="E1154" t="str">
        <x:v>АРХИВ Общая</x:v>
      </x:c>
      <x:c r="F1154" t="str">
        <x:v>Екатерина Апушкина</x:v>
      </x:c>
      <x:c r="G1154" t="str">
        <x:v>нет</x:v>
      </x:c>
      <x:c r="H1154" t="str">
        <x:v>нет</x:v>
      </x:c>
    </x:row>
    <x:row r="1155">
      <x:c r="A1155" t="str">
        <x:v>10948</x:v>
      </x:c>
      <x:c r="B1155" t="str">
        <x:v>Заказ интернет-магазина №110</x:v>
      </x:c>
      <x:c r="C1155" t="e">
        <x:f>HYPERLINK("https://belberrycrm.bitrix24.ru/crm/deal/details/10948/","https://belberrycrm.bitrix24.ru/crm/deal/details/10948/")</x:f>
      </x:c>
      <x:c r="D1155" t="str">
        <x:v>Реанимация</x:v>
      </x:c>
      <x:c r="E1155" t="str">
        <x:v>АРХИВ Общая</x:v>
      </x:c>
      <x:c r="F1155" t="str">
        <x:v>Екатерина Апушкина</x:v>
      </x:c>
      <x:c r="G1155" t="str">
        <x:v>нет</x:v>
      </x:c>
      <x:c r="H1155" t="str">
        <x:v>нет</x:v>
      </x:c>
    </x:row>
    <x:row r="1156">
      <x:c r="A1156" t="str">
        <x:v>10952</x:v>
      </x:c>
      <x:c r="B1156" t="str">
        <x:v>ООО "ФАБРИКА РЕШЕНИЙ"</x:v>
      </x:c>
      <x:c r="C1156" t="e">
        <x:f>HYPERLINK("https://belberrycrm.bitrix24.ru/crm/deal/details/10952/","https://belberrycrm.bitrix24.ru/crm/deal/details/10952/")</x:f>
      </x:c>
      <x:c r="D1156" t="str">
        <x:v>Реанимация</x:v>
      </x:c>
      <x:c r="E1156" t="str">
        <x:v>ПРОДАЖИ: Отвалы</x:v>
      </x:c>
      <x:c r="F1156" t="str">
        <x:v>Евгения Гордиенко</x:v>
      </x:c>
      <x:c r="G1156" t="str">
        <x:v>да</x:v>
      </x:c>
      <x:c r="H1156" t="str">
        <x:v>нет</x:v>
      </x:c>
    </x:row>
    <x:row r="1157">
      <x:c r="A1157" t="str">
        <x:v>10958</x:v>
      </x:c>
      <x:c r="B1157" t="str">
        <x:v>Заказ интернет-магазина №112</x:v>
      </x:c>
      <x:c r="C1157" t="e">
        <x:f>HYPERLINK("https://belberrycrm.bitrix24.ru/crm/deal/details/10958/","https://belberrycrm.bitrix24.ru/crm/deal/details/10958/")</x:f>
      </x:c>
      <x:c r="D1157" t="str">
        <x:v>Реанимация</x:v>
      </x:c>
      <x:c r="E1157" t="str">
        <x:v>АРХИВ Общая</x:v>
      </x:c>
      <x:c r="F1157" t="str">
        <x:v>Екатерина Апушкина</x:v>
      </x:c>
      <x:c r="G1157" t="str">
        <x:v>нет</x:v>
      </x:c>
      <x:c r="H1157" t="str">
        <x:v>нет</x:v>
      </x:c>
    </x:row>
    <x:row r="1158">
      <x:c r="A1158" t="str">
        <x:v>10960</x:v>
      </x:c>
      <x:c r="B1158" t="str">
        <x:v>Заказ интернет-магазина №114</x:v>
      </x:c>
      <x:c r="C1158" t="e">
        <x:f>HYPERLINK("https://belberrycrm.bitrix24.ru/crm/deal/details/10960/","https://belberrycrm.bitrix24.ru/crm/deal/details/10960/")</x:f>
      </x:c>
      <x:c r="D1158" t="str">
        <x:v>Реанимация</x:v>
      </x:c>
      <x:c r="E1158" t="str">
        <x:v>АРХИВ Общая</x:v>
      </x:c>
      <x:c r="F1158" t="str">
        <x:v>Екатерина Апушкина</x:v>
      </x:c>
      <x:c r="G1158" t="str">
        <x:v>нет</x:v>
      </x:c>
      <x:c r="H1158" t="str">
        <x:v>нет</x:v>
      </x:c>
    </x:row>
    <x:row r="1159">
      <x:c r="A1159" t="str">
        <x:v>10966</x:v>
      </x:c>
      <x:c r="B1159" t="str">
        <x:v>Заказ интернет-магазина №116</x:v>
      </x:c>
      <x:c r="C1159" t="e">
        <x:f>HYPERLINK("https://belberrycrm.bitrix24.ru/crm/deal/details/10966/","https://belberrycrm.bitrix24.ru/crm/deal/details/10966/")</x:f>
      </x:c>
      <x:c r="D1159" t="str">
        <x:v>Реанимация</x:v>
      </x:c>
      <x:c r="E1159" t="str">
        <x:v>АРХИВ Общая</x:v>
      </x:c>
      <x:c r="F1159" t="str">
        <x:v>Екатерина Апушкина</x:v>
      </x:c>
      <x:c r="G1159" t="str">
        <x:v>нет</x:v>
      </x:c>
      <x:c r="H1159" t="str">
        <x:v>нет</x:v>
      </x:c>
    </x:row>
    <x:row r="1160">
      <x:c r="A1160" t="str">
        <x:v>10968</x:v>
      </x:c>
      <x:c r="B1160" t="str">
        <x:v>Заказ интернет-магазина №118</x:v>
      </x:c>
      <x:c r="C1160" t="e">
        <x:f>HYPERLINK("https://belberrycrm.bitrix24.ru/crm/deal/details/10968/","https://belberrycrm.bitrix24.ru/crm/deal/details/10968/")</x:f>
      </x:c>
      <x:c r="D1160" t="str">
        <x:v>Реанимация</x:v>
      </x:c>
      <x:c r="E1160" t="str">
        <x:v>АРХИВ Общая</x:v>
      </x:c>
      <x:c r="F1160" t="str">
        <x:v>Екатерина Апушкина</x:v>
      </x:c>
      <x:c r="G1160" t="str">
        <x:v>нет</x:v>
      </x:c>
      <x:c r="H1160" t="str">
        <x:v>нет</x:v>
      </x:c>
    </x:row>
    <x:row r="1161">
      <x:c r="A1161" t="str">
        <x:v>10970</x:v>
      </x:c>
      <x:c r="B1161" t="str">
        <x:v>Заказ интернет-магазина №120</x:v>
      </x:c>
      <x:c r="C1161" t="e">
        <x:f>HYPERLINK("https://belberrycrm.bitrix24.ru/crm/deal/details/10970/","https://belberrycrm.bitrix24.ru/crm/deal/details/10970/")</x:f>
      </x:c>
      <x:c r="D1161" t="str">
        <x:v>Реанимация</x:v>
      </x:c>
      <x:c r="E1161" t="str">
        <x:v>АРХИВ Общая</x:v>
      </x:c>
      <x:c r="F1161" t="str">
        <x:v>Екатерина Апушкина</x:v>
      </x:c>
      <x:c r="G1161" t="str">
        <x:v>нет</x:v>
      </x:c>
      <x:c r="H1161" t="str">
        <x:v>нет</x:v>
      </x:c>
    </x:row>
    <x:row r="1162">
      <x:c r="A1162" t="str">
        <x:v>10972</x:v>
      </x:c>
      <x:c r="B1162" t="str">
        <x:v>Заказ интернет-магазина №122</x:v>
      </x:c>
      <x:c r="C1162" t="e">
        <x:f>HYPERLINK("https://belberrycrm.bitrix24.ru/crm/deal/details/10972/","https://belberrycrm.bitrix24.ru/crm/deal/details/10972/")</x:f>
      </x:c>
      <x:c r="D1162" t="str">
        <x:v>Реанимация</x:v>
      </x:c>
      <x:c r="E1162" t="str">
        <x:v>АРХИВ Общая</x:v>
      </x:c>
      <x:c r="F1162" t="str">
        <x:v>Екатерина Апушкина</x:v>
      </x:c>
      <x:c r="G1162" t="str">
        <x:v>нет</x:v>
      </x:c>
      <x:c r="H1162" t="str">
        <x:v>нет</x:v>
      </x:c>
    </x:row>
    <x:row r="1163">
      <x:c r="A1163" t="str">
        <x:v>10974</x:v>
      </x:c>
      <x:c r="B1163" t="str">
        <x:v>Заказ интернет-магазина №124</x:v>
      </x:c>
      <x:c r="C1163" t="e">
        <x:f>HYPERLINK("https://belberrycrm.bitrix24.ru/crm/deal/details/10974/","https://belberrycrm.bitrix24.ru/crm/deal/details/10974/")</x:f>
      </x:c>
      <x:c r="D1163" t="str">
        <x:v>Реанимация</x:v>
      </x:c>
      <x:c r="E1163" t="str">
        <x:v>АРХИВ Общая</x:v>
      </x:c>
      <x:c r="F1163" t="str">
        <x:v>Екатерина Апушкина</x:v>
      </x:c>
      <x:c r="G1163" t="str">
        <x:v>нет</x:v>
      </x:c>
      <x:c r="H1163" t="str">
        <x:v>нет</x:v>
      </x:c>
    </x:row>
    <x:row r="1164">
      <x:c r="A1164" t="str">
        <x:v>10976</x:v>
      </x:c>
      <x:c r="B1164" t="str">
        <x:v>Заказ интернет-магазина №126</x:v>
      </x:c>
      <x:c r="C1164" t="e">
        <x:f>HYPERLINK("https://belberrycrm.bitrix24.ru/crm/deal/details/10976/","https://belberrycrm.bitrix24.ru/crm/deal/details/10976/")</x:f>
      </x:c>
      <x:c r="D1164" t="str">
        <x:v>Реанимация</x:v>
      </x:c>
      <x:c r="E1164" t="str">
        <x:v>АРХИВ Общая</x:v>
      </x:c>
      <x:c r="F1164" t="str">
        <x:v>Екатерина Апушкина</x:v>
      </x:c>
      <x:c r="G1164" t="str">
        <x:v>нет</x:v>
      </x:c>
      <x:c r="H1164" t="str">
        <x:v>нет</x:v>
      </x:c>
    </x:row>
    <x:row r="1165">
      <x:c r="A1165" t="str">
        <x:v>10992</x:v>
      </x:c>
      <x:c r="B1165" t="str">
        <x:v>Заказ интернет-магазина №128</x:v>
      </x:c>
      <x:c r="C1165" t="e">
        <x:f>HYPERLINK("https://belberrycrm.bitrix24.ru/crm/deal/details/10992/","https://belberrycrm.bitrix24.ru/crm/deal/details/10992/")</x:f>
      </x:c>
      <x:c r="D1165" t="str">
        <x:v>Реанимация</x:v>
      </x:c>
      <x:c r="E1165" t="str">
        <x:v>АРХИВ Общая</x:v>
      </x:c>
      <x:c r="F1165" t="str">
        <x:v>Екатерина Апушкина</x:v>
      </x:c>
      <x:c r="G1165" t="str">
        <x:v>нет</x:v>
      </x:c>
      <x:c r="H1165" t="str">
        <x:v>нет</x:v>
      </x:c>
    </x:row>
    <x:row r="1166">
      <x:c r="A1166" t="str">
        <x:v>10998</x:v>
      </x:c>
      <x:c r="B1166" t="str">
        <x:v>monkeymensclub.ru</x:v>
      </x:c>
      <x:c r="C1166" t="e">
        <x:f>HYPERLINK("https://belberrycrm.bitrix24.ru/crm/deal/details/10998/","https://belberrycrm.bitrix24.ru/crm/deal/details/10998/")</x:f>
      </x:c>
      <x:c r="D1166" t="str">
        <x:v>Реанимация</x:v>
      </x:c>
      <x:c r="E1166" t="str">
        <x:v>ПРОДАЖИ: Отвалы</x:v>
      </x:c>
      <x:c r="F1166" t="str">
        <x:v>Евгения Гордиенко</x:v>
      </x:c>
      <x:c r="G1166" t="str">
        <x:v>да</x:v>
      </x:c>
      <x:c r="H1166" t="str">
        <x:v>нет</x:v>
      </x:c>
    </x:row>
    <x:row r="1167">
      <x:c r="A1167" t="str">
        <x:v>11006</x:v>
      </x:c>
      <x:c r="B1167" t="str">
        <x:v>Заказ интернет-магазина №130</x:v>
      </x:c>
      <x:c r="C1167" t="e">
        <x:f>HYPERLINK("https://belberrycrm.bitrix24.ru/crm/deal/details/11006/","https://belberrycrm.bitrix24.ru/crm/deal/details/11006/")</x:f>
      </x:c>
      <x:c r="D1167" t="str">
        <x:v>Реанимация</x:v>
      </x:c>
      <x:c r="E1167" t="str">
        <x:v>АРХИВ Общая</x:v>
      </x:c>
      <x:c r="F1167" t="str">
        <x:v>Екатерина Апушкина</x:v>
      </x:c>
      <x:c r="G1167" t="str">
        <x:v>нет</x:v>
      </x:c>
      <x:c r="H1167" t="str">
        <x:v>нет</x:v>
      </x:c>
    </x:row>
    <x:row r="1168">
      <x:c r="A1168" t="str">
        <x:v>11008</x:v>
      </x:c>
      <x:c r="B1168" t="str">
        <x:v>Заказ интернет-магазина №132</x:v>
      </x:c>
      <x:c r="C1168" t="e">
        <x:f>HYPERLINK("https://belberrycrm.bitrix24.ru/crm/deal/details/11008/","https://belberrycrm.bitrix24.ru/crm/deal/details/11008/")</x:f>
      </x:c>
      <x:c r="D1168" t="str">
        <x:v>Реанимация</x:v>
      </x:c>
      <x:c r="E1168" t="str">
        <x:v>АРХИВ Общая</x:v>
      </x:c>
      <x:c r="F1168" t="str">
        <x:v>Екатерина Апушкина</x:v>
      </x:c>
      <x:c r="G1168" t="str">
        <x:v>нет</x:v>
      </x:c>
      <x:c r="H1168" t="str">
        <x:v>нет</x:v>
      </x:c>
    </x:row>
    <x:row r="1169">
      <x:c r="A1169" t="str">
        <x:v>11010</x:v>
      </x:c>
      <x:c r="B1169" t="str">
        <x:v>Заказ интернет-магазина №134</x:v>
      </x:c>
      <x:c r="C1169" t="e">
        <x:f>HYPERLINK("https://belberrycrm.bitrix24.ru/crm/deal/details/11010/","https://belberrycrm.bitrix24.ru/crm/deal/details/11010/")</x:f>
      </x:c>
      <x:c r="D1169" t="str">
        <x:v>Реанимация</x:v>
      </x:c>
      <x:c r="E1169" t="str">
        <x:v>АРХИВ Общая</x:v>
      </x:c>
      <x:c r="F1169" t="str">
        <x:v>Екатерина Апушкина</x:v>
      </x:c>
      <x:c r="G1169" t="str">
        <x:v>нет</x:v>
      </x:c>
      <x:c r="H1169" t="str">
        <x:v>нет</x:v>
      </x:c>
    </x:row>
    <x:row r="1170">
      <x:c r="A1170" t="str">
        <x:v>11016</x:v>
      </x:c>
      <x:c r="B1170" t="str">
        <x:v>Заказ интернет-магазина №136</x:v>
      </x:c>
      <x:c r="C1170" t="e">
        <x:f>HYPERLINK("https://belberrycrm.bitrix24.ru/crm/deal/details/11016/","https://belberrycrm.bitrix24.ru/crm/deal/details/11016/")</x:f>
      </x:c>
      <x:c r="D1170" t="str">
        <x:v>Реанимация</x:v>
      </x:c>
      <x:c r="E1170" t="str">
        <x:v>АРХИВ Общая</x:v>
      </x:c>
      <x:c r="F1170" t="str">
        <x:v>Екатерина Апушкина</x:v>
      </x:c>
      <x:c r="G1170" t="str">
        <x:v>нет</x:v>
      </x:c>
      <x:c r="H1170" t="str">
        <x:v>нет</x:v>
      </x:c>
    </x:row>
    <x:row r="1171">
      <x:c r="A1171" t="str">
        <x:v>11018</x:v>
      </x:c>
      <x:c r="B1171" t="str">
        <x:v>Заказ интернет-магазина №138</x:v>
      </x:c>
      <x:c r="C1171" t="e">
        <x:f>HYPERLINK("https://belberrycrm.bitrix24.ru/crm/deal/details/11018/","https://belberrycrm.bitrix24.ru/crm/deal/details/11018/")</x:f>
      </x:c>
      <x:c r="D1171" t="str">
        <x:v>Реанимация</x:v>
      </x:c>
      <x:c r="E1171" t="str">
        <x:v>АРХИВ Общая</x:v>
      </x:c>
      <x:c r="F1171" t="str">
        <x:v>Екатерина Апушкина</x:v>
      </x:c>
      <x:c r="G1171" t="str">
        <x:v>нет</x:v>
      </x:c>
      <x:c r="H1171" t="str">
        <x:v>нет</x:v>
      </x:c>
    </x:row>
    <x:row r="1172">
      <x:c r="A1172" t="str">
        <x:v>11020</x:v>
      </x:c>
      <x:c r="B1172" t="str">
        <x:v>Заказ интернет-магазина №140</x:v>
      </x:c>
      <x:c r="C1172" t="e">
        <x:f>HYPERLINK("https://belberrycrm.bitrix24.ru/crm/deal/details/11020/","https://belberrycrm.bitrix24.ru/crm/deal/details/11020/")</x:f>
      </x:c>
      <x:c r="D1172" t="str">
        <x:v>Реанимация</x:v>
      </x:c>
      <x:c r="E1172" t="str">
        <x:v>АРХИВ Общая</x:v>
      </x:c>
      <x:c r="F1172" t="str">
        <x:v>Екатерина Апушкина</x:v>
      </x:c>
      <x:c r="G1172" t="str">
        <x:v>нет</x:v>
      </x:c>
      <x:c r="H1172" t="str">
        <x:v>нет</x:v>
      </x:c>
    </x:row>
    <x:row r="1173">
      <x:c r="A1173" t="str">
        <x:v>11022</x:v>
      </x:c>
      <x:c r="B1173" t="str">
        <x:v>Заказ интернет-магазина №142</x:v>
      </x:c>
      <x:c r="C1173" t="e">
        <x:f>HYPERLINK("https://belberrycrm.bitrix24.ru/crm/deal/details/11022/","https://belberrycrm.bitrix24.ru/crm/deal/details/11022/")</x:f>
      </x:c>
      <x:c r="D1173" t="str">
        <x:v>Реанимация</x:v>
      </x:c>
      <x:c r="E1173" t="str">
        <x:v>АРХИВ Общая</x:v>
      </x:c>
      <x:c r="F1173" t="str">
        <x:v>Екатерина Апушкина</x:v>
      </x:c>
      <x:c r="G1173" t="str">
        <x:v>нет</x:v>
      </x:c>
      <x:c r="H1173" t="str">
        <x:v>нет</x:v>
      </x:c>
    </x:row>
    <x:row r="1174">
      <x:c r="A1174" t="str">
        <x:v>11024</x:v>
      </x:c>
      <x:c r="B1174" t="str">
        <x:v>Заказ интернет-магазина №144</x:v>
      </x:c>
      <x:c r="C1174" t="e">
        <x:f>HYPERLINK("https://belberrycrm.bitrix24.ru/crm/deal/details/11024/","https://belberrycrm.bitrix24.ru/crm/deal/details/11024/")</x:f>
      </x:c>
      <x:c r="D1174" t="str">
        <x:v>Реанимация</x:v>
      </x:c>
      <x:c r="E1174" t="str">
        <x:v>АРХИВ Общая</x:v>
      </x:c>
      <x:c r="F1174" t="str">
        <x:v>Екатерина Апушкина</x:v>
      </x:c>
      <x:c r="G1174" t="str">
        <x:v>нет</x:v>
      </x:c>
      <x:c r="H1174" t="str">
        <x:v>нет</x:v>
      </x:c>
    </x:row>
    <x:row r="1175">
      <x:c r="A1175" t="str">
        <x:v>11028</x:v>
      </x:c>
      <x:c r="B1175" t="str">
        <x:v>thenorthface.ru</x:v>
      </x:c>
      <x:c r="C1175" t="e">
        <x:f>HYPERLINK("https://belberrycrm.bitrix24.ru/crm/deal/details/11028/","https://belberrycrm.bitrix24.ru/crm/deal/details/11028/")</x:f>
      </x:c>
      <x:c r="D1175" t="str">
        <x:v>Реанимация</x:v>
      </x:c>
      <x:c r="E1175" t="str">
        <x:v>База для реанимации</x:v>
      </x:c>
      <x:c r="F1175" t="str">
        <x:v>Админ всея Belberry</x:v>
      </x:c>
      <x:c r="G1175" t="str">
        <x:v>нет</x:v>
      </x:c>
      <x:c r="H1175" t="str">
        <x:v>нет</x:v>
      </x:c>
    </x:row>
    <x:row r="1176">
      <x:c r="A1176" t="str">
        <x:v>11058</x:v>
      </x:c>
      <x:c r="B1176" t="str">
        <x:v>dragotsennost-med.obiz.ru</x:v>
      </x:c>
      <x:c r="C1176" t="e">
        <x:f>HYPERLINK("https://belberrycrm.bitrix24.ru/crm/deal/details/11058/","https://belberrycrm.bitrix24.ru/crm/deal/details/11058/")</x:f>
      </x:c>
      <x:c r="D1176" t="str">
        <x:v>Реанимация</x:v>
      </x:c>
      <x:c r="E1176" t="str">
        <x:v>База для реанимации</x:v>
      </x:c>
      <x:c r="F1176" t="str">
        <x:v>Админ всея Belberry</x:v>
      </x:c>
      <x:c r="G1176" t="str">
        <x:v>да</x:v>
      </x:c>
      <x:c r="H1176" t="str">
        <x:v>нет</x:v>
      </x:c>
    </x:row>
    <x:row r="1177">
      <x:c r="A1177" t="str">
        <x:v>11070</x:v>
      </x:c>
      <x:c r="B1177" t="str">
        <x:v>consalt-expert.ru</x:v>
      </x:c>
      <x:c r="C1177" t="e">
        <x:f>HYPERLINK("https://belberrycrm.bitrix24.ru/crm/deal/details/11070/","https://belberrycrm.bitrix24.ru/crm/deal/details/11070/")</x:f>
      </x:c>
      <x:c r="D1177" t="str">
        <x:v>Реанимация</x:v>
      </x:c>
      <x:c r="E1177" t="str">
        <x:v>База для реанимации</x:v>
      </x:c>
      <x:c r="F1177" t="str">
        <x:v>Админ всея Belberry</x:v>
      </x:c>
      <x:c r="G1177" t="str">
        <x:v>нет</x:v>
      </x:c>
      <x:c r="H1177" t="str">
        <x:v>нет</x:v>
      </x:c>
    </x:row>
    <x:row r="1178">
      <x:c r="A1178" t="str">
        <x:v>11072</x:v>
      </x:c>
      <x:c r="B1178" t="str">
        <x:v>beauty-inn.ru</x:v>
      </x:c>
      <x:c r="C1178" t="e">
        <x:f>HYPERLINK("https://belberrycrm.bitrix24.ru/crm/deal/details/11072/","https://belberrycrm.bitrix24.ru/crm/deal/details/11072/")</x:f>
      </x:c>
      <x:c r="D1178" t="str">
        <x:v>Реанимация</x:v>
      </x:c>
      <x:c r="E1178" t="str">
        <x:v>База для реанимации</x:v>
      </x:c>
      <x:c r="F1178" t="str">
        <x:v>Админ всея Belberry</x:v>
      </x:c>
      <x:c r="G1178" t="str">
        <x:v>нет</x:v>
      </x:c>
      <x:c r="H1178" t="str">
        <x:v>нет</x:v>
      </x:c>
    </x:row>
    <x:row r="1179">
      <x:c r="A1179" t="str">
        <x:v>11076</x:v>
      </x:c>
      <x:c r="B1179" t="str">
        <x:v>apteka-ave.ru</x:v>
      </x:c>
      <x:c r="C1179" t="e">
        <x:f>HYPERLINK("https://belberrycrm.bitrix24.ru/crm/deal/details/11076/","https://belberrycrm.bitrix24.ru/crm/deal/details/11076/")</x:f>
      </x:c>
      <x:c r="D1179" t="str">
        <x:v>Реанимация</x:v>
      </x:c>
      <x:c r="E1179" t="str">
        <x:v>База для реанимации</x:v>
      </x:c>
      <x:c r="F1179" t="str">
        <x:v>Админ всея Belberry</x:v>
      </x:c>
      <x:c r="G1179" t="str">
        <x:v>нет</x:v>
      </x:c>
      <x:c r="H1179" t="str">
        <x:v>нет</x:v>
      </x:c>
    </x:row>
    <x:row r="1180">
      <x:c r="A1180" t="str">
        <x:v>11082</x:v>
      </x:c>
      <x:c r="B1180" t="str">
        <x:v>expert-clinic.com</x:v>
      </x:c>
      <x:c r="C1180" t="e">
        <x:f>HYPERLINK("https://belberrycrm.bitrix24.ru/crm/deal/details/11082/","https://belberrycrm.bitrix24.ru/crm/deal/details/11082/")</x:f>
      </x:c>
      <x:c r="D1180" t="str">
        <x:v>Реанимация</x:v>
      </x:c>
      <x:c r="E1180" t="str">
        <x:v>База для реанимации</x:v>
      </x:c>
      <x:c r="F1180" t="str">
        <x:v>Админ всея Belberry</x:v>
      </x:c>
      <x:c r="G1180" t="str">
        <x:v>нет</x:v>
      </x:c>
      <x:c r="H1180" t="str">
        <x:v>нет</x:v>
      </x:c>
    </x:row>
    <x:row r="1181">
      <x:c r="A1181" t="str">
        <x:v>11100</x:v>
      </x:c>
      <x:c r="B1181" t="str">
        <x:v>adnclinic.ru</x:v>
      </x:c>
      <x:c r="C1181" t="e">
        <x:f>HYPERLINK("https://belberrycrm.bitrix24.ru/crm/deal/details/11100/","https://belberrycrm.bitrix24.ru/crm/deal/details/11100/")</x:f>
      </x:c>
      <x:c r="D1181" t="str">
        <x:v>Реанимация</x:v>
      </x:c>
      <x:c r="E1181" t="str">
        <x:v>База для реанимации</x:v>
      </x:c>
      <x:c r="F1181" t="str">
        <x:v>Админ всея Belberry</x:v>
      </x:c>
      <x:c r="G1181" t="str">
        <x:v>да</x:v>
      </x:c>
      <x:c r="H1181" t="str">
        <x:v>нет</x:v>
      </x:c>
    </x:row>
    <x:row r="1182">
      <x:c r="A1182" t="str">
        <x:v>11112</x:v>
      </x:c>
      <x:c r="B1182" t="str">
        <x:v>akadem-clinic.ru</x:v>
      </x:c>
      <x:c r="C1182" t="e">
        <x:f>HYPERLINK("https://belberrycrm.bitrix24.ru/crm/deal/details/11112/","https://belberrycrm.bitrix24.ru/crm/deal/details/11112/")</x:f>
      </x:c>
      <x:c r="D1182" t="str">
        <x:v>Реанимация</x:v>
      </x:c>
      <x:c r="E1182" t="str">
        <x:v>База для реанимации</x:v>
      </x:c>
      <x:c r="F1182" t="str">
        <x:v>Админ всея Belberry</x:v>
      </x:c>
      <x:c r="G1182" t="str">
        <x:v>нет</x:v>
      </x:c>
      <x:c r="H1182" t="str">
        <x:v>нет</x:v>
      </x:c>
    </x:row>
    <x:row r="1183">
      <x:c r="A1183" t="str">
        <x:v>11118</x:v>
      </x:c>
      <x:c r="B1183" t="str">
        <x:v>salus-polus.com</x:v>
      </x:c>
      <x:c r="C1183" t="e">
        <x:f>HYPERLINK("https://belberrycrm.bitrix24.ru/crm/deal/details/11118/","https://belberrycrm.bitrix24.ru/crm/deal/details/11118/")</x:f>
      </x:c>
      <x:c r="D1183" t="str">
        <x:v>Реанимация</x:v>
      </x:c>
      <x:c r="E1183" t="str">
        <x:v>База для реанимации</x:v>
      </x:c>
      <x:c r="F1183" t="str">
        <x:v>Админ всея Belberry</x:v>
      </x:c>
      <x:c r="G1183" t="str">
        <x:v>нет</x:v>
      </x:c>
      <x:c r="H1183" t="str">
        <x:v>нет</x:v>
      </x:c>
    </x:row>
    <x:row r="1184">
      <x:c r="A1184" t="str">
        <x:v>11122</x:v>
      </x:c>
      <x:c r="B1184" t="str">
        <x:v>medmcx.ru</x:v>
      </x:c>
      <x:c r="C1184" t="e">
        <x:f>HYPERLINK("https://belberrycrm.bitrix24.ru/crm/deal/details/11122/","https://belberrycrm.bitrix24.ru/crm/deal/details/11122/")</x:f>
      </x:c>
      <x:c r="D1184" t="str">
        <x:v>Реанимация</x:v>
      </x:c>
      <x:c r="E1184" t="str">
        <x:v>База для реанимации</x:v>
      </x:c>
      <x:c r="F1184" t="str">
        <x:v>Админ всея Belberry</x:v>
      </x:c>
      <x:c r="G1184" t="str">
        <x:v>да</x:v>
      </x:c>
      <x:c r="H1184" t="str">
        <x:v>нет</x:v>
      </x:c>
    </x:row>
    <x:row r="1185">
      <x:c r="A1185" t="str">
        <x:v>11148</x:v>
      </x:c>
      <x:c r="B1185" t="str">
        <x:v>alerta-clinic.ru</x:v>
      </x:c>
      <x:c r="C1185" t="e">
        <x:f>HYPERLINK("https://belberrycrm.bitrix24.ru/crm/deal/details/11148/","https://belberrycrm.bitrix24.ru/crm/deal/details/11148/")</x:f>
      </x:c>
      <x:c r="D1185" t="str">
        <x:v>Реанимация</x:v>
      </x:c>
      <x:c r="E1185" t="str">
        <x:v>База для реанимации</x:v>
      </x:c>
      <x:c r="F1185" t="str">
        <x:v>Админ всея Belberry</x:v>
      </x:c>
      <x:c r="G1185" t="str">
        <x:v>нет</x:v>
      </x:c>
      <x:c r="H1185" t="str">
        <x:v>нет</x:v>
      </x:c>
    </x:row>
    <x:row r="1186">
      <x:c r="A1186" t="str">
        <x:v>11178</x:v>
      </x:c>
      <x:c r="B1186" t="str">
        <x:v>apelstom.ru</x:v>
      </x:c>
      <x:c r="C1186" t="e">
        <x:f>HYPERLINK("https://belberrycrm.bitrix24.ru/crm/deal/details/11178/","https://belberrycrm.bitrix24.ru/crm/deal/details/11178/")</x:f>
      </x:c>
      <x:c r="D1186" t="str">
        <x:v>Реанимация</x:v>
      </x:c>
      <x:c r="E1186" t="str">
        <x:v>База для реанимации</x:v>
      </x:c>
      <x:c r="F1186" t="str">
        <x:v>Админ всея Belberry</x:v>
      </x:c>
      <x:c r="G1186" t="str">
        <x:v>нет</x:v>
      </x:c>
      <x:c r="H1186" t="str">
        <x:v>нет</x:v>
      </x:c>
    </x:row>
    <x:row r="1187">
      <x:c r="A1187" t="str">
        <x:v>11186</x:v>
      </x:c>
      <x:c r="B1187" t="str">
        <x:v>tadem.ru</x:v>
      </x:c>
      <x:c r="C1187" t="e">
        <x:f>HYPERLINK("https://belberrycrm.bitrix24.ru/crm/deal/details/11186/","https://belberrycrm.bitrix24.ru/crm/deal/details/11186/")</x:f>
      </x:c>
      <x:c r="D1187" t="str">
        <x:v>Реанимация</x:v>
      </x:c>
      <x:c r="E1187" t="str">
        <x:v>База для реанимации</x:v>
      </x:c>
      <x:c r="F1187" t="str">
        <x:v>Админ всея Belberry</x:v>
      </x:c>
      <x:c r="G1187" t="str">
        <x:v>нет</x:v>
      </x:c>
      <x:c r="H1187" t="str">
        <x:v>нет</x:v>
      </x:c>
    </x:row>
    <x:row r="1188">
      <x:c r="A1188" t="str">
        <x:v>11194</x:v>
      </x:c>
      <x:c r="B1188" t="str">
        <x:v>doktorplus.su</x:v>
      </x:c>
      <x:c r="C1188" t="e">
        <x:f>HYPERLINK("https://belberrycrm.bitrix24.ru/crm/deal/details/11194/","https://belberrycrm.bitrix24.ru/crm/deal/details/11194/")</x:f>
      </x:c>
      <x:c r="D1188" t="str">
        <x:v>Реанимация</x:v>
      </x:c>
      <x:c r="E1188" t="str">
        <x:v>База для реанимации</x:v>
      </x:c>
      <x:c r="F1188" t="str">
        <x:v>Админ всея Belberry</x:v>
      </x:c>
      <x:c r="G1188" t="str">
        <x:v>нет</x:v>
      </x:c>
      <x:c r="H1188" t="str">
        <x:v>нет</x:v>
      </x:c>
    </x:row>
    <x:row r="1189">
      <x:c r="A1189" t="str">
        <x:v>11204</x:v>
      </x:c>
      <x:c r="B1189" t="str">
        <x:v>dentawest.ru</x:v>
      </x:c>
      <x:c r="C1189" t="e">
        <x:f>HYPERLINK("https://belberrycrm.bitrix24.ru/crm/deal/details/11204/","https://belberrycrm.bitrix24.ru/crm/deal/details/11204/")</x:f>
      </x:c>
      <x:c r="D1189" t="str">
        <x:v>Реанимация</x:v>
      </x:c>
      <x:c r="E1189" t="str">
        <x:v>База для реанимации</x:v>
      </x:c>
      <x:c r="F1189" t="str">
        <x:v>Админ всея Belberry</x:v>
      </x:c>
      <x:c r="G1189" t="str">
        <x:v>да</x:v>
      </x:c>
      <x:c r="H1189" t="str">
        <x:v>нет</x:v>
      </x:c>
    </x:row>
    <x:row r="1190">
      <x:c r="A1190" t="str">
        <x:v>11216</x:v>
      </x:c>
      <x:c r="B1190" t="str">
        <x:v>diaks-cosmetology.ru</x:v>
      </x:c>
      <x:c r="C1190" t="e">
        <x:f>HYPERLINK("https://belberrycrm.bitrix24.ru/crm/deal/details/11216/","https://belberrycrm.bitrix24.ru/crm/deal/details/11216/")</x:f>
      </x:c>
      <x:c r="D1190" t="str">
        <x:v>Реанимация</x:v>
      </x:c>
      <x:c r="E1190" t="str">
        <x:v>База для реанимации</x:v>
      </x:c>
      <x:c r="F1190" t="str">
        <x:v>Админ всея Belberry</x:v>
      </x:c>
      <x:c r="G1190" t="str">
        <x:v>нет</x:v>
      </x:c>
      <x:c r="H1190" t="str">
        <x:v>нет</x:v>
      </x:c>
    </x:row>
    <x:row r="1191">
      <x:c r="A1191" t="str">
        <x:v>11218</x:v>
      </x:c>
      <x:c r="B1191" t="str">
        <x:v>budetpups.ru</x:v>
      </x:c>
      <x:c r="C1191" t="e">
        <x:f>HYPERLINK("https://belberrycrm.bitrix24.ru/crm/deal/details/11218/","https://belberrycrm.bitrix24.ru/crm/deal/details/11218/")</x:f>
      </x:c>
      <x:c r="D1191" t="str">
        <x:v>Реанимация</x:v>
      </x:c>
      <x:c r="E1191" t="str">
        <x:v>База для реанимации</x:v>
      </x:c>
      <x:c r="F1191" t="str">
        <x:v>Админ всея Belberry</x:v>
      </x:c>
      <x:c r="G1191" t="str">
        <x:v>да</x:v>
      </x:c>
      <x:c r="H1191" t="str">
        <x:v>нет</x:v>
      </x:c>
    </x:row>
    <x:row r="1192">
      <x:c r="A1192" t="str">
        <x:v>11224</x:v>
      </x:c>
      <x:c r="B1192" t="str">
        <x:v>eaclinic.ru</x:v>
      </x:c>
      <x:c r="C1192" t="e">
        <x:f>HYPERLINK("https://belberrycrm.bitrix24.ru/crm/deal/details/11224/","https://belberrycrm.bitrix24.ru/crm/deal/details/11224/")</x:f>
      </x:c>
      <x:c r="D1192" t="str">
        <x:v>Реанимация</x:v>
      </x:c>
      <x:c r="E1192" t="str">
        <x:v>База для реанимации</x:v>
      </x:c>
      <x:c r="F1192" t="str">
        <x:v>Админ всея Belberry</x:v>
      </x:c>
      <x:c r="G1192" t="str">
        <x:v>нет</x:v>
      </x:c>
      <x:c r="H1192" t="str">
        <x:v>нет</x:v>
      </x:c>
    </x:row>
    <x:row r="1193">
      <x:c r="A1193" t="str">
        <x:v>11228</x:v>
      </x:c>
      <x:c r="B1193" t="str">
        <x:v>cnds.ru</x:v>
      </x:c>
      <x:c r="C1193" t="e">
        <x:f>HYPERLINK("https://belberrycrm.bitrix24.ru/crm/deal/details/11228/","https://belberrycrm.bitrix24.ru/crm/deal/details/11228/")</x:f>
      </x:c>
      <x:c r="D1193" t="str">
        <x:v>Реанимация</x:v>
      </x:c>
      <x:c r="E1193" t="str">
        <x:v>База для реанимации</x:v>
      </x:c>
      <x:c r="F1193" t="str">
        <x:v>Админ всея Belberry</x:v>
      </x:c>
      <x:c r="G1193" t="str">
        <x:v>нет</x:v>
      </x:c>
      <x:c r="H1193" t="str">
        <x:v>нет</x:v>
      </x:c>
    </x:row>
    <x:row r="1194">
      <x:c r="A1194" t="str">
        <x:v>11238</x:v>
      </x:c>
      <x:c r="B1194" t="str">
        <x:v>dvrzdrav.ru</x:v>
      </x:c>
      <x:c r="C1194" t="e">
        <x:f>HYPERLINK("https://belberrycrm.bitrix24.ru/crm/deal/details/11238/","https://belberrycrm.bitrix24.ru/crm/deal/details/11238/")</x:f>
      </x:c>
      <x:c r="D1194" t="str">
        <x:v>Реанимация</x:v>
      </x:c>
      <x:c r="E1194" t="str">
        <x:v>База для реанимации</x:v>
      </x:c>
      <x:c r="F1194" t="str">
        <x:v>Админ всея Belberry</x:v>
      </x:c>
      <x:c r="G1194" t="str">
        <x:v>нет</x:v>
      </x:c>
      <x:c r="H1194" t="str">
        <x:v>нет</x:v>
      </x:c>
    </x:row>
    <x:row r="1195">
      <x:c r="A1195" t="str">
        <x:v>11252</x:v>
      </x:c>
      <x:c r="B1195" t="str">
        <x:v>dominident.ru</x:v>
      </x:c>
      <x:c r="C1195" t="e">
        <x:f>HYPERLINK("https://belberrycrm.bitrix24.ru/crm/deal/details/11252/","https://belberrycrm.bitrix24.ru/crm/deal/details/11252/")</x:f>
      </x:c>
      <x:c r="D1195" t="str">
        <x:v>Реанимация</x:v>
      </x:c>
      <x:c r="E1195" t="str">
        <x:v>База для реанимации</x:v>
      </x:c>
      <x:c r="F1195" t="str">
        <x:v>Админ всея Belberry</x:v>
      </x:c>
      <x:c r="G1195" t="str">
        <x:v>нет</x:v>
      </x:c>
      <x:c r="H1195" t="str">
        <x:v>нет</x:v>
      </x:c>
    </x:row>
    <x:row r="1196">
      <x:c r="A1196" t="str">
        <x:v>11258</x:v>
      </x:c>
      <x:c r="B1196" t="str">
        <x:v>cprin.ru</x:v>
      </x:c>
      <x:c r="C1196" t="e">
        <x:f>HYPERLINK("https://belberrycrm.bitrix24.ru/crm/deal/details/11258/","https://belberrycrm.bitrix24.ru/crm/deal/details/11258/")</x:f>
      </x:c>
      <x:c r="D1196" t="str">
        <x:v>Реанимация</x:v>
      </x:c>
      <x:c r="E1196" t="str">
        <x:v>База для реанимации</x:v>
      </x:c>
      <x:c r="F1196" t="str">
        <x:v>Админ всея Belberry</x:v>
      </x:c>
      <x:c r="G1196" t="str">
        <x:v>да</x:v>
      </x:c>
      <x:c r="H1196" t="str">
        <x:v>нет</x:v>
      </x:c>
    </x:row>
    <x:row r="1197">
      <x:c r="A1197" t="str">
        <x:v>11260</x:v>
      </x:c>
      <x:c r="B1197" t="str">
        <x:v>alliance-f.ru</x:v>
      </x:c>
      <x:c r="C1197" t="e">
        <x:f>HYPERLINK("https://belberrycrm.bitrix24.ru/crm/deal/details/11260/","https://belberrycrm.bitrix24.ru/crm/deal/details/11260/")</x:f>
      </x:c>
      <x:c r="D1197" t="str">
        <x:v>Реанимация</x:v>
      </x:c>
      <x:c r="E1197" t="str">
        <x:v>База для реанимации</x:v>
      </x:c>
      <x:c r="F1197" t="str">
        <x:v>Админ всея Belberry</x:v>
      </x:c>
      <x:c r="G1197" t="str">
        <x:v>нет</x:v>
      </x:c>
      <x:c r="H1197" t="str">
        <x:v>нет</x:v>
      </x:c>
    </x:row>
    <x:row r="1198">
      <x:c r="A1198" t="str">
        <x:v>11270</x:v>
      </x:c>
      <x:c r="B1198" t="str">
        <x:v>dtstudio.ru</x:v>
      </x:c>
      <x:c r="C1198" t="e">
        <x:f>HYPERLINK("https://belberrycrm.bitrix24.ru/crm/deal/details/11270/","https://belberrycrm.bitrix24.ru/crm/deal/details/11270/")</x:f>
      </x:c>
      <x:c r="D1198" t="str">
        <x:v>Реанимация</x:v>
      </x:c>
      <x:c r="E1198" t="str">
        <x:v>База для реанимации</x:v>
      </x:c>
      <x:c r="F1198" t="str">
        <x:v>Админ всея Belberry</x:v>
      </x:c>
      <x:c r="G1198" t="str">
        <x:v>нет</x:v>
      </x:c>
      <x:c r="H1198" t="str">
        <x:v>нет</x:v>
      </x:c>
    </x:row>
    <x:row r="1199">
      <x:c r="A1199" t="str">
        <x:v>11290</x:v>
      </x:c>
      <x:c r="B1199" t="str">
        <x:v>vitbiomedplus.ru</x:v>
      </x:c>
      <x:c r="C1199" t="e">
        <x:f>HYPERLINK("https://belberrycrm.bitrix24.ru/crm/deal/details/11290/","https://belberrycrm.bitrix24.ru/crm/deal/details/11290/")</x:f>
      </x:c>
      <x:c r="D1199" t="str">
        <x:v>Реанимация</x:v>
      </x:c>
      <x:c r="E1199" t="str">
        <x:v>База для реанимации</x:v>
      </x:c>
      <x:c r="F1199" t="str">
        <x:v>Админ всея Belberry</x:v>
      </x:c>
      <x:c r="G1199" t="str">
        <x:v>нет</x:v>
      </x:c>
      <x:c r="H1199" t="str">
        <x:v>нет</x:v>
      </x:c>
    </x:row>
    <x:row r="1200">
      <x:c r="A1200" t="str">
        <x:v>11298</x:v>
      </x:c>
      <x:c r="B1200" t="str">
        <x:v>medprime.info</x:v>
      </x:c>
      <x:c r="C1200" t="e">
        <x:f>HYPERLINK("https://belberrycrm.bitrix24.ru/crm/deal/details/11298/","https://belberrycrm.bitrix24.ru/crm/deal/details/11298/")</x:f>
      </x:c>
      <x:c r="D1200" t="str">
        <x:v>Реанимация</x:v>
      </x:c>
      <x:c r="E1200" t="str">
        <x:v>База для реанимации</x:v>
      </x:c>
      <x:c r="F1200" t="str">
        <x:v>Админ всея Belberry</x:v>
      </x:c>
      <x:c r="G1200" t="str">
        <x:v>нет</x:v>
      </x:c>
      <x:c r="H1200" t="str">
        <x:v>нет</x:v>
      </x:c>
    </x:row>
    <x:row r="1201">
      <x:c r="A1201" t="str">
        <x:v>11300</x:v>
      </x:c>
      <x:c r="B1201" t="str">
        <x:v>zubnoidoctor.ru</x:v>
      </x:c>
      <x:c r="C1201" t="e">
        <x:f>HYPERLINK("https://belberrycrm.bitrix24.ru/crm/deal/details/11300/","https://belberrycrm.bitrix24.ru/crm/deal/details/11300/")</x:f>
      </x:c>
      <x:c r="D1201" t="str">
        <x:v>Реанимация</x:v>
      </x:c>
      <x:c r="E1201" t="str">
        <x:v>База для реанимации</x:v>
      </x:c>
      <x:c r="F1201" t="str">
        <x:v>Админ всея Belberry</x:v>
      </x:c>
      <x:c r="G1201" t="str">
        <x:v>да</x:v>
      </x:c>
      <x:c r="H1201" t="str">
        <x:v>нет</x:v>
      </x:c>
    </x:row>
    <x:row r="1202">
      <x:c r="A1202" t="str">
        <x:v>11302</x:v>
      </x:c>
      <x:c r="B1202" t="str">
        <x:v>Заявка с сайта от Марина Валерьевна  79289642281</x:v>
      </x:c>
      <x:c r="C1202" t="e">
        <x:f>HYPERLINK("https://belberrycrm.bitrix24.ru/crm/deal/details/11302/","https://belberrycrm.bitrix24.ru/crm/deal/details/11302/")</x:f>
      </x:c>
      <x:c r="D1202" t="str">
        <x:v>Реанимация</x:v>
      </x:c>
      <x:c r="E1202" t="str">
        <x:v>База для реанимации</x:v>
      </x:c>
      <x:c r="F1202" t="str">
        <x:v>Админ всея Belberry</x:v>
      </x:c>
      <x:c r="G1202" t="str">
        <x:v>нет</x:v>
      </x:c>
      <x:c r="H1202" t="str">
        <x:v>нет</x:v>
      </x:c>
    </x:row>
    <x:row r="1203">
      <x:c r="A1203" t="str">
        <x:v>11304</x:v>
      </x:c>
      <x:c r="B1203" t="str">
        <x:v>isotope-cmr.com</x:v>
      </x:c>
      <x:c r="C1203" t="e">
        <x:f>HYPERLINK("https://belberrycrm.bitrix24.ru/crm/deal/details/11304/","https://belberrycrm.bitrix24.ru/crm/deal/details/11304/")</x:f>
      </x:c>
      <x:c r="D1203" t="str">
        <x:v>Реанимация</x:v>
      </x:c>
      <x:c r="E1203" t="str">
        <x:v>База для реанимации</x:v>
      </x:c>
      <x:c r="F1203" t="str">
        <x:v>Админ всея Belberry</x:v>
      </x:c>
      <x:c r="G1203" t="str">
        <x:v>да</x:v>
      </x:c>
      <x:c r="H1203" t="str">
        <x:v>нет</x:v>
      </x:c>
    </x:row>
    <x:row r="1204">
      <x:c r="A1204" t="str">
        <x:v>11316</x:v>
      </x:c>
      <x:c r="B1204" t="str">
        <x:v>Максим (Стоматолог)</x:v>
      </x:c>
      <x:c r="C1204" t="e">
        <x:f>HYPERLINK("https://belberrycrm.bitrix24.ru/crm/deal/details/11316/","https://belberrycrm.bitrix24.ru/crm/deal/details/11316/")</x:f>
      </x:c>
      <x:c r="D1204" t="str">
        <x:v>Реанимация</x:v>
      </x:c>
      <x:c r="E1204" t="str">
        <x:v>База для реанимации</x:v>
      </x:c>
      <x:c r="F1204" t="str">
        <x:v>Админ всея Belberry</x:v>
      </x:c>
      <x:c r="G1204" t="str">
        <x:v>нет</x:v>
      </x:c>
      <x:c r="H1204" t="str">
        <x:v>нет</x:v>
      </x:c>
    </x:row>
    <x:row r="1205">
      <x:c r="A1205" t="str">
        <x:v>11320</x:v>
      </x:c>
      <x:c r="B1205" t="str">
        <x:v>сайт врача</x:v>
      </x:c>
      <x:c r="C1205" t="e">
        <x:f>HYPERLINK("https://belberrycrm.bitrix24.ru/crm/deal/details/11320/","https://belberrycrm.bitrix24.ru/crm/deal/details/11320/")</x:f>
      </x:c>
      <x:c r="D1205" t="str">
        <x:v>Реанимация</x:v>
      </x:c>
      <x:c r="E1205" t="str">
        <x:v>База для реанимации</x:v>
      </x:c>
      <x:c r="F1205" t="str">
        <x:v>Админ всея Belberry</x:v>
      </x:c>
      <x:c r="G1205" t="str">
        <x:v>нет</x:v>
      </x:c>
      <x:c r="H1205" t="str">
        <x:v>нет</x:v>
      </x:c>
    </x:row>
    <x:row r="1206">
      <x:c r="A1206" t="str">
        <x:v>11322</x:v>
      </x:c>
      <x:c r="B1206" t="str">
        <x:v>https://t.me/sretenskaya_top</x:v>
      </x:c>
      <x:c r="C1206" t="e">
        <x:f>HYPERLINK("https://belberrycrm.bitrix24.ru/crm/deal/details/11322/","https://belberrycrm.bitrix24.ru/crm/deal/details/11322/")</x:f>
      </x:c>
      <x:c r="D1206" t="str">
        <x:v>Реанимация</x:v>
      </x:c>
      <x:c r="E1206" t="str">
        <x:v>База для реанимации</x:v>
      </x:c>
      <x:c r="F1206" t="str">
        <x:v>Админ всея Belberry</x:v>
      </x:c>
      <x:c r="G1206" t="str">
        <x:v>нет</x:v>
      </x:c>
      <x:c r="H1206" t="str">
        <x:v>нет</x:v>
      </x:c>
    </x:row>
    <x:row r="1207">
      <x:c r="A1207" t="str">
        <x:v>11332</x:v>
      </x:c>
      <x:c r="B1207" t="str">
        <x:v>fibroskom-fr.ru</x:v>
      </x:c>
      <x:c r="C1207" t="e">
        <x:f>HYPERLINK("https://belberrycrm.bitrix24.ru/crm/deal/details/11332/","https://belberrycrm.bitrix24.ru/crm/deal/details/11332/")</x:f>
      </x:c>
      <x:c r="D1207" t="str">
        <x:v>Реанимация</x:v>
      </x:c>
      <x:c r="E1207" t="str">
        <x:v>База для реанимации</x:v>
      </x:c>
      <x:c r="F1207" t="str">
        <x:v>Админ всея Belberry</x:v>
      </x:c>
      <x:c r="G1207" t="str">
        <x:v>да</x:v>
      </x:c>
      <x:c r="H1207" t="str">
        <x:v>нет</x:v>
      </x:c>
    </x:row>
    <x:row r="1208">
      <x:c r="A1208" t="str">
        <x:v>11334</x:v>
      </x:c>
      <x:c r="B1208" t="str">
        <x:v>Заявка с сайта от Вадим 79522600056</x:v>
      </x:c>
      <x:c r="C1208" t="e">
        <x:f>HYPERLINK("https://belberrycrm.bitrix24.ru/crm/deal/details/11334/","https://belberrycrm.bitrix24.ru/crm/deal/details/11334/")</x:f>
      </x:c>
      <x:c r="D1208" t="str">
        <x:v>Реанимация</x:v>
      </x:c>
      <x:c r="E1208" t="str">
        <x:v>База для реанимации</x:v>
      </x:c>
      <x:c r="F1208" t="str">
        <x:v>Админ всея Belberry</x:v>
      </x:c>
      <x:c r="G1208" t="str">
        <x:v>нет</x:v>
      </x:c>
      <x:c r="H1208" t="str">
        <x:v>нет</x:v>
      </x:c>
    </x:row>
    <x:row r="1209">
      <x:c r="A1209" t="str">
        <x:v>11342</x:v>
      </x:c>
      <x:c r="B1209" t="str">
        <x:v>Светлана Диетолог</x:v>
      </x:c>
      <x:c r="C1209" t="e">
        <x:f>HYPERLINK("https://belberrycrm.bitrix24.ru/crm/deal/details/11342/","https://belberrycrm.bitrix24.ru/crm/deal/details/11342/")</x:f>
      </x:c>
      <x:c r="D1209" t="str">
        <x:v>Реанимация</x:v>
      </x:c>
      <x:c r="E1209" t="str">
        <x:v>База для реанимации</x:v>
      </x:c>
      <x:c r="F1209" t="str">
        <x:v>Админ всея Belberry</x:v>
      </x:c>
      <x:c r="G1209" t="str">
        <x:v>да</x:v>
      </x:c>
      <x:c r="H1209" t="str">
        <x:v>нет</x:v>
      </x:c>
    </x:row>
    <x:row r="1210">
      <x:c r="A1210" t="str">
        <x:v>11382</x:v>
      </x:c>
      <x:c r="B1210" t="str">
        <x:v>А. К. А. Smile</x:v>
      </x:c>
      <x:c r="C1210" t="e">
        <x:f>HYPERLINK("https://belberrycrm.bitrix24.ru/crm/deal/details/11382/","https://belberrycrm.bitrix24.ru/crm/deal/details/11382/")</x:f>
      </x:c>
      <x:c r="D1210" t="str">
        <x:v>Реанимация</x:v>
      </x:c>
      <x:c r="E1210" t="str">
        <x:v>База для реанимации</x:v>
      </x:c>
      <x:c r="F1210" t="str">
        <x:v>Админ всея Belberry</x:v>
      </x:c>
      <x:c r="G1210" t="str">
        <x:v>нет</x:v>
      </x:c>
      <x:c r="H1210" t="str">
        <x:v>нет</x:v>
      </x:c>
    </x:row>
    <x:row r="1211">
      <x:c r="A1211" t="str">
        <x:v>11438</x:v>
      </x:c>
      <x:c r="B1211" t="str">
        <x:v>Владимир клиника Время красоты</x:v>
      </x:c>
      <x:c r="C1211" t="e">
        <x:f>HYPERLINK("https://belberrycrm.bitrix24.ru/crm/deal/details/11438/","https://belberrycrm.bitrix24.ru/crm/deal/details/11438/")</x:f>
      </x:c>
      <x:c r="D1211" t="str">
        <x:v>Реанимация</x:v>
      </x:c>
      <x:c r="E1211" t="str">
        <x:v>База для реанимации</x:v>
      </x:c>
      <x:c r="F1211" t="str">
        <x:v>Админ всея Belberry</x:v>
      </x:c>
      <x:c r="G1211" t="str">
        <x:v>нет</x:v>
      </x:c>
      <x:c r="H1211" t="str">
        <x:v>нет</x:v>
      </x:c>
    </x:row>
    <x:row r="1212">
      <x:c r="A1212" t="str">
        <x:v>11462</x:v>
      </x:c>
      <x:c r="B1212" t="str">
        <x:v>g-e.ru</x:v>
      </x:c>
      <x:c r="C1212" t="e">
        <x:f>HYPERLINK("https://belberrycrm.bitrix24.ru/crm/deal/details/11462/","https://belberrycrm.bitrix24.ru/crm/deal/details/11462/")</x:f>
      </x:c>
      <x:c r="D1212" t="str">
        <x:v>Реанимация</x:v>
      </x:c>
      <x:c r="E1212" t="str">
        <x:v>База для реанимации</x:v>
      </x:c>
      <x:c r="F1212" t="str">
        <x:v>Админ всея Belberry</x:v>
      </x:c>
      <x:c r="G1212" t="str">
        <x:v>нет</x:v>
      </x:c>
      <x:c r="H1212" t="str">
        <x:v>нет</x:v>
      </x:c>
    </x:row>
    <x:row r="1213">
      <x:c r="A1213" t="str">
        <x:v>11476</x:v>
      </x:c>
      <x:c r="B1213" t="str">
        <x:v>gritsenko.ru</x:v>
      </x:c>
      <x:c r="C1213" t="e">
        <x:f>HYPERLINK("https://belberrycrm.bitrix24.ru/crm/deal/details/11476/","https://belberrycrm.bitrix24.ru/crm/deal/details/11476/")</x:f>
      </x:c>
      <x:c r="D1213" t="str">
        <x:v>Реанимация</x:v>
      </x:c>
      <x:c r="E1213" t="str">
        <x:v>База для реанимации</x:v>
      </x:c>
      <x:c r="F1213" t="str">
        <x:v>Админ всея Belberry</x:v>
      </x:c>
      <x:c r="G1213" t="str">
        <x:v>да</x:v>
      </x:c>
      <x:c r="H1213" t="str">
        <x:v>нет</x:v>
      </x:c>
    </x:row>
    <x:row r="1214">
      <x:c r="A1214" t="str">
        <x:v>11516</x:v>
      </x:c>
      <x:c r="B1214" t="str">
        <x:v>murasclinic.ru</x:v>
      </x:c>
      <x:c r="C1214" t="e">
        <x:f>HYPERLINK("https://belberrycrm.bitrix24.ru/crm/deal/details/11516/","https://belberrycrm.bitrix24.ru/crm/deal/details/11516/")</x:f>
      </x:c>
      <x:c r="D1214" t="str">
        <x:v>Реанимация</x:v>
      </x:c>
      <x:c r="E1214" t="str">
        <x:v>База для реанимации</x:v>
      </x:c>
      <x:c r="F1214" t="str">
        <x:v>Админ всея Belberry</x:v>
      </x:c>
      <x:c r="G1214" t="str">
        <x:v>нет</x:v>
      </x:c>
      <x:c r="H1214" t="str">
        <x:v>нет</x:v>
      </x:c>
    </x:row>
    <x:row r="1215">
      <x:c r="A1215" t="str">
        <x:v>11518</x:v>
      </x:c>
      <x:c r="B1215" t="str">
        <x:v>clinichelp.ru</x:v>
      </x:c>
      <x:c r="C1215" t="e">
        <x:f>HYPERLINK("https://belberrycrm.bitrix24.ru/crm/deal/details/11518/","https://belberrycrm.bitrix24.ru/crm/deal/details/11518/")</x:f>
      </x:c>
      <x:c r="D1215" t="str">
        <x:v>Реанимация</x:v>
      </x:c>
      <x:c r="E1215" t="str">
        <x:v>База для реанимации</x:v>
      </x:c>
      <x:c r="F1215" t="str">
        <x:v>Админ всея Belberry</x:v>
      </x:c>
      <x:c r="G1215" t="str">
        <x:v>нет</x:v>
      </x:c>
      <x:c r="H1215" t="str">
        <x:v>нет</x:v>
      </x:c>
    </x:row>
    <x:row r="1216">
      <x:c r="A1216" t="str">
        <x:v>11524</x:v>
      </x:c>
      <x:c r="B1216" t="str">
        <x:v>zdorov500.ru</x:v>
      </x:c>
      <x:c r="C1216" t="e">
        <x:f>HYPERLINK("https://belberrycrm.bitrix24.ru/crm/deal/details/11524/","https://belberrycrm.bitrix24.ru/crm/deal/details/11524/")</x:f>
      </x:c>
      <x:c r="D1216" t="str">
        <x:v>Реанимация</x:v>
      </x:c>
      <x:c r="E1216" t="str">
        <x:v>База для реанимации</x:v>
      </x:c>
      <x:c r="F1216" t="str">
        <x:v>Админ всея Belberry</x:v>
      </x:c>
      <x:c r="G1216" t="str">
        <x:v>нет</x:v>
      </x:c>
      <x:c r="H1216" t="str">
        <x:v>нет</x:v>
      </x:c>
    </x:row>
    <x:row r="1217">
      <x:c r="A1217" t="str">
        <x:v>11526</x:v>
      </x:c>
      <x:c r="B1217" t="str">
        <x:v>yakovlev-clinic.ru</x:v>
      </x:c>
      <x:c r="C1217" t="e">
        <x:f>HYPERLINK("https://belberrycrm.bitrix24.ru/crm/deal/details/11526/","https://belberrycrm.bitrix24.ru/crm/deal/details/11526/")</x:f>
      </x:c>
      <x:c r="D1217" t="str">
        <x:v>Реанимация</x:v>
      </x:c>
      <x:c r="E1217" t="str">
        <x:v>База для реанимации</x:v>
      </x:c>
      <x:c r="F1217" t="str">
        <x:v>Админ всея Belberry</x:v>
      </x:c>
      <x:c r="G1217" t="str">
        <x:v>нет</x:v>
      </x:c>
      <x:c r="H1217" t="str">
        <x:v>нет</x:v>
      </x:c>
    </x:row>
    <x:row r="1218">
      <x:c r="A1218" t="str">
        <x:v>11528</x:v>
      </x:c>
      <x:c r="B1218" t="str">
        <x:v>osteohondrozu.net</x:v>
      </x:c>
      <x:c r="C1218" t="e">
        <x:f>HYPERLINK("https://belberrycrm.bitrix24.ru/crm/deal/details/11528/","https://belberrycrm.bitrix24.ru/crm/deal/details/11528/")</x:f>
      </x:c>
      <x:c r="D1218" t="str">
        <x:v>Реанимация</x:v>
      </x:c>
      <x:c r="E1218" t="str">
        <x:v>База для реанимации</x:v>
      </x:c>
      <x:c r="F1218" t="str">
        <x:v>Админ всея Belberry</x:v>
      </x:c>
      <x:c r="G1218" t="str">
        <x:v>нет</x:v>
      </x:c>
      <x:c r="H1218" t="str">
        <x:v>нет</x:v>
      </x:c>
    </x:row>
    <x:row r="1219">
      <x:c r="A1219" t="str">
        <x:v>11532</x:v>
      </x:c>
      <x:c r="B1219" t="str">
        <x:v>omc-2000.ru</x:v>
      </x:c>
      <x:c r="C1219" t="e">
        <x:f>HYPERLINK("https://belberrycrm.bitrix24.ru/crm/deal/details/11532/","https://belberrycrm.bitrix24.ru/crm/deal/details/11532/")</x:f>
      </x:c>
      <x:c r="D1219" t="str">
        <x:v>Реанимация</x:v>
      </x:c>
      <x:c r="E1219" t="str">
        <x:v>База для реанимации</x:v>
      </x:c>
      <x:c r="F1219" t="str">
        <x:v>Админ всея Belberry</x:v>
      </x:c>
      <x:c r="G1219" t="str">
        <x:v>да</x:v>
      </x:c>
      <x:c r="H1219" t="str">
        <x:v>нет</x:v>
      </x:c>
    </x:row>
    <x:row r="1220">
      <x:c r="A1220" t="str">
        <x:v>11536</x:v>
      </x:c>
      <x:c r="B1220" t="str">
        <x:v>zybuk.ru</x:v>
      </x:c>
      <x:c r="C1220" t="e">
        <x:f>HYPERLINK("https://belberrycrm.bitrix24.ru/crm/deal/details/11536/","https://belberrycrm.bitrix24.ru/crm/deal/details/11536/")</x:f>
      </x:c>
      <x:c r="D1220" t="str">
        <x:v>Реанимация</x:v>
      </x:c>
      <x:c r="E1220" t="str">
        <x:v>База для реанимации</x:v>
      </x:c>
      <x:c r="F1220" t="str">
        <x:v>Админ всея Belberry</x:v>
      </x:c>
      <x:c r="G1220" t="str">
        <x:v>да</x:v>
      </x:c>
      <x:c r="H1220" t="str">
        <x:v>нет</x:v>
      </x:c>
    </x:row>
    <x:row r="1221">
      <x:c r="A1221" t="str">
        <x:v>11546</x:v>
      </x:c>
      <x:c r="B1221" t="str">
        <x:v>golianovodentomed.ru</x:v>
      </x:c>
      <x:c r="C1221" t="e">
        <x:f>HYPERLINK("https://belberrycrm.bitrix24.ru/crm/deal/details/11546/","https://belberrycrm.bitrix24.ru/crm/deal/details/11546/")</x:f>
      </x:c>
      <x:c r="D1221" t="str">
        <x:v>Реанимация</x:v>
      </x:c>
      <x:c r="E1221" t="str">
        <x:v>База для реанимации</x:v>
      </x:c>
      <x:c r="F1221" t="str">
        <x:v>Админ всея Belberry</x:v>
      </x:c>
      <x:c r="G1221" t="str">
        <x:v>нет</x:v>
      </x:c>
      <x:c r="H1221" t="str">
        <x:v>нет</x:v>
      </x:c>
    </x:row>
    <x:row r="1222">
      <x:c r="A1222" t="str">
        <x:v>11556</x:v>
      </x:c>
      <x:c r="B1222" t="str">
        <x:v>sdkn.ru</x:v>
      </x:c>
      <x:c r="C1222" t="e">
        <x:f>HYPERLINK("https://belberrycrm.bitrix24.ru/crm/deal/details/11556/","https://belberrycrm.bitrix24.ru/crm/deal/details/11556/")</x:f>
      </x:c>
      <x:c r="D1222" t="str">
        <x:v>Реанимация</x:v>
      </x:c>
      <x:c r="E1222" t="str">
        <x:v>База для реанимации</x:v>
      </x:c>
      <x:c r="F1222" t="str">
        <x:v>Админ всея Belberry</x:v>
      </x:c>
      <x:c r="G1222" t="str">
        <x:v>да</x:v>
      </x:c>
      <x:c r="H1222" t="str">
        <x:v>нет</x:v>
      </x:c>
    </x:row>
    <x:row r="1223">
      <x:c r="A1223" t="str">
        <x:v>11560</x:v>
      </x:c>
      <x:c r="B1223" t="str">
        <x:v>petrovka20-med.ru</x:v>
      </x:c>
      <x:c r="C1223" t="e">
        <x:f>HYPERLINK("https://belberrycrm.bitrix24.ru/crm/deal/details/11560/","https://belberrycrm.bitrix24.ru/crm/deal/details/11560/")</x:f>
      </x:c>
      <x:c r="D1223" t="str">
        <x:v>Реанимация</x:v>
      </x:c>
      <x:c r="E1223" t="str">
        <x:v>База для реанимации</x:v>
      </x:c>
      <x:c r="F1223" t="str">
        <x:v>Админ всея Belberry</x:v>
      </x:c>
      <x:c r="G1223" t="str">
        <x:v>нет</x:v>
      </x:c>
      <x:c r="H1223" t="str">
        <x:v>нет</x:v>
      </x:c>
    </x:row>
    <x:row r="1224">
      <x:c r="A1224" t="str">
        <x:v>11562</x:v>
      </x:c>
      <x:c r="B1224" t="str">
        <x:v>revita-clinic.ru</x:v>
      </x:c>
      <x:c r="C1224" t="e">
        <x:f>HYPERLINK("https://belberrycrm.bitrix24.ru/crm/deal/details/11562/","https://belberrycrm.bitrix24.ru/crm/deal/details/11562/")</x:f>
      </x:c>
      <x:c r="D1224" t="str">
        <x:v>Реанимация</x:v>
      </x:c>
      <x:c r="E1224" t="str">
        <x:v>База для реанимации</x:v>
      </x:c>
      <x:c r="F1224" t="str">
        <x:v>Админ всея Belberry</x:v>
      </x:c>
      <x:c r="G1224" t="str">
        <x:v>нет</x:v>
      </x:c>
      <x:c r="H1224" t="str">
        <x:v>нет</x:v>
      </x:c>
    </x:row>
    <x:row r="1225">
      <x:c r="A1225" t="str">
        <x:v>11566</x:v>
      </x:c>
      <x:c r="B1225" t="str">
        <x:v>nrmed.ru</x:v>
      </x:c>
      <x:c r="C1225" t="e">
        <x:f>HYPERLINK("https://belberrycrm.bitrix24.ru/crm/deal/details/11566/","https://belberrycrm.bitrix24.ru/crm/deal/details/11566/")</x:f>
      </x:c>
      <x:c r="D1225" t="str">
        <x:v>Реанимация</x:v>
      </x:c>
      <x:c r="E1225" t="str">
        <x:v>База для реанимации</x:v>
      </x:c>
      <x:c r="F1225" t="str">
        <x:v>Админ всея Belberry</x:v>
      </x:c>
      <x:c r="G1225" t="str">
        <x:v>нет</x:v>
      </x:c>
      <x:c r="H1225" t="str">
        <x:v>нет</x:v>
      </x:c>
    </x:row>
    <x:row r="1226">
      <x:c r="A1226" t="str">
        <x:v>11572</x:v>
      </x:c>
      <x:c r="B1226" t="str">
        <x:v>sdoctor.ru</x:v>
      </x:c>
      <x:c r="C1226" t="e">
        <x:f>HYPERLINK("https://belberrycrm.bitrix24.ru/crm/deal/details/11572/","https://belberrycrm.bitrix24.ru/crm/deal/details/11572/")</x:f>
      </x:c>
      <x:c r="D1226" t="str">
        <x:v>Реанимация</x:v>
      </x:c>
      <x:c r="E1226" t="str">
        <x:v>База для реанимации</x:v>
      </x:c>
      <x:c r="F1226" t="str">
        <x:v>Админ всея Belberry</x:v>
      </x:c>
      <x:c r="G1226" t="str">
        <x:v>нет</x:v>
      </x:c>
      <x:c r="H1226" t="str">
        <x:v>нет</x:v>
      </x:c>
    </x:row>
    <x:row r="1227">
      <x:c r="A1227" t="str">
        <x:v>11580</x:v>
      </x:c>
      <x:c r="B1227" t="str">
        <x:v>orangestom.ru</x:v>
      </x:c>
      <x:c r="C1227" t="e">
        <x:f>HYPERLINK("https://belberrycrm.bitrix24.ru/crm/deal/details/11580/","https://belberrycrm.bitrix24.ru/crm/deal/details/11580/")</x:f>
      </x:c>
      <x:c r="D1227" t="str">
        <x:v>Реанимация</x:v>
      </x:c>
      <x:c r="E1227" t="str">
        <x:v>База для реанимации</x:v>
      </x:c>
      <x:c r="F1227" t="str">
        <x:v>Админ всея Belberry</x:v>
      </x:c>
      <x:c r="G1227" t="str">
        <x:v>нет</x:v>
      </x:c>
      <x:c r="H1227" t="str">
        <x:v>нет</x:v>
      </x:c>
    </x:row>
    <x:row r="1228">
      <x:c r="A1228" t="str">
        <x:v>11586</x:v>
      </x:c>
      <x:c r="B1228" t="str">
        <x:v>o-baranova.ru</x:v>
      </x:c>
      <x:c r="C1228" t="e">
        <x:f>HYPERLINK("https://belberrycrm.bitrix24.ru/crm/deal/details/11586/","https://belberrycrm.bitrix24.ru/crm/deal/details/11586/")</x:f>
      </x:c>
      <x:c r="D1228" t="str">
        <x:v>Реанимация</x:v>
      </x:c>
      <x:c r="E1228" t="str">
        <x:v>База для реанимации</x:v>
      </x:c>
      <x:c r="F1228" t="str">
        <x:v>Админ всея Belberry</x:v>
      </x:c>
      <x:c r="G1228" t="str">
        <x:v>нет</x:v>
      </x:c>
      <x:c r="H1228" t="str">
        <x:v>нет</x:v>
      </x:c>
    </x:row>
    <x:row r="1229">
      <x:c r="A1229" t="str">
        <x:v>11596</x:v>
      </x:c>
      <x:c r="B1229" t="str">
        <x:v>zub.ru</x:v>
      </x:c>
      <x:c r="C1229" t="e">
        <x:f>HYPERLINK("https://belberrycrm.bitrix24.ru/crm/deal/details/11596/","https://belberrycrm.bitrix24.ru/crm/deal/details/11596/")</x:f>
      </x:c>
      <x:c r="D1229" t="str">
        <x:v>Реанимация</x:v>
      </x:c>
      <x:c r="E1229" t="str">
        <x:v>База для реанимации</x:v>
      </x:c>
      <x:c r="F1229" t="str">
        <x:v>Админ всея Belberry</x:v>
      </x:c>
      <x:c r="G1229" t="str">
        <x:v>нет</x:v>
      </x:c>
      <x:c r="H1229" t="str">
        <x:v>нет</x:v>
      </x:c>
    </x:row>
    <x:row r="1230">
      <x:c r="A1230" t="str">
        <x:v>11622</x:v>
      </x:c>
      <x:c r="B1230" t="str">
        <x:v>r-life.org</x:v>
      </x:c>
      <x:c r="C1230" t="e">
        <x:f>HYPERLINK("https://belberrycrm.bitrix24.ru/crm/deal/details/11622/","https://belberrycrm.bitrix24.ru/crm/deal/details/11622/")</x:f>
      </x:c>
      <x:c r="D1230" t="str">
        <x:v>Реанимация</x:v>
      </x:c>
      <x:c r="E1230" t="str">
        <x:v>База для реанимации</x:v>
      </x:c>
      <x:c r="F1230" t="str">
        <x:v>Админ всея Belberry</x:v>
      </x:c>
      <x:c r="G1230" t="str">
        <x:v>нет</x:v>
      </x:c>
      <x:c r="H1230" t="str">
        <x:v>нет</x:v>
      </x:c>
    </x:row>
    <x:row r="1231">
      <x:c r="A1231" t="str">
        <x:v>11630</x:v>
      </x:c>
      <x:c r="B1231" t="str">
        <x:v>similium.ru</x:v>
      </x:c>
      <x:c r="C1231" t="e">
        <x:f>HYPERLINK("https://belberrycrm.bitrix24.ru/crm/deal/details/11630/","https://belberrycrm.bitrix24.ru/crm/deal/details/11630/")</x:f>
      </x:c>
      <x:c r="D1231" t="str">
        <x:v>Реанимация</x:v>
      </x:c>
      <x:c r="E1231" t="str">
        <x:v>База для реанимации</x:v>
      </x:c>
      <x:c r="F1231" t="str">
        <x:v>Админ всея Belberry</x:v>
      </x:c>
      <x:c r="G1231" t="str">
        <x:v>нет</x:v>
      </x:c>
      <x:c r="H1231" t="str">
        <x:v>нет</x:v>
      </x:c>
    </x:row>
    <x:row r="1232">
      <x:c r="A1232" t="str">
        <x:v>11636</x:v>
      </x:c>
      <x:c r="B1232" t="str">
        <x:v>eurostom.su</x:v>
      </x:c>
      <x:c r="C1232" t="e">
        <x:f>HYPERLINK("https://belberrycrm.bitrix24.ru/crm/deal/details/11636/","https://belberrycrm.bitrix24.ru/crm/deal/details/11636/")</x:f>
      </x:c>
      <x:c r="D1232" t="str">
        <x:v>Реанимация</x:v>
      </x:c>
      <x:c r="E1232" t="str">
        <x:v>База для реанимации</x:v>
      </x:c>
      <x:c r="F1232" t="str">
        <x:v>Админ всея Belberry</x:v>
      </x:c>
      <x:c r="G1232" t="str">
        <x:v>да</x:v>
      </x:c>
      <x:c r="H1232" t="str">
        <x:v>нет</x:v>
      </x:c>
    </x:row>
    <x:row r="1233">
      <x:c r="A1233" t="str">
        <x:v>11638</x:v>
      </x:c>
      <x:c r="B1233" t="str">
        <x:v>olimpdent.ru</x:v>
      </x:c>
      <x:c r="C1233" t="e">
        <x:f>HYPERLINK("https://belberrycrm.bitrix24.ru/crm/deal/details/11638/","https://belberrycrm.bitrix24.ru/crm/deal/details/11638/")</x:f>
      </x:c>
      <x:c r="D1233" t="str">
        <x:v>Реанимация</x:v>
      </x:c>
      <x:c r="E1233" t="str">
        <x:v>База для реанимации</x:v>
      </x:c>
      <x:c r="F1233" t="str">
        <x:v>Админ всея Belberry</x:v>
      </x:c>
      <x:c r="G1233" t="str">
        <x:v>нет</x:v>
      </x:c>
      <x:c r="H1233" t="str">
        <x:v>нет</x:v>
      </x:c>
    </x:row>
    <x:row r="1234">
      <x:c r="A1234" t="str">
        <x:v>11640</x:v>
      </x:c>
      <x:c r="B1234" t="str">
        <x:v>v-doctor.ru</x:v>
      </x:c>
      <x:c r="C1234" t="e">
        <x:f>HYPERLINK("https://belberrycrm.bitrix24.ru/crm/deal/details/11640/","https://belberrycrm.bitrix24.ru/crm/deal/details/11640/")</x:f>
      </x:c>
      <x:c r="D1234" t="str">
        <x:v>Реанимация</x:v>
      </x:c>
      <x:c r="E1234" t="str">
        <x:v>База для реанимации</x:v>
      </x:c>
      <x:c r="F1234" t="str">
        <x:v>Админ всея Belberry</x:v>
      </x:c>
      <x:c r="G1234" t="str">
        <x:v>нет</x:v>
      </x:c>
      <x:c r="H1234" t="str">
        <x:v>нет</x:v>
      </x:c>
    </x:row>
    <x:row r="1235">
      <x:c r="A1235" t="str">
        <x:v>11642</x:v>
      </x:c>
      <x:c r="B1235" t="str">
        <x:v>pedclin.ru</x:v>
      </x:c>
      <x:c r="C1235" t="e">
        <x:f>HYPERLINK("https://belberrycrm.bitrix24.ru/crm/deal/details/11642/","https://belberrycrm.bitrix24.ru/crm/deal/details/11642/")</x:f>
      </x:c>
      <x:c r="D1235" t="str">
        <x:v>Реанимация</x:v>
      </x:c>
      <x:c r="E1235" t="str">
        <x:v>База для реанимации</x:v>
      </x:c>
      <x:c r="F1235" t="str">
        <x:v>Админ всея Belberry</x:v>
      </x:c>
      <x:c r="G1235" t="str">
        <x:v>нет</x:v>
      </x:c>
      <x:c r="H1235" t="str">
        <x:v>нет</x:v>
      </x:c>
    </x:row>
    <x:row r="1236">
      <x:c r="A1236" t="str">
        <x:v>11646</x:v>
      </x:c>
      <x:c r="B1236" t="str">
        <x:v>oftalmos.ru</x:v>
      </x:c>
      <x:c r="C1236" t="e">
        <x:f>HYPERLINK("https://belberrycrm.bitrix24.ru/crm/deal/details/11646/","https://belberrycrm.bitrix24.ru/crm/deal/details/11646/")</x:f>
      </x:c>
      <x:c r="D1236" t="str">
        <x:v>Реанимация</x:v>
      </x:c>
      <x:c r="E1236" t="str">
        <x:v>База для реанимации</x:v>
      </x:c>
      <x:c r="F1236" t="str">
        <x:v>Админ всея Belberry</x:v>
      </x:c>
      <x:c r="G1236" t="str">
        <x:v>нет</x:v>
      </x:c>
      <x:c r="H1236" t="str">
        <x:v>нет</x:v>
      </x:c>
    </x:row>
    <x:row r="1237">
      <x:c r="A1237" t="str">
        <x:v>11648</x:v>
      </x:c>
      <x:c r="B1237" t="str">
        <x:v>newneuro.ru</x:v>
      </x:c>
      <x:c r="C1237" t="e">
        <x:f>HYPERLINK("https://belberrycrm.bitrix24.ru/crm/deal/details/11648/","https://belberrycrm.bitrix24.ru/crm/deal/details/11648/")</x:f>
      </x:c>
      <x:c r="D1237" t="str">
        <x:v>Реанимация</x:v>
      </x:c>
      <x:c r="E1237" t="str">
        <x:v>База для реанимации</x:v>
      </x:c>
      <x:c r="F1237" t="str">
        <x:v>Админ всея Belberry</x:v>
      </x:c>
      <x:c r="G1237" t="str">
        <x:v>нет</x:v>
      </x:c>
      <x:c r="H1237" t="str">
        <x:v>нет</x:v>
      </x:c>
    </x:row>
    <x:row r="1238">
      <x:c r="A1238" t="str">
        <x:v>11658</x:v>
      </x:c>
      <x:c r="B1238" t="str">
        <x:v>edem-dent.ru</x:v>
      </x:c>
      <x:c r="C1238" t="e">
        <x:f>HYPERLINK("https://belberrycrm.bitrix24.ru/crm/deal/details/11658/","https://belberrycrm.bitrix24.ru/crm/deal/details/11658/")</x:f>
      </x:c>
      <x:c r="D1238" t="str">
        <x:v>Реанимация</x:v>
      </x:c>
      <x:c r="E1238" t="str">
        <x:v>База для реанимации</x:v>
      </x:c>
      <x:c r="F1238" t="str">
        <x:v>Админ всея Belberry</x:v>
      </x:c>
      <x:c r="G1238" t="str">
        <x:v>нет</x:v>
      </x:c>
      <x:c r="H1238" t="str">
        <x:v>нет</x:v>
      </x:c>
    </x:row>
    <x:row r="1239">
      <x:c r="A1239" t="str">
        <x:v>11660</x:v>
      </x:c>
      <x:c r="B1239" t="str">
        <x:v>omega777.ru</x:v>
      </x:c>
      <x:c r="C1239" t="e">
        <x:f>HYPERLINK("https://belberrycrm.bitrix24.ru/crm/deal/details/11660/","https://belberrycrm.bitrix24.ru/crm/deal/details/11660/")</x:f>
      </x:c>
      <x:c r="D1239" t="str">
        <x:v>Реанимация</x:v>
      </x:c>
      <x:c r="E1239" t="str">
        <x:v>База для реанимации</x:v>
      </x:c>
      <x:c r="F1239" t="str">
        <x:v>Админ всея Belberry</x:v>
      </x:c>
      <x:c r="G1239" t="str">
        <x:v>да</x:v>
      </x:c>
      <x:c r="H1239" t="str">
        <x:v>нет</x:v>
      </x:c>
    </x:row>
    <x:row r="1240">
      <x:c r="A1240" t="str">
        <x:v>11670</x:v>
      </x:c>
      <x:c r="B1240" t="str">
        <x:v>ma-cl.ru</x:v>
      </x:c>
      <x:c r="C1240" t="e">
        <x:f>HYPERLINK("https://belberrycrm.bitrix24.ru/crm/deal/details/11670/","https://belberrycrm.bitrix24.ru/crm/deal/details/11670/")</x:f>
      </x:c>
      <x:c r="D1240" t="str">
        <x:v>Реанимация</x:v>
      </x:c>
      <x:c r="E1240" t="str">
        <x:v>База для реанимации</x:v>
      </x:c>
      <x:c r="F1240" t="str">
        <x:v>Админ всея Belberry</x:v>
      </x:c>
      <x:c r="G1240" t="str">
        <x:v>нет</x:v>
      </x:c>
      <x:c r="H1240" t="str">
        <x:v>нет</x:v>
      </x:c>
    </x:row>
    <x:row r="1241">
      <x:c r="A1241" t="str">
        <x:v>11674</x:v>
      </x:c>
      <x:c r="B1241" t="str">
        <x:v>msdent.net</x:v>
      </x:c>
      <x:c r="C1241" t="e">
        <x:f>HYPERLINK("https://belberrycrm.bitrix24.ru/crm/deal/details/11674/","https://belberrycrm.bitrix24.ru/crm/deal/details/11674/")</x:f>
      </x:c>
      <x:c r="D1241" t="str">
        <x:v>Реанимация</x:v>
      </x:c>
      <x:c r="E1241" t="str">
        <x:v>База для реанимации</x:v>
      </x:c>
      <x:c r="F1241" t="str">
        <x:v>Админ всея Belberry</x:v>
      </x:c>
      <x:c r="G1241" t="str">
        <x:v>нет</x:v>
      </x:c>
      <x:c r="H1241" t="str">
        <x:v>нет</x:v>
      </x:c>
    </x:row>
    <x:row r="1242">
      <x:c r="A1242" t="str">
        <x:v>11678</x:v>
      </x:c>
      <x:c r="B1242" t="str">
        <x:v>cellulait.ru</x:v>
      </x:c>
      <x:c r="C1242" t="e">
        <x:f>HYPERLINK("https://belberrycrm.bitrix24.ru/crm/deal/details/11678/","https://belberrycrm.bitrix24.ru/crm/deal/details/11678/")</x:f>
      </x:c>
      <x:c r="D1242" t="str">
        <x:v>Реанимация</x:v>
      </x:c>
      <x:c r="E1242" t="str">
        <x:v>База для реанимации</x:v>
      </x:c>
      <x:c r="F1242" t="str">
        <x:v>Админ всея Belberry</x:v>
      </x:c>
      <x:c r="G1242" t="str">
        <x:v>нет</x:v>
      </x:c>
      <x:c r="H1242" t="str">
        <x:v>нет</x:v>
      </x:c>
    </x:row>
    <x:row r="1243">
      <x:c r="A1243" t="str">
        <x:v>11686</x:v>
      </x:c>
      <x:c r="B1243" t="str">
        <x:v>centre-trichology.ru</x:v>
      </x:c>
      <x:c r="C1243" t="e">
        <x:f>HYPERLINK("https://belberrycrm.bitrix24.ru/crm/deal/details/11686/","https://belberrycrm.bitrix24.ru/crm/deal/details/11686/")</x:f>
      </x:c>
      <x:c r="D1243" t="str">
        <x:v>Реанимация</x:v>
      </x:c>
      <x:c r="E1243" t="str">
        <x:v>База для реанимации</x:v>
      </x:c>
      <x:c r="F1243" t="str">
        <x:v>Админ всея Belberry</x:v>
      </x:c>
      <x:c r="G1243" t="str">
        <x:v>нет</x:v>
      </x:c>
      <x:c r="H1243" t="str">
        <x:v>нет</x:v>
      </x:c>
    </x:row>
    <x:row r="1244">
      <x:c r="A1244" t="str">
        <x:v>11688</x:v>
      </x:c>
      <x:c r="B1244" t="str">
        <x:v>stomss.com</x:v>
      </x:c>
      <x:c r="C1244" t="e">
        <x:f>HYPERLINK("https://belberrycrm.bitrix24.ru/crm/deal/details/11688/","https://belberrycrm.bitrix24.ru/crm/deal/details/11688/")</x:f>
      </x:c>
      <x:c r="D1244" t="str">
        <x:v>Реанимация</x:v>
      </x:c>
      <x:c r="E1244" t="str">
        <x:v>База для реанимации</x:v>
      </x:c>
      <x:c r="F1244" t="str">
        <x:v>Админ всея Belberry</x:v>
      </x:c>
      <x:c r="G1244" t="str">
        <x:v>да</x:v>
      </x:c>
      <x:c r="H1244" t="str">
        <x:v>нет</x:v>
      </x:c>
    </x:row>
    <x:row r="1245">
      <x:c r="A1245" t="str">
        <x:v>11692</x:v>
      </x:c>
      <x:c r="B1245" t="str">
        <x:v>gdenta.ru</x:v>
      </x:c>
      <x:c r="C1245" t="e">
        <x:f>HYPERLINK("https://belberrycrm.bitrix24.ru/crm/deal/details/11692/","https://belberrycrm.bitrix24.ru/crm/deal/details/11692/")</x:f>
      </x:c>
      <x:c r="D1245" t="str">
        <x:v>Реанимация</x:v>
      </x:c>
      <x:c r="E1245" t="str">
        <x:v>База для реанимации</x:v>
      </x:c>
      <x:c r="F1245" t="str">
        <x:v>Админ всея Belberry</x:v>
      </x:c>
      <x:c r="G1245" t="str">
        <x:v>нет</x:v>
      </x:c>
      <x:c r="H1245" t="str">
        <x:v>нет</x:v>
      </x:c>
    </x:row>
    <x:row r="1246">
      <x:c r="A1246" t="str">
        <x:v>11698</x:v>
      </x:c>
      <x:c r="B1246" t="str">
        <x:v>revita-clinic.ru</x:v>
      </x:c>
      <x:c r="C1246" t="e">
        <x:f>HYPERLINK("https://belberrycrm.bitrix24.ru/crm/deal/details/11698/","https://belberrycrm.bitrix24.ru/crm/deal/details/11698/")</x:f>
      </x:c>
      <x:c r="D1246" t="str">
        <x:v>Реанимация</x:v>
      </x:c>
      <x:c r="E1246" t="str">
        <x:v>База для реанимации</x:v>
      </x:c>
      <x:c r="F1246" t="str">
        <x:v>Админ всея Belberry</x:v>
      </x:c>
      <x:c r="G1246" t="str">
        <x:v>нет</x:v>
      </x:c>
      <x:c r="H1246" t="str">
        <x:v>нет</x:v>
      </x:c>
    </x:row>
    <x:row r="1247">
      <x:c r="A1247" t="str">
        <x:v>11700</x:v>
      </x:c>
      <x:c r="B1247" t="str">
        <x:v>smile-std.ru</x:v>
      </x:c>
      <x:c r="C1247" t="e">
        <x:f>HYPERLINK("https://belberrycrm.bitrix24.ru/crm/deal/details/11700/","https://belberrycrm.bitrix24.ru/crm/deal/details/11700/")</x:f>
      </x:c>
      <x:c r="D1247" t="str">
        <x:v>Реанимация</x:v>
      </x:c>
      <x:c r="E1247" t="str">
        <x:v>База для реанимации</x:v>
      </x:c>
      <x:c r="F1247" t="str">
        <x:v>Админ всея Belberry</x:v>
      </x:c>
      <x:c r="G1247" t="str">
        <x:v>нет</x:v>
      </x:c>
      <x:c r="H1247" t="str">
        <x:v>нет</x:v>
      </x:c>
    </x:row>
    <x:row r="1248">
      <x:c r="A1248" t="str">
        <x:v>11704</x:v>
      </x:c>
      <x:c r="B1248" t="str">
        <x:v>blclinic.ru</x:v>
      </x:c>
      <x:c r="C1248" t="e">
        <x:f>HYPERLINK("https://belberrycrm.bitrix24.ru/crm/deal/details/11704/","https://belberrycrm.bitrix24.ru/crm/deal/details/11704/")</x:f>
      </x:c>
      <x:c r="D1248" t="str">
        <x:v>Реанимация</x:v>
      </x:c>
      <x:c r="E1248" t="str">
        <x:v>База для реанимации</x:v>
      </x:c>
      <x:c r="F1248" t="str">
        <x:v>Админ всея Belberry</x:v>
      </x:c>
      <x:c r="G1248" t="str">
        <x:v>нет</x:v>
      </x:c>
      <x:c r="H1248" t="str">
        <x:v>нет</x:v>
      </x:c>
    </x:row>
    <x:row r="1249">
      <x:c r="A1249" t="str">
        <x:v>11706</x:v>
      </x:c>
      <x:c r="B1249" t="str">
        <x:v>Gerdun Lab</x:v>
      </x:c>
      <x:c r="C1249" t="e">
        <x:f>HYPERLINK("https://belberrycrm.bitrix24.ru/crm/deal/details/11706/","https://belberrycrm.bitrix24.ru/crm/deal/details/11706/")</x:f>
      </x:c>
      <x:c r="D1249" t="str">
        <x:v>Реанимация</x:v>
      </x:c>
      <x:c r="E1249" t="str">
        <x:v>База для реанимации</x:v>
      </x:c>
      <x:c r="F1249" t="str">
        <x:v>Админ всея Belberry</x:v>
      </x:c>
      <x:c r="G1249" t="str">
        <x:v>нет</x:v>
      </x:c>
      <x:c r="H1249" t="str">
        <x:v>нет</x:v>
      </x:c>
    </x:row>
    <x:row r="1250">
      <x:c r="A1250" t="str">
        <x:v>11714</x:v>
      </x:c>
      <x:c r="B1250" t="str">
        <x:v>dentoniona.ru</x:v>
      </x:c>
      <x:c r="C1250" t="e">
        <x:f>HYPERLINK("https://belberrycrm.bitrix24.ru/crm/deal/details/11714/","https://belberrycrm.bitrix24.ru/crm/deal/details/11714/")</x:f>
      </x:c>
      <x:c r="D1250" t="str">
        <x:v>Реанимация</x:v>
      </x:c>
      <x:c r="E1250" t="str">
        <x:v>База для реанимации</x:v>
      </x:c>
      <x:c r="F1250" t="str">
        <x:v>Админ всея Belberry</x:v>
      </x:c>
      <x:c r="G1250" t="str">
        <x:v>нет</x:v>
      </x:c>
      <x:c r="H1250" t="str">
        <x:v>нет</x:v>
      </x:c>
    </x:row>
    <x:row r="1251">
      <x:c r="A1251" t="str">
        <x:v>11720</x:v>
      </x:c>
      <x:c r="B1251" t="str">
        <x:v>efis.ru</x:v>
      </x:c>
      <x:c r="C1251" t="e">
        <x:f>HYPERLINK("https://belberrycrm.bitrix24.ru/crm/deal/details/11720/","https://belberrycrm.bitrix24.ru/crm/deal/details/11720/")</x:f>
      </x:c>
      <x:c r="D1251" t="str">
        <x:v>Реанимация</x:v>
      </x:c>
      <x:c r="E1251" t="str">
        <x:v>База для реанимации</x:v>
      </x:c>
      <x:c r="F1251" t="str">
        <x:v>Админ всея Belberry</x:v>
      </x:c>
      <x:c r="G1251" t="str">
        <x:v>нет</x:v>
      </x:c>
      <x:c r="H1251" t="str">
        <x:v>нет</x:v>
      </x:c>
    </x:row>
    <x:row r="1252">
      <x:c r="A1252" t="str">
        <x:v>11728</x:v>
      </x:c>
      <x:c r="B1252" t="str">
        <x:v>uslugibest.ru</x:v>
      </x:c>
      <x:c r="C1252" t="e">
        <x:f>HYPERLINK("https://belberrycrm.bitrix24.ru/crm/deal/details/11728/","https://belberrycrm.bitrix24.ru/crm/deal/details/11728/")</x:f>
      </x:c>
      <x:c r="D1252" t="str">
        <x:v>Реанимация</x:v>
      </x:c>
      <x:c r="E1252" t="str">
        <x:v>База для реанимации</x:v>
      </x:c>
      <x:c r="F1252" t="str">
        <x:v>Админ всея Belberry</x:v>
      </x:c>
      <x:c r="G1252" t="str">
        <x:v>нет</x:v>
      </x:c>
      <x:c r="H1252" t="str">
        <x:v>нет</x:v>
      </x:c>
    </x:row>
    <x:row r="1253">
      <x:c r="A1253" t="str">
        <x:v>11730</x:v>
      </x:c>
      <x:c r="B1253" t="str">
        <x:v>beauty-smile.ru</x:v>
      </x:c>
      <x:c r="C1253" t="e">
        <x:f>HYPERLINK("https://belberrycrm.bitrix24.ru/crm/deal/details/11730/","https://belberrycrm.bitrix24.ru/crm/deal/details/11730/")</x:f>
      </x:c>
      <x:c r="D1253" t="str">
        <x:v>Реанимация</x:v>
      </x:c>
      <x:c r="E1253" t="str">
        <x:v>База для реанимации</x:v>
      </x:c>
      <x:c r="F1253" t="str">
        <x:v>Админ всея Belberry</x:v>
      </x:c>
      <x:c r="G1253" t="str">
        <x:v>нет</x:v>
      </x:c>
      <x:c r="H1253" t="str">
        <x:v>нет</x:v>
      </x:c>
    </x:row>
    <x:row r="1254">
      <x:c r="A1254" t="str">
        <x:v>11740</x:v>
      </x:c>
      <x:c r="B1254" t="str">
        <x:v>move-med.ru</x:v>
      </x:c>
      <x:c r="C1254" t="e">
        <x:f>HYPERLINK("https://belberrycrm.bitrix24.ru/crm/deal/details/11740/","https://belberrycrm.bitrix24.ru/crm/deal/details/11740/")</x:f>
      </x:c>
      <x:c r="D1254" t="str">
        <x:v>Реанимация</x:v>
      </x:c>
      <x:c r="E1254" t="str">
        <x:v>База для реанимации</x:v>
      </x:c>
      <x:c r="F1254" t="str">
        <x:v>Админ всея Belberry</x:v>
      </x:c>
      <x:c r="G1254" t="str">
        <x:v>нет</x:v>
      </x:c>
      <x:c r="H1254" t="str">
        <x:v>нет</x:v>
      </x:c>
    </x:row>
    <x:row r="1255">
      <x:c r="A1255" t="str">
        <x:v>11746</x:v>
      </x:c>
      <x:c r="B1255" t="str">
        <x:v>doktor-ryadom-clinic.ru</x:v>
      </x:c>
      <x:c r="C1255" t="e">
        <x:f>HYPERLINK("https://belberrycrm.bitrix24.ru/crm/deal/details/11746/","https://belberrycrm.bitrix24.ru/crm/deal/details/11746/")</x:f>
      </x:c>
      <x:c r="D1255" t="str">
        <x:v>Реанимация</x:v>
      </x:c>
      <x:c r="E1255" t="str">
        <x:v>База для реанимации</x:v>
      </x:c>
      <x:c r="F1255" t="str">
        <x:v>Админ всея Belberry</x:v>
      </x:c>
      <x:c r="G1255" t="str">
        <x:v>нет</x:v>
      </x:c>
      <x:c r="H1255" t="str">
        <x:v>нет</x:v>
      </x:c>
    </x:row>
    <x:row r="1256">
      <x:c r="A1256" t="str">
        <x:v>11750</x:v>
      </x:c>
      <x:c r="B1256" t="str">
        <x:v>klinika-zdorovia.ru</x:v>
      </x:c>
      <x:c r="C1256" t="e">
        <x:f>HYPERLINK("https://belberrycrm.bitrix24.ru/crm/deal/details/11750/","https://belberrycrm.bitrix24.ru/crm/deal/details/11750/")</x:f>
      </x:c>
      <x:c r="D1256" t="str">
        <x:v>Реанимация</x:v>
      </x:c>
      <x:c r="E1256" t="str">
        <x:v>База для реанимации</x:v>
      </x:c>
      <x:c r="F1256" t="str">
        <x:v>Админ всея Belberry</x:v>
      </x:c>
      <x:c r="G1256" t="str">
        <x:v>нет</x:v>
      </x:c>
      <x:c r="H1256" t="str">
        <x:v>нет</x:v>
      </x:c>
    </x:row>
    <x:row r="1257">
      <x:c r="A1257" t="str">
        <x:v>11756</x:v>
      </x:c>
      <x:c r="B1257" t="str">
        <x:v>svdent.ru</x:v>
      </x:c>
      <x:c r="C1257" t="e">
        <x:f>HYPERLINK("https://belberrycrm.bitrix24.ru/crm/deal/details/11756/","https://belberrycrm.bitrix24.ru/crm/deal/details/11756/")</x:f>
      </x:c>
      <x:c r="D1257" t="str">
        <x:v>Реанимация</x:v>
      </x:c>
      <x:c r="E1257" t="str">
        <x:v>База для реанимации</x:v>
      </x:c>
      <x:c r="F1257" t="str">
        <x:v>Админ всея Belberry</x:v>
      </x:c>
      <x:c r="G1257" t="str">
        <x:v>нет</x:v>
      </x:c>
      <x:c r="H1257" t="str">
        <x:v>нет</x:v>
      </x:c>
    </x:row>
    <x:row r="1258">
      <x:c r="A1258" t="str">
        <x:v>11760</x:v>
      </x:c>
      <x:c r="B1258" t="str">
        <x:v>medbiospectr.ru</x:v>
      </x:c>
      <x:c r="C1258" t="e">
        <x:f>HYPERLINK("https://belberrycrm.bitrix24.ru/crm/deal/details/11760/","https://belberrycrm.bitrix24.ru/crm/deal/details/11760/")</x:f>
      </x:c>
      <x:c r="D1258" t="str">
        <x:v>Реанимация</x:v>
      </x:c>
      <x:c r="E1258" t="str">
        <x:v>База для реанимации</x:v>
      </x:c>
      <x:c r="F1258" t="str">
        <x:v>Админ всея Belberry</x:v>
      </x:c>
      <x:c r="G1258" t="str">
        <x:v>нет</x:v>
      </x:c>
      <x:c r="H1258" t="str">
        <x:v>нет</x:v>
      </x:c>
    </x:row>
    <x:row r="1259">
      <x:c r="A1259" t="str">
        <x:v>11764</x:v>
      </x:c>
      <x:c r="B1259" t="str">
        <x:v>mvitaclinic.ru</x:v>
      </x:c>
      <x:c r="C1259" t="e">
        <x:f>HYPERLINK("https://belberrycrm.bitrix24.ru/crm/deal/details/11764/","https://belberrycrm.bitrix24.ru/crm/deal/details/11764/")</x:f>
      </x:c>
      <x:c r="D1259" t="str">
        <x:v>Реанимация</x:v>
      </x:c>
      <x:c r="E1259" t="str">
        <x:v>База для реанимации</x:v>
      </x:c>
      <x:c r="F1259" t="str">
        <x:v>Админ всея Belberry</x:v>
      </x:c>
      <x:c r="G1259" t="str">
        <x:v>нет</x:v>
      </x:c>
      <x:c r="H1259" t="str">
        <x:v>нет</x:v>
      </x:c>
    </x:row>
    <x:row r="1260">
      <x:c r="A1260" t="str">
        <x:v>11766</x:v>
      </x:c>
      <x:c r="B1260" t="str">
        <x:v>medin.ru</x:v>
      </x:c>
      <x:c r="C1260" t="e">
        <x:f>HYPERLINK("https://belberrycrm.bitrix24.ru/crm/deal/details/11766/","https://belberrycrm.bitrix24.ru/crm/deal/details/11766/")</x:f>
      </x:c>
      <x:c r="D1260" t="str">
        <x:v>Реанимация</x:v>
      </x:c>
      <x:c r="E1260" t="str">
        <x:v>База для реанимации</x:v>
      </x:c>
      <x:c r="F1260" t="str">
        <x:v>Админ всея Belberry</x:v>
      </x:c>
      <x:c r="G1260" t="str">
        <x:v>нет</x:v>
      </x:c>
      <x:c r="H1260" t="str">
        <x:v>нет</x:v>
      </x:c>
    </x:row>
    <x:row r="1261">
      <x:c r="A1261" t="str">
        <x:v>11768</x:v>
      </x:c>
      <x:c r="B1261" t="str">
        <x:v>rubca.net</x:v>
      </x:c>
      <x:c r="C1261" t="e">
        <x:f>HYPERLINK("https://belberrycrm.bitrix24.ru/crm/deal/details/11768/","https://belberrycrm.bitrix24.ru/crm/deal/details/11768/")</x:f>
      </x:c>
      <x:c r="D1261" t="str">
        <x:v>Реанимация</x:v>
      </x:c>
      <x:c r="E1261" t="str">
        <x:v>База для реанимации</x:v>
      </x:c>
      <x:c r="F1261" t="str">
        <x:v>Админ всея Belberry</x:v>
      </x:c>
      <x:c r="G1261" t="str">
        <x:v>нет</x:v>
      </x:c>
      <x:c r="H1261" t="str">
        <x:v>нет</x:v>
      </x:c>
    </x:row>
    <x:row r="1262">
      <x:c r="A1262" t="str">
        <x:v>11782</x:v>
      </x:c>
      <x:c r="B1262" t="str">
        <x:v>ooo-blagodat.ru</x:v>
      </x:c>
      <x:c r="C1262" t="e">
        <x:f>HYPERLINK("https://belberrycrm.bitrix24.ru/crm/deal/details/11782/","https://belberrycrm.bitrix24.ru/crm/deal/details/11782/")</x:f>
      </x:c>
      <x:c r="D1262" t="str">
        <x:v>Реанимация</x:v>
      </x:c>
      <x:c r="E1262" t="str">
        <x:v>База для реанимации</x:v>
      </x:c>
      <x:c r="F1262" t="str">
        <x:v>Админ всея Belberry</x:v>
      </x:c>
      <x:c r="G1262" t="str">
        <x:v>да</x:v>
      </x:c>
      <x:c r="H1262" t="str">
        <x:v>нет</x:v>
      </x:c>
    </x:row>
    <x:row r="1263">
      <x:c r="A1263" t="str">
        <x:v>11786</x:v>
      </x:c>
      <x:c r="B1263" t="str">
        <x:v>des-service.ru</x:v>
      </x:c>
      <x:c r="C1263" t="e">
        <x:f>HYPERLINK("https://belberrycrm.bitrix24.ru/crm/deal/details/11786/","https://belberrycrm.bitrix24.ru/crm/deal/details/11786/")</x:f>
      </x:c>
      <x:c r="D1263" t="str">
        <x:v>Реанимация</x:v>
      </x:c>
      <x:c r="E1263" t="str">
        <x:v>База для реанимации</x:v>
      </x:c>
      <x:c r="F1263" t="str">
        <x:v>Админ всея Belberry</x:v>
      </x:c>
      <x:c r="G1263" t="str">
        <x:v>нет</x:v>
      </x:c>
      <x:c r="H1263" t="str">
        <x:v>нет</x:v>
      </x:c>
    </x:row>
    <x:row r="1264">
      <x:c r="A1264" t="str">
        <x:v>11792</x:v>
      </x:c>
      <x:c r="B1264" t="str">
        <x:v>medmgmu.ru</x:v>
      </x:c>
      <x:c r="C1264" t="e">
        <x:f>HYPERLINK("https://belberrycrm.bitrix24.ru/crm/deal/details/11792/","https://belberrycrm.bitrix24.ru/crm/deal/details/11792/")</x:f>
      </x:c>
      <x:c r="D1264" t="str">
        <x:v>Реанимация</x:v>
      </x:c>
      <x:c r="E1264" t="str">
        <x:v>База для реанимации</x:v>
      </x:c>
      <x:c r="F1264" t="str">
        <x:v>Админ всея Belberry</x:v>
      </x:c>
      <x:c r="G1264" t="str">
        <x:v>нет</x:v>
      </x:c>
      <x:c r="H1264" t="str">
        <x:v>нет</x:v>
      </x:c>
    </x:row>
    <x:row r="1265">
      <x:c r="A1265" t="str">
        <x:v>11794</x:v>
      </x:c>
      <x:c r="B1265" t="str">
        <x:v>moscow-stomatolog.ru</x:v>
      </x:c>
      <x:c r="C1265" t="e">
        <x:f>HYPERLINK("https://belberrycrm.bitrix24.ru/crm/deal/details/11794/","https://belberrycrm.bitrix24.ru/crm/deal/details/11794/")</x:f>
      </x:c>
      <x:c r="D1265" t="str">
        <x:v>Реанимация</x:v>
      </x:c>
      <x:c r="E1265" t="str">
        <x:v>База для реанимации</x:v>
      </x:c>
      <x:c r="F1265" t="str">
        <x:v>Админ всея Belberry</x:v>
      </x:c>
      <x:c r="G1265" t="str">
        <x:v>да</x:v>
      </x:c>
      <x:c r="H1265" t="str">
        <x:v>нет</x:v>
      </x:c>
    </x:row>
    <x:row r="1266">
      <x:c r="A1266" t="str">
        <x:v>11796</x:v>
      </x:c>
      <x:c r="B1266" t="str">
        <x:v>Анна Шибнева</x:v>
      </x:c>
      <x:c r="C1266" t="e">
        <x:f>HYPERLINK("https://belberrycrm.bitrix24.ru/crm/deal/details/11796/","https://belberrycrm.bitrix24.ru/crm/deal/details/11796/")</x:f>
      </x:c>
      <x:c r="D1266" t="str">
        <x:v>Реанимация</x:v>
      </x:c>
      <x:c r="E1266" t="str">
        <x:v>База для реанимации</x:v>
      </x:c>
      <x:c r="F1266" t="str">
        <x:v>Админ всея Belberry</x:v>
      </x:c>
      <x:c r="G1266" t="str">
        <x:v>нет</x:v>
      </x:c>
      <x:c r="H1266" t="str">
        <x:v>нет</x:v>
      </x:c>
    </x:row>
    <x:row r="1267">
      <x:c r="A1267" t="str">
        <x:v>11800</x:v>
      </x:c>
      <x:c r="B1267" t="str">
        <x:v>dr-martin.ru</x:v>
      </x:c>
      <x:c r="C1267" t="e">
        <x:f>HYPERLINK("https://belberrycrm.bitrix24.ru/crm/deal/details/11800/","https://belberrycrm.bitrix24.ru/crm/deal/details/11800/")</x:f>
      </x:c>
      <x:c r="D1267" t="str">
        <x:v>Реанимация</x:v>
      </x:c>
      <x:c r="E1267" t="str">
        <x:v>База для реанимации</x:v>
      </x:c>
      <x:c r="F1267" t="str">
        <x:v>Админ всея Belberry</x:v>
      </x:c>
      <x:c r="G1267" t="str">
        <x:v>да</x:v>
      </x:c>
      <x:c r="H1267" t="str">
        <x:v>нет</x:v>
      </x:c>
    </x:row>
    <x:row r="1268">
      <x:c r="A1268" t="str">
        <x:v>11804</x:v>
      </x:c>
      <x:c r="B1268" t="str">
        <x:v>skomnia.ru</x:v>
      </x:c>
      <x:c r="C1268" t="e">
        <x:f>HYPERLINK("https://belberrycrm.bitrix24.ru/crm/deal/details/11804/","https://belberrycrm.bitrix24.ru/crm/deal/details/11804/")</x:f>
      </x:c>
      <x:c r="D1268" t="str">
        <x:v>Реанимация</x:v>
      </x:c>
      <x:c r="E1268" t="str">
        <x:v>База для реанимации</x:v>
      </x:c>
      <x:c r="F1268" t="str">
        <x:v>Админ всея Belberry</x:v>
      </x:c>
      <x:c r="G1268" t="str">
        <x:v>нет</x:v>
      </x:c>
      <x:c r="H1268" t="str">
        <x:v>нет</x:v>
      </x:c>
    </x:row>
    <x:row r="1269">
      <x:c r="A1269" t="str">
        <x:v>11810</x:v>
      </x:c>
      <x:c r="B1269" t="str">
        <x:v>ayurveda-msk.ru</x:v>
      </x:c>
      <x:c r="C1269" t="e">
        <x:f>HYPERLINK("https://belberrycrm.bitrix24.ru/crm/deal/details/11810/","https://belberrycrm.bitrix24.ru/crm/deal/details/11810/")</x:f>
      </x:c>
      <x:c r="D1269" t="str">
        <x:v>Реанимация</x:v>
      </x:c>
      <x:c r="E1269" t="str">
        <x:v>База для реанимации</x:v>
      </x:c>
      <x:c r="F1269" t="str">
        <x:v>Админ всея Belberry</x:v>
      </x:c>
      <x:c r="G1269" t="str">
        <x:v>нет</x:v>
      </x:c>
      <x:c r="H1269" t="str">
        <x:v>нет</x:v>
      </x:c>
    </x:row>
    <x:row r="1270">
      <x:c r="A1270" t="str">
        <x:v>11812</x:v>
      </x:c>
      <x:c r="B1270" t="str">
        <x:v>volos-rost.ru</x:v>
      </x:c>
      <x:c r="C1270" t="e">
        <x:f>HYPERLINK("https://belberrycrm.bitrix24.ru/crm/deal/details/11812/","https://belberrycrm.bitrix24.ru/crm/deal/details/11812/")</x:f>
      </x:c>
      <x:c r="D1270" t="str">
        <x:v>Реанимация</x:v>
      </x:c>
      <x:c r="E1270" t="str">
        <x:v>База для реанимации</x:v>
      </x:c>
      <x:c r="F1270" t="str">
        <x:v>Админ всея Belberry</x:v>
      </x:c>
      <x:c r="G1270" t="str">
        <x:v>нет</x:v>
      </x:c>
      <x:c r="H1270" t="str">
        <x:v>нет</x:v>
      </x:c>
    </x:row>
    <x:row r="1271">
      <x:c r="A1271" t="str">
        <x:v>11820</x:v>
      </x:c>
      <x:c r="B1271" t="str">
        <x:v>mrt24.ru</x:v>
      </x:c>
      <x:c r="C1271" t="e">
        <x:f>HYPERLINK("https://belberrycrm.bitrix24.ru/crm/deal/details/11820/","https://belberrycrm.bitrix24.ru/crm/deal/details/11820/")</x:f>
      </x:c>
      <x:c r="D1271" t="str">
        <x:v>Реанимация</x:v>
      </x:c>
      <x:c r="E1271" t="str">
        <x:v>База для реанимации</x:v>
      </x:c>
      <x:c r="F1271" t="str">
        <x:v>Админ всея Belberry</x:v>
      </x:c>
      <x:c r="G1271" t="str">
        <x:v>нет</x:v>
      </x:c>
      <x:c r="H1271" t="str">
        <x:v>нет</x:v>
      </x:c>
    </x:row>
    <x:row r="1272">
      <x:c r="A1272" t="str">
        <x:v>11824</x:v>
      </x:c>
      <x:c r="B1272" t="str">
        <x:v>medstar-med.ru</x:v>
      </x:c>
      <x:c r="C1272" t="e">
        <x:f>HYPERLINK("https://belberrycrm.bitrix24.ru/crm/deal/details/11824/","https://belberrycrm.bitrix24.ru/crm/deal/details/11824/")</x:f>
      </x:c>
      <x:c r="D1272" t="str">
        <x:v>Реанимация</x:v>
      </x:c>
      <x:c r="E1272" t="str">
        <x:v>База для реанимации</x:v>
      </x:c>
      <x:c r="F1272" t="str">
        <x:v>Админ всея Belberry</x:v>
      </x:c>
      <x:c r="G1272" t="str">
        <x:v>нет</x:v>
      </x:c>
      <x:c r="H1272" t="str">
        <x:v>нет</x:v>
      </x:c>
    </x:row>
    <x:row r="1273">
      <x:c r="A1273" t="str">
        <x:v>11826</x:v>
      </x:c>
      <x:c r="B1273" t="str">
        <x:v>smilecentre.ru</x:v>
      </x:c>
      <x:c r="C1273" t="e">
        <x:f>HYPERLINK("https://belberrycrm.bitrix24.ru/crm/deal/details/11826/","https://belberrycrm.bitrix24.ru/crm/deal/details/11826/")</x:f>
      </x:c>
      <x:c r="D1273" t="str">
        <x:v>Реанимация</x:v>
      </x:c>
      <x:c r="E1273" t="str">
        <x:v>База для реанимации</x:v>
      </x:c>
      <x:c r="F1273" t="str">
        <x:v>Админ всея Belberry</x:v>
      </x:c>
      <x:c r="G1273" t="str">
        <x:v>нет</x:v>
      </x:c>
      <x:c r="H1273" t="str">
        <x:v>нет</x:v>
      </x:c>
    </x:row>
    <x:row r="1274">
      <x:c r="A1274" t="str">
        <x:v>11828</x:v>
      </x:c>
      <x:c r="B1274" t="str">
        <x:v>miaform.ru</x:v>
      </x:c>
      <x:c r="C1274" t="e">
        <x:f>HYPERLINK("https://belberrycrm.bitrix24.ru/crm/deal/details/11828/","https://belberrycrm.bitrix24.ru/crm/deal/details/11828/")</x:f>
      </x:c>
      <x:c r="D1274" t="str">
        <x:v>Реанимация</x:v>
      </x:c>
      <x:c r="E1274" t="str">
        <x:v>База для реанимации</x:v>
      </x:c>
      <x:c r="F1274" t="str">
        <x:v>Админ всея Belberry</x:v>
      </x:c>
      <x:c r="G1274" t="str">
        <x:v>нет</x:v>
      </x:c>
      <x:c r="H1274" t="str">
        <x:v>нет</x:v>
      </x:c>
    </x:row>
    <x:row r="1275">
      <x:c r="A1275" t="str">
        <x:v>11832</x:v>
      </x:c>
      <x:c r="B1275" t="str">
        <x:v>Ответчиков Игорь Николаевич</x:v>
      </x:c>
      <x:c r="C1275" t="e">
        <x:f>HYPERLINK("https://belberrycrm.bitrix24.ru/crm/deal/details/11832/","https://belberrycrm.bitrix24.ru/crm/deal/details/11832/")</x:f>
      </x:c>
      <x:c r="D1275" t="str">
        <x:v>Реанимация</x:v>
      </x:c>
      <x:c r="E1275" t="str">
        <x:v>База для реанимации</x:v>
      </x:c>
      <x:c r="F1275" t="str">
        <x:v>Админ всея Belberry</x:v>
      </x:c>
      <x:c r="G1275" t="str">
        <x:v>нет</x:v>
      </x:c>
      <x:c r="H1275" t="str">
        <x:v>нет</x:v>
      </x:c>
    </x:row>
    <x:row r="1276">
      <x:c r="A1276" t="str">
        <x:v>11844</x:v>
      </x:c>
      <x:c r="B1276" t="str">
        <x:v>clinica-prizvanie.ru</x:v>
      </x:c>
      <x:c r="C1276" t="e">
        <x:f>HYPERLINK("https://belberrycrm.bitrix24.ru/crm/deal/details/11844/","https://belberrycrm.bitrix24.ru/crm/deal/details/11844/")</x:f>
      </x:c>
      <x:c r="D1276" t="str">
        <x:v>Реанимация</x:v>
      </x:c>
      <x:c r="E1276" t="str">
        <x:v>База для реанимации</x:v>
      </x:c>
      <x:c r="F1276" t="str">
        <x:v>Админ всея Belberry</x:v>
      </x:c>
      <x:c r="G1276" t="str">
        <x:v>нет</x:v>
      </x:c>
      <x:c r="H1276" t="str">
        <x:v>нет</x:v>
      </x:c>
    </x:row>
    <x:row r="1277">
      <x:c r="A1277" t="str">
        <x:v>11848</x:v>
      </x:c>
      <x:c r="B1277" t="str">
        <x:v>jutshi.ru</x:v>
      </x:c>
      <x:c r="C1277" t="e">
        <x:f>HYPERLINK("https://belberrycrm.bitrix24.ru/crm/deal/details/11848/","https://belberrycrm.bitrix24.ru/crm/deal/details/11848/")</x:f>
      </x:c>
      <x:c r="D1277" t="str">
        <x:v>Реанимация</x:v>
      </x:c>
      <x:c r="E1277" t="str">
        <x:v>База для реанимации</x:v>
      </x:c>
      <x:c r="F1277" t="str">
        <x:v>Админ всея Belberry</x:v>
      </x:c>
      <x:c r="G1277" t="str">
        <x:v>нет</x:v>
      </x:c>
      <x:c r="H1277" t="str">
        <x:v>нет</x:v>
      </x:c>
    </x:row>
    <x:row r="1278">
      <x:c r="A1278" t="str">
        <x:v>11860</x:v>
      </x:c>
      <x:c r="B1278" t="str">
        <x:v>implanti-zubov.ru</x:v>
      </x:c>
      <x:c r="C1278" t="e">
        <x:f>HYPERLINK("https://belberrycrm.bitrix24.ru/crm/deal/details/11860/","https://belberrycrm.bitrix24.ru/crm/deal/details/11860/")</x:f>
      </x:c>
      <x:c r="D1278" t="str">
        <x:v>Реанимация</x:v>
      </x:c>
      <x:c r="E1278" t="str">
        <x:v>База для реанимации</x:v>
      </x:c>
      <x:c r="F1278" t="str">
        <x:v>Админ всея Belberry</x:v>
      </x:c>
      <x:c r="G1278" t="str">
        <x:v>нет</x:v>
      </x:c>
      <x:c r="H1278" t="str">
        <x:v>нет</x:v>
      </x:c>
    </x:row>
    <x:row r="1279">
      <x:c r="A1279" t="str">
        <x:v>11862</x:v>
      </x:c>
      <x:c r="B1279" t="str">
        <x:v>life-clinic.ru</x:v>
      </x:c>
      <x:c r="C1279" t="e">
        <x:f>HYPERLINK("https://belberrycrm.bitrix24.ru/crm/deal/details/11862/","https://belberrycrm.bitrix24.ru/crm/deal/details/11862/")</x:f>
      </x:c>
      <x:c r="D1279" t="str">
        <x:v>Реанимация</x:v>
      </x:c>
      <x:c r="E1279" t="str">
        <x:v>База для реанимации</x:v>
      </x:c>
      <x:c r="F1279" t="str">
        <x:v>Админ всея Belberry</x:v>
      </x:c>
      <x:c r="G1279" t="str">
        <x:v>нет</x:v>
      </x:c>
      <x:c r="H1279" t="str">
        <x:v>нет</x:v>
      </x:c>
    </x:row>
    <x:row r="1280">
      <x:c r="A1280" t="str">
        <x:v>11866</x:v>
      </x:c>
      <x:c r="B1280" t="str">
        <x:v>diagnost.ru</x:v>
      </x:c>
      <x:c r="C1280" t="e">
        <x:f>HYPERLINK("https://belberrycrm.bitrix24.ru/crm/deal/details/11866/","https://belberrycrm.bitrix24.ru/crm/deal/details/11866/")</x:f>
      </x:c>
      <x:c r="D1280" t="str">
        <x:v>Реанимация</x:v>
      </x:c>
      <x:c r="E1280" t="str">
        <x:v>База для реанимации</x:v>
      </x:c>
      <x:c r="F1280" t="str">
        <x:v>Админ всея Belberry</x:v>
      </x:c>
      <x:c r="G1280" t="str">
        <x:v>нет</x:v>
      </x:c>
      <x:c r="H1280" t="str">
        <x:v>нет</x:v>
      </x:c>
    </x:row>
    <x:row r="1281">
      <x:c r="A1281" t="str">
        <x:v>11872</x:v>
      </x:c>
      <x:c r="B1281" t="str">
        <x:v>kineziterapiya-socolniki.ru</x:v>
      </x:c>
      <x:c r="C1281" t="e">
        <x:f>HYPERLINK("https://belberrycrm.bitrix24.ru/crm/deal/details/11872/","https://belberrycrm.bitrix24.ru/crm/deal/details/11872/")</x:f>
      </x:c>
      <x:c r="D1281" t="str">
        <x:v>Реанимация</x:v>
      </x:c>
      <x:c r="E1281" t="str">
        <x:v>База для реанимации</x:v>
      </x:c>
      <x:c r="F1281" t="str">
        <x:v>Админ всея Belberry</x:v>
      </x:c>
      <x:c r="G1281" t="str">
        <x:v>нет</x:v>
      </x:c>
      <x:c r="H1281" t="str">
        <x:v>нет</x:v>
      </x:c>
    </x:row>
    <x:row r="1282">
      <x:c r="A1282" t="str">
        <x:v>11874</x:v>
      </x:c>
      <x:c r="B1282" t="str">
        <x:v>tvojdoctor.ru</x:v>
      </x:c>
      <x:c r="C1282" t="e">
        <x:f>HYPERLINK("https://belberrycrm.bitrix24.ru/crm/deal/details/11874/","https://belberrycrm.bitrix24.ru/crm/deal/details/11874/")</x:f>
      </x:c>
      <x:c r="D1282" t="str">
        <x:v>Реанимация</x:v>
      </x:c>
      <x:c r="E1282" t="str">
        <x:v>База для реанимации</x:v>
      </x:c>
      <x:c r="F1282" t="str">
        <x:v>Админ всея Belberry</x:v>
      </x:c>
      <x:c r="G1282" t="str">
        <x:v>нет</x:v>
      </x:c>
      <x:c r="H1282" t="str">
        <x:v>нет</x:v>
      </x:c>
    </x:row>
    <x:row r="1283">
      <x:c r="A1283" t="str">
        <x:v>11884</x:v>
      </x:c>
      <x:c r="B1283" t="str">
        <x:v>mgpol2.ru</x:v>
      </x:c>
      <x:c r="C1283" t="e">
        <x:f>HYPERLINK("https://belberrycrm.bitrix24.ru/crm/deal/details/11884/","https://belberrycrm.bitrix24.ru/crm/deal/details/11884/")</x:f>
      </x:c>
      <x:c r="D1283" t="str">
        <x:v>Реанимация</x:v>
      </x:c>
      <x:c r="E1283" t="str">
        <x:v>База для реанимации</x:v>
      </x:c>
      <x:c r="F1283" t="str">
        <x:v>Админ всея Belberry</x:v>
      </x:c>
      <x:c r="G1283" t="str">
        <x:v>да</x:v>
      </x:c>
      <x:c r="H1283" t="str">
        <x:v>нет</x:v>
      </x:c>
    </x:row>
    <x:row r="1284">
      <x:c r="A1284" t="str">
        <x:v>11886</x:v>
      </x:c>
      <x:c r="B1284" t="str">
        <x:v>Эльхан</x:v>
      </x:c>
      <x:c r="C1284" t="e">
        <x:f>HYPERLINK("https://belberrycrm.bitrix24.ru/crm/deal/details/11886/","https://belberrycrm.bitrix24.ru/crm/deal/details/11886/")</x:f>
      </x:c>
      <x:c r="D1284" t="str">
        <x:v>Реанимация</x:v>
      </x:c>
      <x:c r="E1284" t="str">
        <x:v>База для реанимации</x:v>
      </x:c>
      <x:c r="F1284" t="str">
        <x:v>Админ всея Belberry</x:v>
      </x:c>
      <x:c r="G1284" t="str">
        <x:v>да</x:v>
      </x:c>
      <x:c r="H1284" t="str">
        <x:v>нет</x:v>
      </x:c>
    </x:row>
    <x:row r="1285">
      <x:c r="A1285" t="str">
        <x:v>11888</x:v>
      </x:c>
      <x:c r="B1285" t="str">
        <x:v>mca61.ru</x:v>
      </x:c>
      <x:c r="C1285" t="e">
        <x:f>HYPERLINK("https://belberrycrm.bitrix24.ru/crm/deal/details/11888/","https://belberrycrm.bitrix24.ru/crm/deal/details/11888/")</x:f>
      </x:c>
      <x:c r="D1285" t="str">
        <x:v>Реанимация</x:v>
      </x:c>
      <x:c r="E1285" t="str">
        <x:v>База для реанимации</x:v>
      </x:c>
      <x:c r="F1285" t="str">
        <x:v>Админ всея Belberry</x:v>
      </x:c>
      <x:c r="G1285" t="str">
        <x:v>нет</x:v>
      </x:c>
      <x:c r="H1285" t="str">
        <x:v>нет</x:v>
      </x:c>
    </x:row>
    <x:row r="1286">
      <x:c r="A1286" t="str">
        <x:v>11896</x:v>
      </x:c>
      <x:c r="B1286" t="str">
        <x:v>Колесникова Светлана</x:v>
      </x:c>
      <x:c r="C1286" t="e">
        <x:f>HYPERLINK("https://belberrycrm.bitrix24.ru/crm/deal/details/11896/","https://belberrycrm.bitrix24.ru/crm/deal/details/11896/")</x:f>
      </x:c>
      <x:c r="D1286" t="str">
        <x:v>Реанимация</x:v>
      </x:c>
      <x:c r="E1286" t="str">
        <x:v>База для реанимации</x:v>
      </x:c>
      <x:c r="F1286" t="str">
        <x:v>Админ всея Belberry</x:v>
      </x:c>
      <x:c r="G1286" t="str">
        <x:v>нет</x:v>
      </x:c>
      <x:c r="H1286" t="str">
        <x:v>нет</x:v>
      </x:c>
    </x:row>
    <x:row r="1287">
      <x:c r="A1287" t="str">
        <x:v>11898</x:v>
      </x:c>
      <x:c r="B1287" t="str">
        <x:v>nucleoss.ru</x:v>
      </x:c>
      <x:c r="C1287" t="e">
        <x:f>HYPERLINK("https://belberrycrm.bitrix24.ru/crm/deal/details/11898/","https://belberrycrm.bitrix24.ru/crm/deal/details/11898/")</x:f>
      </x:c>
      <x:c r="D1287" t="str">
        <x:v>Реанимация</x:v>
      </x:c>
      <x:c r="E1287" t="str">
        <x:v>База для реанимации</x:v>
      </x:c>
      <x:c r="F1287" t="str">
        <x:v>Админ всея Belberry</x:v>
      </x:c>
      <x:c r="G1287" t="str">
        <x:v>нет</x:v>
      </x:c>
      <x:c r="H1287" t="str">
        <x:v>нет</x:v>
      </x:c>
    </x:row>
    <x:row r="1288">
      <x:c r="A1288" t="str">
        <x:v>11900</x:v>
      </x:c>
      <x:c r="B1288" t="str">
        <x:v>dr-green.ru</x:v>
      </x:c>
      <x:c r="C1288" t="e">
        <x:f>HYPERLINK("https://belberrycrm.bitrix24.ru/crm/deal/details/11900/","https://belberrycrm.bitrix24.ru/crm/deal/details/11900/")</x:f>
      </x:c>
      <x:c r="D1288" t="str">
        <x:v>Реанимация</x:v>
      </x:c>
      <x:c r="E1288" t="str">
        <x:v>База для реанимации</x:v>
      </x:c>
      <x:c r="F1288" t="str">
        <x:v>Админ всея Belberry</x:v>
      </x:c>
      <x:c r="G1288" t="str">
        <x:v>нет</x:v>
      </x:c>
      <x:c r="H1288" t="str">
        <x:v>нет</x:v>
      </x:c>
    </x:row>
    <x:row r="1289">
      <x:c r="A1289" t="str">
        <x:v>11916</x:v>
      </x:c>
      <x:c r="B1289" t="str">
        <x:v>mrt-diomag.ru</x:v>
      </x:c>
      <x:c r="C1289" t="e">
        <x:f>HYPERLINK("https://belberrycrm.bitrix24.ru/crm/deal/details/11916/","https://belberrycrm.bitrix24.ru/crm/deal/details/11916/")</x:f>
      </x:c>
      <x:c r="D1289" t="str">
        <x:v>Реанимация</x:v>
      </x:c>
      <x:c r="E1289" t="str">
        <x:v>База для реанимации</x:v>
      </x:c>
      <x:c r="F1289" t="str">
        <x:v>Админ всея Belberry</x:v>
      </x:c>
      <x:c r="G1289" t="str">
        <x:v>нет</x:v>
      </x:c>
      <x:c r="H1289" t="str">
        <x:v>нет</x:v>
      </x:c>
    </x:row>
    <x:row r="1290">
      <x:c r="A1290" t="str">
        <x:v>11920</x:v>
      </x:c>
      <x:c r="B1290" t="str">
        <x:v>rgnkc.ru</x:v>
      </x:c>
      <x:c r="C1290" t="e">
        <x:f>HYPERLINK("https://belberrycrm.bitrix24.ru/crm/deal/details/11920/","https://belberrycrm.bitrix24.ru/crm/deal/details/11920/")</x:f>
      </x:c>
      <x:c r="D1290" t="str">
        <x:v>Реанимация</x:v>
      </x:c>
      <x:c r="E1290" t="str">
        <x:v>База для реанимации</x:v>
      </x:c>
      <x:c r="F1290" t="str">
        <x:v>Админ всея Belberry</x:v>
      </x:c>
      <x:c r="G1290" t="str">
        <x:v>нет</x:v>
      </x:c>
      <x:c r="H1290" t="str">
        <x:v>нет</x:v>
      </x:c>
    </x:row>
    <x:row r="1291">
      <x:c r="A1291" t="str">
        <x:v>11924</x:v>
      </x:c>
      <x:c r="B1291" t="str">
        <x:v>akusherka.pro</x:v>
      </x:c>
      <x:c r="C1291" t="e">
        <x:f>HYPERLINK("https://belberrycrm.bitrix24.ru/crm/deal/details/11924/","https://belberrycrm.bitrix24.ru/crm/deal/details/11924/")</x:f>
      </x:c>
      <x:c r="D1291" t="str">
        <x:v>Реанимация</x:v>
      </x:c>
      <x:c r="E1291" t="str">
        <x:v>База для реанимации</x:v>
      </x:c>
      <x:c r="F1291" t="str">
        <x:v>Админ всея Belberry</x:v>
      </x:c>
      <x:c r="G1291" t="str">
        <x:v>нет</x:v>
      </x:c>
      <x:c r="H1291" t="str">
        <x:v>нет</x:v>
      </x:c>
    </x:row>
    <x:row r="1292">
      <x:c r="A1292" t="str">
        <x:v>11926</x:v>
      </x:c>
      <x:c r="B1292" t="str">
        <x:v>domyland.ru</x:v>
      </x:c>
      <x:c r="C1292" t="e">
        <x:f>HYPERLINK("https://belberrycrm.bitrix24.ru/crm/deal/details/11926/","https://belberrycrm.bitrix24.ru/crm/deal/details/11926/")</x:f>
      </x:c>
      <x:c r="D1292" t="str">
        <x:v>Реанимация</x:v>
      </x:c>
      <x:c r="E1292" t="str">
        <x:v>База для реанимации</x:v>
      </x:c>
      <x:c r="F1292" t="str">
        <x:v>Админ всея Belberry</x:v>
      </x:c>
      <x:c r="G1292" t="str">
        <x:v>нет</x:v>
      </x:c>
      <x:c r="H1292" t="str">
        <x:v>нет</x:v>
      </x:c>
    </x:row>
    <x:row r="1293">
      <x:c r="A1293" t="str">
        <x:v>11928</x:v>
      </x:c>
      <x:c r="B1293" t="str">
        <x:v>dentalcare.spb.ru</x:v>
      </x:c>
      <x:c r="C1293" t="e">
        <x:f>HYPERLINK("https://belberrycrm.bitrix24.ru/crm/deal/details/11928/","https://belberrycrm.bitrix24.ru/crm/deal/details/11928/")</x:f>
      </x:c>
      <x:c r="D1293" t="str">
        <x:v>Реанимация</x:v>
      </x:c>
      <x:c r="E1293" t="str">
        <x:v>База для реанимации</x:v>
      </x:c>
      <x:c r="F1293" t="str">
        <x:v>Админ всея Belberry</x:v>
      </x:c>
      <x:c r="G1293" t="str">
        <x:v>да</x:v>
      </x:c>
      <x:c r="H1293" t="str">
        <x:v>нет</x:v>
      </x:c>
    </x:row>
    <x:row r="1294">
      <x:c r="A1294" t="str">
        <x:v>11930</x:v>
      </x:c>
      <x:c r="B1294" t="str">
        <x:v>Игорь</x:v>
      </x:c>
      <x:c r="C1294" t="e">
        <x:f>HYPERLINK("https://belberrycrm.bitrix24.ru/crm/deal/details/11930/","https://belberrycrm.bitrix24.ru/crm/deal/details/11930/")</x:f>
      </x:c>
      <x:c r="D1294" t="str">
        <x:v>Реанимация</x:v>
      </x:c>
      <x:c r="E1294" t="str">
        <x:v>База для реанимации</x:v>
      </x:c>
      <x:c r="F1294" t="str">
        <x:v>Админ всея Belberry</x:v>
      </x:c>
      <x:c r="G1294" t="str">
        <x:v>нет</x:v>
      </x:c>
      <x:c r="H1294" t="str">
        <x:v>нет</x:v>
      </x:c>
    </x:row>
    <x:row r="1295">
      <x:c r="A1295" t="str">
        <x:v>11932</x:v>
      </x:c>
      <x:c r="B1295" t="str">
        <x:v>alcoclinic.ru</x:v>
      </x:c>
      <x:c r="C1295" t="e">
        <x:f>HYPERLINK("https://belberrycrm.bitrix24.ru/crm/deal/details/11932/","https://belberrycrm.bitrix24.ru/crm/deal/details/11932/")</x:f>
      </x:c>
      <x:c r="D1295" t="str">
        <x:v>Реанимация</x:v>
      </x:c>
      <x:c r="E1295" t="str">
        <x:v>База для реанимации</x:v>
      </x:c>
      <x:c r="F1295" t="str">
        <x:v>Админ всея Belberry</x:v>
      </x:c>
      <x:c r="G1295" t="str">
        <x:v>нет</x:v>
      </x:c>
      <x:c r="H1295" t="str">
        <x:v>нет</x:v>
      </x:c>
    </x:row>
    <x:row r="1296">
      <x:c r="A1296" t="str">
        <x:v>11934</x:v>
      </x:c>
      <x:c r="B1296" t="str">
        <x:v>glaza63.ru</x:v>
      </x:c>
      <x:c r="C1296" t="e">
        <x:f>HYPERLINK("https://belberrycrm.bitrix24.ru/crm/deal/details/11934/","https://belberrycrm.bitrix24.ru/crm/deal/details/11934/")</x:f>
      </x:c>
      <x:c r="D1296" t="str">
        <x:v>Реанимация</x:v>
      </x:c>
      <x:c r="E1296" t="str">
        <x:v>База для реанимации</x:v>
      </x:c>
      <x:c r="F1296" t="str">
        <x:v>Админ всея Belberry</x:v>
      </x:c>
      <x:c r="G1296" t="str">
        <x:v>нет</x:v>
      </x:c>
      <x:c r="H1296" t="str">
        <x:v>нет</x:v>
      </x:c>
    </x:row>
    <x:row r="1297">
      <x:c r="A1297" t="str">
        <x:v>11936</x:v>
      </x:c>
      <x:c r="B1297" t="str">
        <x:v>sun-clinic.ru</x:v>
      </x:c>
      <x:c r="C1297" t="e">
        <x:f>HYPERLINK("https://belberrycrm.bitrix24.ru/crm/deal/details/11936/","https://belberrycrm.bitrix24.ru/crm/deal/details/11936/")</x:f>
      </x:c>
      <x:c r="D1297" t="str">
        <x:v>Реанимация</x:v>
      </x:c>
      <x:c r="E1297" t="str">
        <x:v>База для реанимации</x:v>
      </x:c>
      <x:c r="F1297" t="str">
        <x:v>Админ всея Belberry</x:v>
      </x:c>
      <x:c r="G1297" t="str">
        <x:v>нет</x:v>
      </x:c>
      <x:c r="H1297" t="str">
        <x:v>нет</x:v>
      </x:c>
    </x:row>
    <x:row r="1298">
      <x:c r="A1298" t="str">
        <x:v>11938</x:v>
      </x:c>
      <x:c r="B1298" t="str">
        <x:v>medicalclub.ru</x:v>
      </x:c>
      <x:c r="C1298" t="e">
        <x:f>HYPERLINK("https://belberrycrm.bitrix24.ru/crm/deal/details/11938/","https://belberrycrm.bitrix24.ru/crm/deal/details/11938/")</x:f>
      </x:c>
      <x:c r="D1298" t="str">
        <x:v>Реанимация</x:v>
      </x:c>
      <x:c r="E1298" t="str">
        <x:v>База для реанимации</x:v>
      </x:c>
      <x:c r="F1298" t="str">
        <x:v>Админ всея Belberry</x:v>
      </x:c>
      <x:c r="G1298" t="str">
        <x:v>нет</x:v>
      </x:c>
      <x:c r="H1298" t="str">
        <x:v>нет</x:v>
      </x:c>
    </x:row>
    <x:row r="1299">
      <x:c r="A1299" t="str">
        <x:v>11944</x:v>
      </x:c>
      <x:c r="B1299" t="str">
        <x:v>net-alko.ru</x:v>
      </x:c>
      <x:c r="C1299" t="e">
        <x:f>HYPERLINK("https://belberrycrm.bitrix24.ru/crm/deal/details/11944/","https://belberrycrm.bitrix24.ru/crm/deal/details/11944/")</x:f>
      </x:c>
      <x:c r="D1299" t="str">
        <x:v>Реанимация</x:v>
      </x:c>
      <x:c r="E1299" t="str">
        <x:v>База для реанимации</x:v>
      </x:c>
      <x:c r="F1299" t="str">
        <x:v>Админ всея Belberry</x:v>
      </x:c>
      <x:c r="G1299" t="str">
        <x:v>нет</x:v>
      </x:c>
      <x:c r="H1299" t="str">
        <x:v>нет</x:v>
      </x:c>
    </x:row>
    <x:row r="1300">
      <x:c r="A1300" t="str">
        <x:v>11952</x:v>
      </x:c>
      <x:c r="B1300" t="str">
        <x:v>Анастасия</x:v>
      </x:c>
      <x:c r="C1300" t="e">
        <x:f>HYPERLINK("https://belberrycrm.bitrix24.ru/crm/deal/details/11952/","https://belberrycrm.bitrix24.ru/crm/deal/details/11952/")</x:f>
      </x:c>
      <x:c r="D1300" t="str">
        <x:v>Реанимация</x:v>
      </x:c>
      <x:c r="E1300" t="str">
        <x:v>База для реанимации</x:v>
      </x:c>
      <x:c r="F1300" t="str">
        <x:v>Админ всея Belberry</x:v>
      </x:c>
      <x:c r="G1300" t="str">
        <x:v>нет</x:v>
      </x:c>
      <x:c r="H1300" t="str">
        <x:v>нет</x:v>
      </x:c>
    </x:row>
    <x:row r="1301">
      <x:c r="A1301" t="str">
        <x:v>11956</x:v>
      </x:c>
      <x:c r="B1301" t="str">
        <x:v>Галина</x:v>
      </x:c>
      <x:c r="C1301" t="e">
        <x:f>HYPERLINK("https://belberrycrm.bitrix24.ru/crm/deal/details/11956/","https://belberrycrm.bitrix24.ru/crm/deal/details/11956/")</x:f>
      </x:c>
      <x:c r="D1301" t="str">
        <x:v>Реанимация</x:v>
      </x:c>
      <x:c r="E1301" t="str">
        <x:v>База для реанимации</x:v>
      </x:c>
      <x:c r="F1301" t="str">
        <x:v>Админ всея Belberry</x:v>
      </x:c>
      <x:c r="G1301" t="str">
        <x:v>нет</x:v>
      </x:c>
      <x:c r="H1301" t="str">
        <x:v>нет</x:v>
      </x:c>
    </x:row>
    <x:row r="1302">
      <x:c r="A1302" t="str">
        <x:v>11964</x:v>
      </x:c>
      <x:c r="B1302" t="str">
        <x:v>nolplus.ru</x:v>
      </x:c>
      <x:c r="C1302" t="e">
        <x:f>HYPERLINK("https://belberrycrm.bitrix24.ru/crm/deal/details/11964/","https://belberrycrm.bitrix24.ru/crm/deal/details/11964/")</x:f>
      </x:c>
      <x:c r="D1302" t="str">
        <x:v>Реанимация</x:v>
      </x:c>
      <x:c r="E1302" t="str">
        <x:v>База для реанимации</x:v>
      </x:c>
      <x:c r="F1302" t="str">
        <x:v>Админ всея Belberry</x:v>
      </x:c>
      <x:c r="G1302" t="str">
        <x:v>нет</x:v>
      </x:c>
      <x:c r="H1302" t="str">
        <x:v>нет</x:v>
      </x:c>
    </x:row>
    <x:row r="1303">
      <x:c r="A1303" t="str">
        <x:v>11968</x:v>
      </x:c>
      <x:c r="B1303" t="str">
        <x:v>evrovetonline.ru</x:v>
      </x:c>
      <x:c r="C1303" t="e">
        <x:f>HYPERLINK("https://belberrycrm.bitrix24.ru/crm/deal/details/11968/","https://belberrycrm.bitrix24.ru/crm/deal/details/11968/")</x:f>
      </x:c>
      <x:c r="D1303" t="str">
        <x:v>Реанимация</x:v>
      </x:c>
      <x:c r="E1303" t="str">
        <x:v>База для реанимации</x:v>
      </x:c>
      <x:c r="F1303" t="str">
        <x:v>Админ всея Belberry</x:v>
      </x:c>
      <x:c r="G1303" t="str">
        <x:v>нет</x:v>
      </x:c>
      <x:c r="H1303" t="str">
        <x:v>нет</x:v>
      </x:c>
    </x:row>
    <x:row r="1304">
      <x:c r="A1304" t="str">
        <x:v>11980</x:v>
      </x:c>
      <x:c r="B1304" t="str">
        <x:v>cmd-online.ru</x:v>
      </x:c>
      <x:c r="C1304" t="e">
        <x:f>HYPERLINK("https://belberrycrm.bitrix24.ru/crm/deal/details/11980/","https://belberrycrm.bitrix24.ru/crm/deal/details/11980/")</x:f>
      </x:c>
      <x:c r="D1304" t="str">
        <x:v>Реанимация</x:v>
      </x:c>
      <x:c r="E1304" t="str">
        <x:v>База для реанимации</x:v>
      </x:c>
      <x:c r="F1304" t="str">
        <x:v>Админ всея Belberry</x:v>
      </x:c>
      <x:c r="G1304" t="str">
        <x:v>нет</x:v>
      </x:c>
      <x:c r="H1304" t="str">
        <x:v>нет</x:v>
      </x:c>
    </x:row>
    <x:row r="1305">
      <x:c r="A1305" t="str">
        <x:v>11986</x:v>
      </x:c>
      <x:c r="B1305" t="str">
        <x:v>Скухторов Андрей Андреевич</x:v>
      </x:c>
      <x:c r="C1305" t="e">
        <x:f>HYPERLINK("https://belberrycrm.bitrix24.ru/crm/deal/details/11986/","https://belberrycrm.bitrix24.ru/crm/deal/details/11986/")</x:f>
      </x:c>
      <x:c r="D1305" t="str">
        <x:v>Реанимация</x:v>
      </x:c>
      <x:c r="E1305" t="str">
        <x:v>База для реанимации</x:v>
      </x:c>
      <x:c r="F1305" t="str">
        <x:v>Админ всея Belberry</x:v>
      </x:c>
      <x:c r="G1305" t="str">
        <x:v>нет</x:v>
      </x:c>
      <x:c r="H1305" t="str">
        <x:v>нет</x:v>
      </x:c>
    </x:row>
    <x:row r="1306">
      <x:c r="A1306" t="str">
        <x:v>11992</x:v>
      </x:c>
      <x:c r="B1306" t="str">
        <x:v>Анастасия Репина</x:v>
      </x:c>
      <x:c r="C1306" t="e">
        <x:f>HYPERLINK("https://belberrycrm.bitrix24.ru/crm/deal/details/11992/","https://belberrycrm.bitrix24.ru/crm/deal/details/11992/")</x:f>
      </x:c>
      <x:c r="D1306" t="str">
        <x:v>Реанимация</x:v>
      </x:c>
      <x:c r="E1306" t="str">
        <x:v>База для реанимации</x:v>
      </x:c>
      <x:c r="F1306" t="str">
        <x:v>Админ всея Belberry</x:v>
      </x:c>
      <x:c r="G1306" t="str">
        <x:v>да</x:v>
      </x:c>
      <x:c r="H1306" t="str">
        <x:v>нет</x:v>
      </x:c>
    </x:row>
    <x:row r="1307">
      <x:c r="A1307" t="str">
        <x:v>11998</x:v>
      </x:c>
      <x:c r="B1307" t="str">
        <x:v>Антон Корс</x:v>
      </x:c>
      <x:c r="C1307" t="e">
        <x:f>HYPERLINK("https://belberrycrm.bitrix24.ru/crm/deal/details/11998/","https://belberrycrm.bitrix24.ru/crm/deal/details/11998/")</x:f>
      </x:c>
      <x:c r="D1307" t="str">
        <x:v>Реанимация</x:v>
      </x:c>
      <x:c r="E1307" t="str">
        <x:v>База для реанимации</x:v>
      </x:c>
      <x:c r="F1307" t="str">
        <x:v>Админ всея Belberry</x:v>
      </x:c>
      <x:c r="G1307" t="str">
        <x:v>нет</x:v>
      </x:c>
      <x:c r="H1307" t="str">
        <x:v>нет</x:v>
      </x:c>
    </x:row>
    <x:row r="1308">
      <x:c r="A1308" t="str">
        <x:v>12000</x:v>
      </x:c>
      <x:c r="B1308" t="str">
        <x:v>1megastyle.ru</x:v>
      </x:c>
      <x:c r="C1308" t="e">
        <x:f>HYPERLINK("https://belberrycrm.bitrix24.ru/crm/deal/details/12000/","https://belberrycrm.bitrix24.ru/crm/deal/details/12000/")</x:f>
      </x:c>
      <x:c r="D1308" t="str">
        <x:v>Реанимация</x:v>
      </x:c>
      <x:c r="E1308" t="str">
        <x:v>База для реанимации</x:v>
      </x:c>
      <x:c r="F1308" t="str">
        <x:v>Админ всея Belberry</x:v>
      </x:c>
      <x:c r="G1308" t="str">
        <x:v>нет</x:v>
      </x:c>
      <x:c r="H1308" t="str">
        <x:v>нет</x:v>
      </x:c>
    </x:row>
    <x:row r="1309">
      <x:c r="A1309" t="str">
        <x:v>12006</x:v>
      </x:c>
      <x:c r="B1309" t="str">
        <x:v>fnkc.ru</x:v>
      </x:c>
      <x:c r="C1309" t="e">
        <x:f>HYPERLINK("https://belberrycrm.bitrix24.ru/crm/deal/details/12006/","https://belberrycrm.bitrix24.ru/crm/deal/details/12006/")</x:f>
      </x:c>
      <x:c r="D1309" t="str">
        <x:v>Реанимация</x:v>
      </x:c>
      <x:c r="E1309" t="str">
        <x:v>База для реанимации</x:v>
      </x:c>
      <x:c r="F1309" t="str">
        <x:v>Админ всея Belberry</x:v>
      </x:c>
      <x:c r="G1309" t="str">
        <x:v>нет</x:v>
      </x:c>
      <x:c r="H1309" t="str">
        <x:v>нет</x:v>
      </x:c>
    </x:row>
    <x:row r="1310">
      <x:c r="A1310" t="str">
        <x:v>12008</x:v>
      </x:c>
      <x:c r="B1310" t="str">
        <x:v>Косяков Сергей Яковлевич</x:v>
      </x:c>
      <x:c r="C1310" t="e">
        <x:f>HYPERLINK("https://belberrycrm.bitrix24.ru/crm/deal/details/12008/","https://belberrycrm.bitrix24.ru/crm/deal/details/12008/")</x:f>
      </x:c>
      <x:c r="D1310" t="str">
        <x:v>Реанимация</x:v>
      </x:c>
      <x:c r="E1310" t="str">
        <x:v>База для реанимации</x:v>
      </x:c>
      <x:c r="F1310" t="str">
        <x:v>Админ всея Belberry</x:v>
      </x:c>
      <x:c r="G1310" t="str">
        <x:v>да</x:v>
      </x:c>
      <x:c r="H1310" t="str">
        <x:v>нет</x:v>
      </x:c>
    </x:row>
    <x:row r="1311">
      <x:c r="A1311" t="str">
        <x:v>12010</x:v>
      </x:c>
      <x:c r="B1311" t="str">
        <x:v>akvarelmsk.ru</x:v>
      </x:c>
      <x:c r="C1311" t="e">
        <x:f>HYPERLINK("https://belberrycrm.bitrix24.ru/crm/deal/details/12010/","https://belberrycrm.bitrix24.ru/crm/deal/details/12010/")</x:f>
      </x:c>
      <x:c r="D1311" t="str">
        <x:v>Реанимация</x:v>
      </x:c>
      <x:c r="E1311" t="str">
        <x:v>База для реанимации</x:v>
      </x:c>
      <x:c r="F1311" t="str">
        <x:v>Админ всея Belberry</x:v>
      </x:c>
      <x:c r="G1311" t="str">
        <x:v>нет</x:v>
      </x:c>
      <x:c r="H1311" t="str">
        <x:v>нет</x:v>
      </x:c>
    </x:row>
    <x:row r="1312">
      <x:c r="A1312" t="str">
        <x:v>12012</x:v>
      </x:c>
      <x:c r="B1312" t="str">
        <x:v>Жанна</x:v>
      </x:c>
      <x:c r="C1312" t="e">
        <x:f>HYPERLINK("https://belberrycrm.bitrix24.ru/crm/deal/details/12012/","https://belberrycrm.bitrix24.ru/crm/deal/details/12012/")</x:f>
      </x:c>
      <x:c r="D1312" t="str">
        <x:v>Реанимация</x:v>
      </x:c>
      <x:c r="E1312" t="str">
        <x:v>База для реанимации</x:v>
      </x:c>
      <x:c r="F1312" t="str">
        <x:v>Админ всея Belberry</x:v>
      </x:c>
      <x:c r="G1312" t="str">
        <x:v>нет</x:v>
      </x:c>
      <x:c r="H1312" t="str">
        <x:v>нет</x:v>
      </x:c>
    </x:row>
    <x:row r="1313">
      <x:c r="A1313" t="str">
        <x:v>12016</x:v>
      </x:c>
      <x:c r="B1313" t="str">
        <x:v>doctorvdom.ru</x:v>
      </x:c>
      <x:c r="C1313" t="e">
        <x:f>HYPERLINK("https://belberrycrm.bitrix24.ru/crm/deal/details/12016/","https://belberrycrm.bitrix24.ru/crm/deal/details/12016/")</x:f>
      </x:c>
      <x:c r="D1313" t="str">
        <x:v>Реанимация</x:v>
      </x:c>
      <x:c r="E1313" t="str">
        <x:v>База для реанимации</x:v>
      </x:c>
      <x:c r="F1313" t="str">
        <x:v>Админ всея Belberry</x:v>
      </x:c>
      <x:c r="G1313" t="str">
        <x:v>нет</x:v>
      </x:c>
      <x:c r="H1313" t="str">
        <x:v>нет</x:v>
      </x:c>
    </x:row>
    <x:row r="1314">
      <x:c r="A1314" t="str">
        <x:v>12020</x:v>
      </x:c>
      <x:c r="B1314" t="str">
        <x:v>jemchug2003.ru</x:v>
      </x:c>
      <x:c r="C1314" t="e">
        <x:f>HYPERLINK("https://belberrycrm.bitrix24.ru/crm/deal/details/12020/","https://belberrycrm.bitrix24.ru/crm/deal/details/12020/")</x:f>
      </x:c>
      <x:c r="D1314" t="str">
        <x:v>Реанимация</x:v>
      </x:c>
      <x:c r="E1314" t="str">
        <x:v>База для реанимации</x:v>
      </x:c>
      <x:c r="F1314" t="str">
        <x:v>Админ всея Belberry</x:v>
      </x:c>
      <x:c r="G1314" t="str">
        <x:v>нет</x:v>
      </x:c>
      <x:c r="H1314" t="str">
        <x:v>нет</x:v>
      </x:c>
    </x:row>
    <x:row r="1315">
      <x:c r="A1315" t="str">
        <x:v>12022</x:v>
      </x:c>
      <x:c r="B1315" t="str">
        <x:v>Александр Николаевич Хван</x:v>
      </x:c>
      <x:c r="C1315" t="e">
        <x:f>HYPERLINK("https://belberrycrm.bitrix24.ru/crm/deal/details/12022/","https://belberrycrm.bitrix24.ru/crm/deal/details/12022/")</x:f>
      </x:c>
      <x:c r="D1315" t="str">
        <x:v>Реанимация</x:v>
      </x:c>
      <x:c r="E1315" t="str">
        <x:v>База для реанимации</x:v>
      </x:c>
      <x:c r="F1315" t="str">
        <x:v>Админ всея Belberry</x:v>
      </x:c>
      <x:c r="G1315" t="str">
        <x:v>да</x:v>
      </x:c>
      <x:c r="H1315" t="str">
        <x:v>нет</x:v>
      </x:c>
    </x:row>
    <x:row r="1316">
      <x:c r="A1316" t="str">
        <x:v>12026</x:v>
      </x:c>
      <x:c r="B1316" t="str">
        <x:v>Эстетика</x:v>
      </x:c>
      <x:c r="C1316" t="e">
        <x:f>HYPERLINK("https://belberrycrm.bitrix24.ru/crm/deal/details/12026/","https://belberrycrm.bitrix24.ru/crm/deal/details/12026/")</x:f>
      </x:c>
      <x:c r="D1316" t="str">
        <x:v>Реанимация</x:v>
      </x:c>
      <x:c r="E1316" t="str">
        <x:v>База для реанимации</x:v>
      </x:c>
      <x:c r="F1316" t="str">
        <x:v>Админ всея Belberry</x:v>
      </x:c>
      <x:c r="G1316" t="str">
        <x:v>нет</x:v>
      </x:c>
      <x:c r="H1316" t="str">
        <x:v>нет</x:v>
      </x:c>
    </x:row>
    <x:row r="1317">
      <x:c r="A1317" t="str">
        <x:v>12030</x:v>
      </x:c>
      <x:c r="B1317" t="str">
        <x:v>sporttravma.org</x:v>
      </x:c>
      <x:c r="C1317" t="e">
        <x:f>HYPERLINK("https://belberrycrm.bitrix24.ru/crm/deal/details/12030/","https://belberrycrm.bitrix24.ru/crm/deal/details/12030/")</x:f>
      </x:c>
      <x:c r="D1317" t="str">
        <x:v>Реанимация</x:v>
      </x:c>
      <x:c r="E1317" t="str">
        <x:v>База для реанимации</x:v>
      </x:c>
      <x:c r="F1317" t="str">
        <x:v>Админ всея Belberry</x:v>
      </x:c>
      <x:c r="G1317" t="str">
        <x:v>да</x:v>
      </x:c>
      <x:c r="H1317" t="str">
        <x:v>нет</x:v>
      </x:c>
    </x:row>
    <x:row r="1318">
      <x:c r="A1318" t="str">
        <x:v>12034</x:v>
      </x:c>
      <x:c r="B1318" t="str">
        <x:v>@beautyskin.top</x:v>
      </x:c>
      <x:c r="C1318" t="e">
        <x:f>HYPERLINK("https://belberrycrm.bitrix24.ru/crm/deal/details/12034/","https://belberrycrm.bitrix24.ru/crm/deal/details/12034/")</x:f>
      </x:c>
      <x:c r="D1318" t="str">
        <x:v>Реанимация</x:v>
      </x:c>
      <x:c r="E1318" t="str">
        <x:v>База для реанимации</x:v>
      </x:c>
      <x:c r="F1318" t="str">
        <x:v>Админ всея Belberry</x:v>
      </x:c>
      <x:c r="G1318" t="str">
        <x:v>нет</x:v>
      </x:c>
      <x:c r="H1318" t="str">
        <x:v>нет</x:v>
      </x:c>
    </x:row>
    <x:row r="1319">
      <x:c r="A1319" t="str">
        <x:v>12038</x:v>
      </x:c>
      <x:c r="B1319" t="str">
        <x:v>stom03.ru</x:v>
      </x:c>
      <x:c r="C1319" t="e">
        <x:f>HYPERLINK("https://belberrycrm.bitrix24.ru/crm/deal/details/12038/","https://belberrycrm.bitrix24.ru/crm/deal/details/12038/")</x:f>
      </x:c>
      <x:c r="D1319" t="str">
        <x:v>Реанимация</x:v>
      </x:c>
      <x:c r="E1319" t="str">
        <x:v>База для реанимации</x:v>
      </x:c>
      <x:c r="F1319" t="str">
        <x:v>Админ всея Belberry</x:v>
      </x:c>
      <x:c r="G1319" t="str">
        <x:v>нет</x:v>
      </x:c>
      <x:c r="H1319" t="str">
        <x:v>нет</x:v>
      </x:c>
    </x:row>
    <x:row r="1320">
      <x:c r="A1320" t="str">
        <x:v>12040</x:v>
      </x:c>
      <x:c r="B1320" t="str">
        <x:v>Анастасия</x:v>
      </x:c>
      <x:c r="C1320" t="e">
        <x:f>HYPERLINK("https://belberrycrm.bitrix24.ru/crm/deal/details/12040/","https://belberrycrm.bitrix24.ru/crm/deal/details/12040/")</x:f>
      </x:c>
      <x:c r="D1320" t="str">
        <x:v>Реанимация</x:v>
      </x:c>
      <x:c r="E1320" t="str">
        <x:v>База для реанимации</x:v>
      </x:c>
      <x:c r="F1320" t="str">
        <x:v>Админ всея Belberry</x:v>
      </x:c>
      <x:c r="G1320" t="str">
        <x:v>да</x:v>
      </x:c>
      <x:c r="H1320" t="str">
        <x:v>нет</x:v>
      </x:c>
    </x:row>
    <x:row r="1321">
      <x:c r="A1321" t="str">
        <x:v>12042</x:v>
      </x:c>
      <x:c r="B1321" t="str">
        <x:v>nur-03.ru</x:v>
      </x:c>
      <x:c r="C1321" t="e">
        <x:f>HYPERLINK("https://belberrycrm.bitrix24.ru/crm/deal/details/12042/","https://belberrycrm.bitrix24.ru/crm/deal/details/12042/")</x:f>
      </x:c>
      <x:c r="D1321" t="str">
        <x:v>Реанимация</x:v>
      </x:c>
      <x:c r="E1321" t="str">
        <x:v>База для реанимации</x:v>
      </x:c>
      <x:c r="F1321" t="str">
        <x:v>Админ всея Belberry</x:v>
      </x:c>
      <x:c r="G1321" t="str">
        <x:v>нет</x:v>
      </x:c>
      <x:c r="H1321" t="str">
        <x:v>нет</x:v>
      </x:c>
    </x:row>
    <x:row r="1322">
      <x:c r="A1322" t="str">
        <x:v>12048</x:v>
      </x:c>
      <x:c r="B1322" t="str">
        <x:v>Елена Альтшулер</x:v>
      </x:c>
      <x:c r="C1322" t="e">
        <x:f>HYPERLINK("https://belberrycrm.bitrix24.ru/crm/deal/details/12048/","https://belberrycrm.bitrix24.ru/crm/deal/details/12048/")</x:f>
      </x:c>
      <x:c r="D1322" t="str">
        <x:v>Реанимация</x:v>
      </x:c>
      <x:c r="E1322" t="str">
        <x:v>База для реанимации</x:v>
      </x:c>
      <x:c r="F1322" t="str">
        <x:v>Админ всея Belberry</x:v>
      </x:c>
      <x:c r="G1322" t="str">
        <x:v>нет</x:v>
      </x:c>
      <x:c r="H1322" t="str">
        <x:v>нет</x:v>
      </x:c>
    </x:row>
    <x:row r="1323">
      <x:c r="A1323" t="str">
        <x:v>12050</x:v>
      </x:c>
      <x:c r="B1323" t="str">
        <x:v>@tcachnatalya</x:v>
      </x:c>
      <x:c r="C1323" t="e">
        <x:f>HYPERLINK("https://belberrycrm.bitrix24.ru/crm/deal/details/12050/","https://belberrycrm.bitrix24.ru/crm/deal/details/12050/")</x:f>
      </x:c>
      <x:c r="D1323" t="str">
        <x:v>Реанимация</x:v>
      </x:c>
      <x:c r="E1323" t="str">
        <x:v>База для реанимации</x:v>
      </x:c>
      <x:c r="F1323" t="str">
        <x:v>Админ всея Belberry</x:v>
      </x:c>
      <x:c r="G1323" t="str">
        <x:v>нет</x:v>
      </x:c>
      <x:c r="H1323" t="str">
        <x:v>нет</x:v>
      </x:c>
    </x:row>
    <x:row r="1324">
      <x:c r="A1324" t="str">
        <x:v>12056</x:v>
      </x:c>
      <x:c r="B1324" t="str">
        <x:v>Амина</x:v>
      </x:c>
      <x:c r="C1324" t="e">
        <x:f>HYPERLINK("https://belberrycrm.bitrix24.ru/crm/deal/details/12056/","https://belberrycrm.bitrix24.ru/crm/deal/details/12056/")</x:f>
      </x:c>
      <x:c r="D1324" t="str">
        <x:v>Реанимация</x:v>
      </x:c>
      <x:c r="E1324" t="str">
        <x:v>База для реанимации</x:v>
      </x:c>
      <x:c r="F1324" t="str">
        <x:v>Админ всея Belberry</x:v>
      </x:c>
      <x:c r="G1324" t="str">
        <x:v>нет</x:v>
      </x:c>
      <x:c r="H1324" t="str">
        <x:v>нет</x:v>
      </x:c>
    </x:row>
    <x:row r="1325">
      <x:c r="A1325" t="str">
        <x:v>12064</x:v>
      </x:c>
      <x:c r="B1325" t="str">
        <x:v>estetclinic.ru</x:v>
      </x:c>
      <x:c r="C1325" t="e">
        <x:f>HYPERLINK("https://belberrycrm.bitrix24.ru/crm/deal/details/12064/","https://belberrycrm.bitrix24.ru/crm/deal/details/12064/")</x:f>
      </x:c>
      <x:c r="D1325" t="str">
        <x:v>Реанимация</x:v>
      </x:c>
      <x:c r="E1325" t="str">
        <x:v>База для реанимации</x:v>
      </x:c>
      <x:c r="F1325" t="str">
        <x:v>Админ всея Belberry</x:v>
      </x:c>
      <x:c r="G1325" t="str">
        <x:v>нет</x:v>
      </x:c>
      <x:c r="H1325" t="str">
        <x:v>нет</x:v>
      </x:c>
    </x:row>
    <x:row r="1326">
      <x:c r="A1326" t="str">
        <x:v>12072</x:v>
      </x:c>
      <x:c r="B1326" t="str">
        <x:v>Анна Макарова</x:v>
      </x:c>
      <x:c r="C1326" t="e">
        <x:f>HYPERLINK("https://belberrycrm.bitrix24.ru/crm/deal/details/12072/","https://belberrycrm.bitrix24.ru/crm/deal/details/12072/")</x:f>
      </x:c>
      <x:c r="D1326" t="str">
        <x:v>Реанимация</x:v>
      </x:c>
      <x:c r="E1326" t="str">
        <x:v>База для реанимации</x:v>
      </x:c>
      <x:c r="F1326" t="str">
        <x:v>Админ всея Belberry</x:v>
      </x:c>
      <x:c r="G1326" t="str">
        <x:v>нет</x:v>
      </x:c>
      <x:c r="H1326" t="str">
        <x:v>нет</x:v>
      </x:c>
    </x:row>
    <x:row r="1327">
      <x:c r="A1327" t="str">
        <x:v>12074</x:v>
      </x:c>
      <x:c r="B1327" t="str">
        <x:v>Фатимедикал</x:v>
      </x:c>
      <x:c r="C1327" t="e">
        <x:f>HYPERLINK("https://belberrycrm.bitrix24.ru/crm/deal/details/12074/","https://belberrycrm.bitrix24.ru/crm/deal/details/12074/")</x:f>
      </x:c>
      <x:c r="D1327" t="str">
        <x:v>Реанимация</x:v>
      </x:c>
      <x:c r="E1327" t="str">
        <x:v>База для реанимации</x:v>
      </x:c>
      <x:c r="F1327" t="str">
        <x:v>Админ всея Belberry</x:v>
      </x:c>
      <x:c r="G1327" t="str">
        <x:v>нет</x:v>
      </x:c>
      <x:c r="H1327" t="str">
        <x:v>нет</x:v>
      </x:c>
    </x:row>
    <x:row r="1328">
      <x:c r="A1328" t="str">
        <x:v>12078</x:v>
      </x:c>
      <x:c r="B1328" t="str">
        <x:v>vitamax-moscow.ru</x:v>
      </x:c>
      <x:c r="C1328" t="e">
        <x:f>HYPERLINK("https://belberrycrm.bitrix24.ru/crm/deal/details/12078/","https://belberrycrm.bitrix24.ru/crm/deal/details/12078/")</x:f>
      </x:c>
      <x:c r="D1328" t="str">
        <x:v>Реанимация</x:v>
      </x:c>
      <x:c r="E1328" t="str">
        <x:v>База для реанимации</x:v>
      </x:c>
      <x:c r="F1328" t="str">
        <x:v>Админ всея Belberry</x:v>
      </x:c>
      <x:c r="G1328" t="str">
        <x:v>нет</x:v>
      </x:c>
      <x:c r="H1328" t="str">
        <x:v>нет</x:v>
      </x:c>
    </x:row>
    <x:row r="1329">
      <x:c r="A1329" t="str">
        <x:v>12084</x:v>
      </x:c>
      <x:c r="B1329" t="str">
        <x:v>artemida-med.ru</x:v>
      </x:c>
      <x:c r="C1329" t="e">
        <x:f>HYPERLINK("https://belberrycrm.bitrix24.ru/crm/deal/details/12084/","https://belberrycrm.bitrix24.ru/crm/deal/details/12084/")</x:f>
      </x:c>
      <x:c r="D1329" t="str">
        <x:v>Реанимация</x:v>
      </x:c>
      <x:c r="E1329" t="str">
        <x:v>База для реанимации</x:v>
      </x:c>
      <x:c r="F1329" t="str">
        <x:v>Админ всея Belberry</x:v>
      </x:c>
      <x:c r="G1329" t="str">
        <x:v>нет</x:v>
      </x:c>
      <x:c r="H1329" t="str">
        <x:v>нет</x:v>
      </x:c>
    </x:row>
    <x:row r="1330">
      <x:c r="A1330" t="str">
        <x:v>12086</x:v>
      </x:c>
      <x:c r="B1330" t="str">
        <x:v>homeoptikaoculus.ru</x:v>
      </x:c>
      <x:c r="C1330" t="e">
        <x:f>HYPERLINK("https://belberrycrm.bitrix24.ru/crm/deal/details/12086/","https://belberrycrm.bitrix24.ru/crm/deal/details/12086/")</x:f>
      </x:c>
      <x:c r="D1330" t="str">
        <x:v>Реанимация</x:v>
      </x:c>
      <x:c r="E1330" t="str">
        <x:v>База для реанимации</x:v>
      </x:c>
      <x:c r="F1330" t="str">
        <x:v>Админ всея Belberry</x:v>
      </x:c>
      <x:c r="G1330" t="str">
        <x:v>нет</x:v>
      </x:c>
      <x:c r="H1330" t="str">
        <x:v>нет</x:v>
      </x:c>
    </x:row>
    <x:row r="1331">
      <x:c r="A1331" t="str">
        <x:v>12094</x:v>
      </x:c>
      <x:c r="B1331" t="str">
        <x:v>mogvv.ru</x:v>
      </x:c>
      <x:c r="C1331" t="e">
        <x:f>HYPERLINK("https://belberrycrm.bitrix24.ru/crm/deal/details/12094/","https://belberrycrm.bitrix24.ru/crm/deal/details/12094/")</x:f>
      </x:c>
      <x:c r="D1331" t="str">
        <x:v>Реанимация</x:v>
      </x:c>
      <x:c r="E1331" t="str">
        <x:v>База для реанимации</x:v>
      </x:c>
      <x:c r="F1331" t="str">
        <x:v>Админ всея Belberry</x:v>
      </x:c>
      <x:c r="G1331" t="str">
        <x:v>нет</x:v>
      </x:c>
      <x:c r="H1331" t="str">
        <x:v>нет</x:v>
      </x:c>
    </x:row>
    <x:row r="1332">
      <x:c r="A1332" t="str">
        <x:v>12098</x:v>
      </x:c>
      <x:c r="B1332" t="str">
        <x:v>Стоматология Возрождение на Лесной улице в Королёве</x:v>
      </x:c>
      <x:c r="C1332" t="e">
        <x:f>HYPERLINK("https://belberrycrm.bitrix24.ru/crm/deal/details/12098/","https://belberrycrm.bitrix24.ru/crm/deal/details/12098/")</x:f>
      </x:c>
      <x:c r="D1332" t="str">
        <x:v>Реанимация</x:v>
      </x:c>
      <x:c r="E1332" t="str">
        <x:v>База для реанимации</x:v>
      </x:c>
      <x:c r="F1332" t="str">
        <x:v>Админ всея Belberry</x:v>
      </x:c>
      <x:c r="G1332" t="str">
        <x:v>нет</x:v>
      </x:c>
      <x:c r="H1332" t="str">
        <x:v>нет</x:v>
      </x:c>
    </x:row>
    <x:row r="1333">
      <x:c r="A1333" t="str">
        <x:v>12102</x:v>
      </x:c>
      <x:c r="B1333" t="str">
        <x:v>epihelp.center</x:v>
      </x:c>
      <x:c r="C1333" t="e">
        <x:f>HYPERLINK("https://belberrycrm.bitrix24.ru/crm/deal/details/12102/","https://belberrycrm.bitrix24.ru/crm/deal/details/12102/")</x:f>
      </x:c>
      <x:c r="D1333" t="str">
        <x:v>Реанимация</x:v>
      </x:c>
      <x:c r="E1333" t="str">
        <x:v>База для реанимации</x:v>
      </x:c>
      <x:c r="F1333" t="str">
        <x:v>Админ всея Belberry</x:v>
      </x:c>
      <x:c r="G1333" t="str">
        <x:v>нет</x:v>
      </x:c>
      <x:c r="H1333" t="str">
        <x:v>нет</x:v>
      </x:c>
    </x:row>
    <x:row r="1334">
      <x:c r="A1334" t="str">
        <x:v>12104</x:v>
      </x:c>
      <x:c r="B1334" t="str">
        <x:v>prbmo.ru</x:v>
      </x:c>
      <x:c r="C1334" t="e">
        <x:f>HYPERLINK("https://belberrycrm.bitrix24.ru/crm/deal/details/12104/","https://belberrycrm.bitrix24.ru/crm/deal/details/12104/")</x:f>
      </x:c>
      <x:c r="D1334" t="str">
        <x:v>Реанимация</x:v>
      </x:c>
      <x:c r="E1334" t="str">
        <x:v>База для реанимации</x:v>
      </x:c>
      <x:c r="F1334" t="str">
        <x:v>Админ всея Belberry</x:v>
      </x:c>
      <x:c r="G1334" t="str">
        <x:v>да</x:v>
      </x:c>
      <x:c r="H1334" t="str">
        <x:v>нет</x:v>
      </x:c>
    </x:row>
    <x:row r="1335">
      <x:c r="A1335" t="str">
        <x:v>12110</x:v>
      </x:c>
      <x:c r="B1335" t="str">
        <x:v>yuga-medikal.ru</x:v>
      </x:c>
      <x:c r="C1335" t="e">
        <x:f>HYPERLINK("https://belberrycrm.bitrix24.ru/crm/deal/details/12110/","https://belberrycrm.bitrix24.ru/crm/deal/details/12110/")</x:f>
      </x:c>
      <x:c r="D1335" t="str">
        <x:v>Реанимация</x:v>
      </x:c>
      <x:c r="E1335" t="str">
        <x:v>База для реанимации</x:v>
      </x:c>
      <x:c r="F1335" t="str">
        <x:v>Админ всея Belberry</x:v>
      </x:c>
      <x:c r="G1335" t="str">
        <x:v>нет</x:v>
      </x:c>
      <x:c r="H1335" t="str">
        <x:v>нет</x:v>
      </x:c>
    </x:row>
    <x:row r="1336">
      <x:c r="A1336" t="str">
        <x:v>12112</x:v>
      </x:c>
      <x:c r="B1336" t="str">
        <x:v>всересницы.рф</x:v>
      </x:c>
      <x:c r="C1336" t="e">
        <x:f>HYPERLINK("https://belberrycrm.bitrix24.ru/crm/deal/details/12112/","https://belberrycrm.bitrix24.ru/crm/deal/details/12112/")</x:f>
      </x:c>
      <x:c r="D1336" t="str">
        <x:v>Реанимация</x:v>
      </x:c>
      <x:c r="E1336" t="str">
        <x:v>База для реанимации</x:v>
      </x:c>
      <x:c r="F1336" t="str">
        <x:v>Админ всея Belberry</x:v>
      </x:c>
      <x:c r="G1336" t="str">
        <x:v>нет</x:v>
      </x:c>
      <x:c r="H1336" t="str">
        <x:v>нет</x:v>
      </x:c>
    </x:row>
    <x:row r="1337">
      <x:c r="A1337" t="str">
        <x:v>12114</x:v>
      </x:c>
      <x:c r="B1337" t="str">
        <x:v>erviron.ru</x:v>
      </x:c>
      <x:c r="C1337" t="e">
        <x:f>HYPERLINK("https://belberrycrm.bitrix24.ru/crm/deal/details/12114/","https://belberrycrm.bitrix24.ru/crm/deal/details/12114/")</x:f>
      </x:c>
      <x:c r="D1337" t="str">
        <x:v>Реанимация</x:v>
      </x:c>
      <x:c r="E1337" t="str">
        <x:v>База для реанимации</x:v>
      </x:c>
      <x:c r="F1337" t="str">
        <x:v>Админ всея Belberry</x:v>
      </x:c>
      <x:c r="G1337" t="str">
        <x:v>нет</x:v>
      </x:c>
      <x:c r="H1337" t="str">
        <x:v>нет</x:v>
      </x:c>
    </x:row>
    <x:row r="1338">
      <x:c r="A1338" t="str">
        <x:v>12116</x:v>
      </x:c>
      <x:c r="B1338" t="str">
        <x:v>Марина</x:v>
      </x:c>
      <x:c r="C1338" t="e">
        <x:f>HYPERLINK("https://belberrycrm.bitrix24.ru/crm/deal/details/12116/","https://belberrycrm.bitrix24.ru/crm/deal/details/12116/")</x:f>
      </x:c>
      <x:c r="D1338" t="str">
        <x:v>Реанимация</x:v>
      </x:c>
      <x:c r="E1338" t="str">
        <x:v>База для реанимации</x:v>
      </x:c>
      <x:c r="F1338" t="str">
        <x:v>Админ всея Belberry</x:v>
      </x:c>
      <x:c r="G1338" t="str">
        <x:v>нет</x:v>
      </x:c>
      <x:c r="H1338" t="str">
        <x:v>нет</x:v>
      </x:c>
    </x:row>
    <x:row r="1339">
      <x:c r="A1339" t="str">
        <x:v>12118</x:v>
      </x:c>
      <x:c r="B1339" t="str">
        <x:v>aquatornado.ru</x:v>
      </x:c>
      <x:c r="C1339" t="e">
        <x:f>HYPERLINK("https://belberrycrm.bitrix24.ru/crm/deal/details/12118/","https://belberrycrm.bitrix24.ru/crm/deal/details/12118/")</x:f>
      </x:c>
      <x:c r="D1339" t="str">
        <x:v>Реанимация</x:v>
      </x:c>
      <x:c r="E1339" t="str">
        <x:v>База для реанимации</x:v>
      </x:c>
      <x:c r="F1339" t="str">
        <x:v>Админ всея Belberry</x:v>
      </x:c>
      <x:c r="G1339" t="str">
        <x:v>нет</x:v>
      </x:c>
      <x:c r="H1339" t="str">
        <x:v>нет</x:v>
      </x:c>
    </x:row>
    <x:row r="1340">
      <x:c r="A1340" t="str">
        <x:v>12122</x:v>
      </x:c>
      <x:c r="B1340" t="str">
        <x:v>Роберт Исхаков</x:v>
      </x:c>
      <x:c r="C1340" t="e">
        <x:f>HYPERLINK("https://belberrycrm.bitrix24.ru/crm/deal/details/12122/","https://belberrycrm.bitrix24.ru/crm/deal/details/12122/")</x:f>
      </x:c>
      <x:c r="D1340" t="str">
        <x:v>Реанимация</x:v>
      </x:c>
      <x:c r="E1340" t="str">
        <x:v>База для реанимации</x:v>
      </x:c>
      <x:c r="F1340" t="str">
        <x:v>Админ всея Belberry</x:v>
      </x:c>
      <x:c r="G1340" t="str">
        <x:v>нет</x:v>
      </x:c>
      <x:c r="H1340" t="str">
        <x:v>нет</x:v>
      </x:c>
    </x:row>
    <x:row r="1341">
      <x:c r="A1341" t="str">
        <x:v>12130</x:v>
      </x:c>
      <x:c r="B1341" t="str">
        <x:v>Виктор</x:v>
      </x:c>
      <x:c r="C1341" t="e">
        <x:f>HYPERLINK("https://belberrycrm.bitrix24.ru/crm/deal/details/12130/","https://belberrycrm.bitrix24.ru/crm/deal/details/12130/")</x:f>
      </x:c>
      <x:c r="D1341" t="str">
        <x:v>Реанимация</x:v>
      </x:c>
      <x:c r="E1341" t="str">
        <x:v>База для реанимации</x:v>
      </x:c>
      <x:c r="F1341" t="str">
        <x:v>Админ всея Belberry</x:v>
      </x:c>
      <x:c r="G1341" t="str">
        <x:v>нет</x:v>
      </x:c>
      <x:c r="H1341" t="str">
        <x:v>нет</x:v>
      </x:c>
    </x:row>
    <x:row r="1342">
      <x:c r="A1342" t="str">
        <x:v>12134</x:v>
      </x:c>
      <x:c r="B1342" t="str">
        <x:v>аннакан.рф</x:v>
      </x:c>
      <x:c r="C1342" t="e">
        <x:f>HYPERLINK("https://belberrycrm.bitrix24.ru/crm/deal/details/12134/","https://belberrycrm.bitrix24.ru/crm/deal/details/12134/")</x:f>
      </x:c>
      <x:c r="D1342" t="str">
        <x:v>Реанимация</x:v>
      </x:c>
      <x:c r="E1342" t="str">
        <x:v>База для реанимации</x:v>
      </x:c>
      <x:c r="F1342" t="str">
        <x:v>Админ всея Belberry</x:v>
      </x:c>
      <x:c r="G1342" t="str">
        <x:v>нет</x:v>
      </x:c>
      <x:c r="H1342" t="str">
        <x:v>нет</x:v>
      </x:c>
    </x:row>
    <x:row r="1343">
      <x:c r="A1343" t="str">
        <x:v>12136</x:v>
      </x:c>
      <x:c r="B1343" t="str">
        <x:v>euroinvest-spb.ru</x:v>
      </x:c>
      <x:c r="C1343" t="e">
        <x:f>HYPERLINK("https://belberrycrm.bitrix24.ru/crm/deal/details/12136/","https://belberrycrm.bitrix24.ru/crm/deal/details/12136/")</x:f>
      </x:c>
      <x:c r="D1343" t="str">
        <x:v>Реанимация</x:v>
      </x:c>
      <x:c r="E1343" t="str">
        <x:v>База для реанимации</x:v>
      </x:c>
      <x:c r="F1343" t="str">
        <x:v>Админ всея Belberry</x:v>
      </x:c>
      <x:c r="G1343" t="str">
        <x:v>нет</x:v>
      </x:c>
      <x:c r="H1343" t="str">
        <x:v>нет</x:v>
      </x:c>
    </x:row>
    <x:row r="1344">
      <x:c r="A1344" t="str">
        <x:v>12138</x:v>
      </x:c>
      <x:c r="B1344" t="str">
        <x:v>torson.ru</x:v>
      </x:c>
      <x:c r="C1344" t="e">
        <x:f>HYPERLINK("https://belberrycrm.bitrix24.ru/crm/deal/details/12138/","https://belberrycrm.bitrix24.ru/crm/deal/details/12138/")</x:f>
      </x:c>
      <x:c r="D1344" t="str">
        <x:v>Реанимация</x:v>
      </x:c>
      <x:c r="E1344" t="str">
        <x:v>База для реанимации</x:v>
      </x:c>
      <x:c r="F1344" t="str">
        <x:v>Админ всея Belberry</x:v>
      </x:c>
      <x:c r="G1344" t="str">
        <x:v>нет</x:v>
      </x:c>
      <x:c r="H1344" t="str">
        <x:v>нет</x:v>
      </x:c>
    </x:row>
    <x:row r="1345">
      <x:c r="A1345" t="str">
        <x:v>12140</x:v>
      </x:c>
      <x:c r="B1345" t="str">
        <x:v>arbatgold.ru</x:v>
      </x:c>
      <x:c r="C1345" t="e">
        <x:f>HYPERLINK("https://belberrycrm.bitrix24.ru/crm/deal/details/12140/","https://belberrycrm.bitrix24.ru/crm/deal/details/12140/")</x:f>
      </x:c>
      <x:c r="D1345" t="str">
        <x:v>Реанимация</x:v>
      </x:c>
      <x:c r="E1345" t="str">
        <x:v>База для реанимации</x:v>
      </x:c>
      <x:c r="F1345" t="str">
        <x:v>Админ всея Belberry</x:v>
      </x:c>
      <x:c r="G1345" t="str">
        <x:v>нет</x:v>
      </x:c>
      <x:c r="H1345" t="str">
        <x:v>нет</x:v>
      </x:c>
    </x:row>
    <x:row r="1346">
      <x:c r="A1346" t="str">
        <x:v>12146</x:v>
      </x:c>
      <x:c r="B1346" t="str">
        <x:v>proctolog81.ru</x:v>
      </x:c>
      <x:c r="C1346" t="e">
        <x:f>HYPERLINK("https://belberrycrm.bitrix24.ru/crm/deal/details/12146/","https://belberrycrm.bitrix24.ru/crm/deal/details/12146/")</x:f>
      </x:c>
      <x:c r="D1346" t="str">
        <x:v>Реанимация</x:v>
      </x:c>
      <x:c r="E1346" t="str">
        <x:v>База для реанимации</x:v>
      </x:c>
      <x:c r="F1346" t="str">
        <x:v>Админ всея Belberry</x:v>
      </x:c>
      <x:c r="G1346" t="str">
        <x:v>нет</x:v>
      </x:c>
      <x:c r="H1346" t="str">
        <x:v>нет</x:v>
      </x:c>
    </x:row>
    <x:row r="1347">
      <x:c r="A1347" t="str">
        <x:v>12148</x:v>
      </x:c>
      <x:c r="B1347" t="str">
        <x:v>Алпацкий Дмитрий Валерьевич</x:v>
      </x:c>
      <x:c r="C1347" t="e">
        <x:f>HYPERLINK("https://belberrycrm.bitrix24.ru/crm/deal/details/12148/","https://belberrycrm.bitrix24.ru/crm/deal/details/12148/")</x:f>
      </x:c>
      <x:c r="D1347" t="str">
        <x:v>Реанимация</x:v>
      </x:c>
      <x:c r="E1347" t="str">
        <x:v>База для реанимации</x:v>
      </x:c>
      <x:c r="F1347" t="str">
        <x:v>Админ всея Belberry</x:v>
      </x:c>
      <x:c r="G1347" t="str">
        <x:v>нет</x:v>
      </x:c>
      <x:c r="H1347" t="str">
        <x:v>нет</x:v>
      </x:c>
    </x:row>
    <x:row r="1348">
      <x:c r="A1348" t="str">
        <x:v>12150</x:v>
      </x:c>
      <x:c r="B1348" t="str">
        <x:v>Сделка #1966</x:v>
      </x:c>
      <x:c r="C1348" t="e">
        <x:f>HYPERLINK("https://belberrycrm.bitrix24.ru/crm/deal/details/12150/","https://belberrycrm.bitrix24.ru/crm/deal/details/12150/")</x:f>
      </x:c>
      <x:c r="D1348" t="str">
        <x:v>Реанимация</x:v>
      </x:c>
      <x:c r="E1348" t="str">
        <x:v>База для реанимации</x:v>
      </x:c>
      <x:c r="F1348" t="str">
        <x:v>Админ всея Belberry</x:v>
      </x:c>
      <x:c r="G1348" t="str">
        <x:v>нет</x:v>
      </x:c>
      <x:c r="H1348" t="str">
        <x:v>нет</x:v>
      </x:c>
    </x:row>
    <x:row r="1349">
      <x:c r="A1349" t="str">
        <x:v>12154</x:v>
      </x:c>
      <x:c r="B1349" t="str">
        <x:v>prezi-dent.ru/frunzenskaya/stomatologiya</x:v>
      </x:c>
      <x:c r="C1349" t="e">
        <x:f>HYPERLINK("https://belberrycrm.bitrix24.ru/crm/deal/details/12154/","https://belberrycrm.bitrix24.ru/crm/deal/details/12154/")</x:f>
      </x:c>
      <x:c r="D1349" t="str">
        <x:v>Реанимация</x:v>
      </x:c>
      <x:c r="E1349" t="str">
        <x:v>База для реанимации</x:v>
      </x:c>
      <x:c r="F1349" t="str">
        <x:v>Админ всея Belberry</x:v>
      </x:c>
      <x:c r="G1349" t="str">
        <x:v>нет</x:v>
      </x:c>
      <x:c r="H1349" t="str">
        <x:v>нет</x:v>
      </x:c>
    </x:row>
    <x:row r="1350">
      <x:c r="A1350" t="str">
        <x:v>12156</x:v>
      </x:c>
      <x:c r="B1350" t="str">
        <x:v>aval-clinic.ru</x:v>
      </x:c>
      <x:c r="C1350" t="e">
        <x:f>HYPERLINK("https://belberrycrm.bitrix24.ru/crm/deal/details/12156/","https://belberrycrm.bitrix24.ru/crm/deal/details/12156/")</x:f>
      </x:c>
      <x:c r="D1350" t="str">
        <x:v>Реанимация</x:v>
      </x:c>
      <x:c r="E1350" t="str">
        <x:v>База для реанимации</x:v>
      </x:c>
      <x:c r="F1350" t="str">
        <x:v>Админ всея Belberry</x:v>
      </x:c>
      <x:c r="G1350" t="str">
        <x:v>нет</x:v>
      </x:c>
      <x:c r="H1350" t="str">
        <x:v>нет</x:v>
      </x:c>
    </x:row>
    <x:row r="1351">
      <x:c r="A1351" t="str">
        <x:v>12162</x:v>
      </x:c>
      <x:c r="B1351" t="str">
        <x:v>nejnost.tomsk.ru</x:v>
      </x:c>
      <x:c r="C1351" t="e">
        <x:f>HYPERLINK("https://belberrycrm.bitrix24.ru/crm/deal/details/12162/","https://belberrycrm.bitrix24.ru/crm/deal/details/12162/")</x:f>
      </x:c>
      <x:c r="D1351" t="str">
        <x:v>Реанимация</x:v>
      </x:c>
      <x:c r="E1351" t="str">
        <x:v>База для реанимации</x:v>
      </x:c>
      <x:c r="F1351" t="str">
        <x:v>Админ всея Belberry</x:v>
      </x:c>
      <x:c r="G1351" t="str">
        <x:v>нет</x:v>
      </x:c>
      <x:c r="H1351" t="str">
        <x:v>нет</x:v>
      </x:c>
    </x:row>
    <x:row r="1352">
      <x:c r="A1352" t="str">
        <x:v>12166</x:v>
      </x:c>
      <x:c r="B1352" t="str">
        <x:v>ecstom.ru</x:v>
      </x:c>
      <x:c r="C1352" t="e">
        <x:f>HYPERLINK("https://belberrycrm.bitrix24.ru/crm/deal/details/12166/","https://belberrycrm.bitrix24.ru/crm/deal/details/12166/")</x:f>
      </x:c>
      <x:c r="D1352" t="str">
        <x:v>Реанимация</x:v>
      </x:c>
      <x:c r="E1352" t="str">
        <x:v>База для реанимации</x:v>
      </x:c>
      <x:c r="F1352" t="str">
        <x:v>Админ всея Belberry</x:v>
      </x:c>
      <x:c r="G1352" t="str">
        <x:v>да</x:v>
      </x:c>
      <x:c r="H1352" t="str">
        <x:v>нет</x:v>
      </x:c>
    </x:row>
    <x:row r="1353">
      <x:c r="A1353" t="str">
        <x:v>12174</x:v>
      </x:c>
      <x:c r="B1353" t="str">
        <x:v>zubhelp.ru</x:v>
      </x:c>
      <x:c r="C1353" t="e">
        <x:f>HYPERLINK("https://belberrycrm.bitrix24.ru/crm/deal/details/12174/","https://belberrycrm.bitrix24.ru/crm/deal/details/12174/")</x:f>
      </x:c>
      <x:c r="D1353" t="str">
        <x:v>Реанимация</x:v>
      </x:c>
      <x:c r="E1353" t="str">
        <x:v>База для реанимации</x:v>
      </x:c>
      <x:c r="F1353" t="str">
        <x:v>Админ всея Belberry</x:v>
      </x:c>
      <x:c r="G1353" t="str">
        <x:v>нет</x:v>
      </x:c>
      <x:c r="H1353" t="str">
        <x:v>нет</x:v>
      </x:c>
    </x:row>
    <x:row r="1354">
      <x:c r="A1354" t="str">
        <x:v>12176</x:v>
      </x:c>
      <x:c r="B1354" t="str">
        <x:v>romanov-stom.ru</x:v>
      </x:c>
      <x:c r="C1354" t="e">
        <x:f>HYPERLINK("https://belberrycrm.bitrix24.ru/crm/deal/details/12176/","https://belberrycrm.bitrix24.ru/crm/deal/details/12176/")</x:f>
      </x:c>
      <x:c r="D1354" t="str">
        <x:v>Реанимация</x:v>
      </x:c>
      <x:c r="E1354" t="str">
        <x:v>База для реанимации</x:v>
      </x:c>
      <x:c r="F1354" t="str">
        <x:v>Админ всея Belberry</x:v>
      </x:c>
      <x:c r="G1354" t="str">
        <x:v>нет</x:v>
      </x:c>
      <x:c r="H1354" t="str">
        <x:v>нет</x:v>
      </x:c>
    </x:row>
    <x:row r="1355">
      <x:c r="A1355" t="str">
        <x:v>12180</x:v>
      </x:c>
      <x:c r="B1355" t="str">
        <x:v>smilelike.ru</x:v>
      </x:c>
      <x:c r="C1355" t="e">
        <x:f>HYPERLINK("https://belberrycrm.bitrix24.ru/crm/deal/details/12180/","https://belberrycrm.bitrix24.ru/crm/deal/details/12180/")</x:f>
      </x:c>
      <x:c r="D1355" t="str">
        <x:v>Реанимация</x:v>
      </x:c>
      <x:c r="E1355" t="str">
        <x:v>База для реанимации</x:v>
      </x:c>
      <x:c r="F1355" t="str">
        <x:v>Админ всея Belberry</x:v>
      </x:c>
      <x:c r="G1355" t="str">
        <x:v>нет</x:v>
      </x:c>
      <x:c r="H1355" t="str">
        <x:v>нет</x:v>
      </x:c>
    </x:row>
    <x:row r="1356">
      <x:c r="A1356" t="str">
        <x:v>12184</x:v>
      </x:c>
      <x:c r="B1356" t="str">
        <x:v>zurus.org</x:v>
      </x:c>
      <x:c r="C1356" t="e">
        <x:f>HYPERLINK("https://belberrycrm.bitrix24.ru/crm/deal/details/12184/","https://belberrycrm.bitrix24.ru/crm/deal/details/12184/")</x:f>
      </x:c>
      <x:c r="D1356" t="str">
        <x:v>Реанимация</x:v>
      </x:c>
      <x:c r="E1356" t="str">
        <x:v>База для реанимации</x:v>
      </x:c>
      <x:c r="F1356" t="str">
        <x:v>Админ всея Belberry</x:v>
      </x:c>
      <x:c r="G1356" t="str">
        <x:v>нет</x:v>
      </x:c>
      <x:c r="H1356" t="str">
        <x:v>нет</x:v>
      </x:c>
    </x:row>
    <x:row r="1357">
      <x:c r="A1357" t="str">
        <x:v>12186</x:v>
      </x:c>
      <x:c r="B1357" t="str">
        <x:v>antica-stom.ru</x:v>
      </x:c>
      <x:c r="C1357" t="e">
        <x:f>HYPERLINK("https://belberrycrm.bitrix24.ru/crm/deal/details/12186/","https://belberrycrm.bitrix24.ru/crm/deal/details/12186/")</x:f>
      </x:c>
      <x:c r="D1357" t="str">
        <x:v>Реанимация</x:v>
      </x:c>
      <x:c r="E1357" t="str">
        <x:v>База для реанимации</x:v>
      </x:c>
      <x:c r="F1357" t="str">
        <x:v>Админ всея Belberry</x:v>
      </x:c>
      <x:c r="G1357" t="str">
        <x:v>нет</x:v>
      </x:c>
      <x:c r="H1357" t="str">
        <x:v>нет</x:v>
      </x:c>
    </x:row>
    <x:row r="1358">
      <x:c r="A1358" t="str">
        <x:v>12190</x:v>
      </x:c>
      <x:c r="B1358" t="str">
        <x:v>www.au-dental.ru</x:v>
      </x:c>
      <x:c r="C1358" t="e">
        <x:f>HYPERLINK("https://belberrycrm.bitrix24.ru/crm/deal/details/12190/","https://belberrycrm.bitrix24.ru/crm/deal/details/12190/")</x:f>
      </x:c>
      <x:c r="D1358" t="str">
        <x:v>Реанимация</x:v>
      </x:c>
      <x:c r="E1358" t="str">
        <x:v>База для реанимации</x:v>
      </x:c>
      <x:c r="F1358" t="str">
        <x:v>Админ всея Belberry</x:v>
      </x:c>
      <x:c r="G1358" t="str">
        <x:v>нет</x:v>
      </x:c>
      <x:c r="H1358" t="str">
        <x:v>нет</x:v>
      </x:c>
    </x:row>
    <x:row r="1359">
      <x:c r="A1359" t="str">
        <x:v>12194</x:v>
      </x:c>
      <x:c r="B1359" t="str">
        <x:v>dindent.ru</x:v>
      </x:c>
      <x:c r="C1359" t="e">
        <x:f>HYPERLINK("https://belberrycrm.bitrix24.ru/crm/deal/details/12194/","https://belberrycrm.bitrix24.ru/crm/deal/details/12194/")</x:f>
      </x:c>
      <x:c r="D1359" t="str">
        <x:v>Реанимация</x:v>
      </x:c>
      <x:c r="E1359" t="str">
        <x:v>База для реанимации</x:v>
      </x:c>
      <x:c r="F1359" t="str">
        <x:v>Админ всея Belberry</x:v>
      </x:c>
      <x:c r="G1359" t="str">
        <x:v>да</x:v>
      </x:c>
      <x:c r="H1359" t="str">
        <x:v>нет</x:v>
      </x:c>
    </x:row>
    <x:row r="1360">
      <x:c r="A1360" t="str">
        <x:v>12198</x:v>
      </x:c>
      <x:c r="B1360" t="str">
        <x:v>lenarshaidullin.ru</x:v>
      </x:c>
      <x:c r="C1360" t="e">
        <x:f>HYPERLINK("https://belberrycrm.bitrix24.ru/crm/deal/details/12198/","https://belberrycrm.bitrix24.ru/crm/deal/details/12198/")</x:f>
      </x:c>
      <x:c r="D1360" t="str">
        <x:v>Реанимация</x:v>
      </x:c>
      <x:c r="E1360" t="str">
        <x:v>База для реанимации</x:v>
      </x:c>
      <x:c r="F1360" t="str">
        <x:v>Админ всея Belberry</x:v>
      </x:c>
      <x:c r="G1360" t="str">
        <x:v>нет</x:v>
      </x:c>
      <x:c r="H1360" t="str">
        <x:v>нет</x:v>
      </x:c>
    </x:row>
    <x:row r="1361">
      <x:c r="A1361" t="str">
        <x:v>12200</x:v>
      </x:c>
      <x:c r="B1361" t="str">
        <x:v>smileatelier.ru</x:v>
      </x:c>
      <x:c r="C1361" t="e">
        <x:f>HYPERLINK("https://belberrycrm.bitrix24.ru/crm/deal/details/12200/","https://belberrycrm.bitrix24.ru/crm/deal/details/12200/")</x:f>
      </x:c>
      <x:c r="D1361" t="str">
        <x:v>Реанимация</x:v>
      </x:c>
      <x:c r="E1361" t="str">
        <x:v>База для реанимации</x:v>
      </x:c>
      <x:c r="F1361" t="str">
        <x:v>Админ всея Belberry</x:v>
      </x:c>
      <x:c r="G1361" t="str">
        <x:v>нет</x:v>
      </x:c>
      <x:c r="H1361" t="str">
        <x:v>нет</x:v>
      </x:c>
    </x:row>
    <x:row r="1362">
      <x:c r="A1362" t="str">
        <x:v>12202</x:v>
      </x:c>
      <x:c r="B1362" t="str">
        <x:v>zubiki.ru</x:v>
      </x:c>
      <x:c r="C1362" t="e">
        <x:f>HYPERLINK("https://belberrycrm.bitrix24.ru/crm/deal/details/12202/","https://belberrycrm.bitrix24.ru/crm/deal/details/12202/")</x:f>
      </x:c>
      <x:c r="D1362" t="str">
        <x:v>Реанимация</x:v>
      </x:c>
      <x:c r="E1362" t="str">
        <x:v>База для реанимации</x:v>
      </x:c>
      <x:c r="F1362" t="str">
        <x:v>Админ всея Belberry</x:v>
      </x:c>
      <x:c r="G1362" t="str">
        <x:v>нет</x:v>
      </x:c>
      <x:c r="H1362" t="str">
        <x:v>нет</x:v>
      </x:c>
    </x:row>
    <x:row r="1363">
      <x:c r="A1363" t="str">
        <x:v>12206</x:v>
      </x:c>
      <x:c r="B1363" t="str">
        <x:v>mentolstom.ru</x:v>
      </x:c>
      <x:c r="C1363" t="e">
        <x:f>HYPERLINK("https://belberrycrm.bitrix24.ru/crm/deal/details/12206/","https://belberrycrm.bitrix24.ru/crm/deal/details/12206/")</x:f>
      </x:c>
      <x:c r="D1363" t="str">
        <x:v>Реанимация</x:v>
      </x:c>
      <x:c r="E1363" t="str">
        <x:v>База для реанимации</x:v>
      </x:c>
      <x:c r="F1363" t="str">
        <x:v>Админ всея Belberry</x:v>
      </x:c>
      <x:c r="G1363" t="str">
        <x:v>нет</x:v>
      </x:c>
      <x:c r="H1363" t="str">
        <x:v>нет</x:v>
      </x:c>
    </x:row>
    <x:row r="1364">
      <x:c r="A1364" t="str">
        <x:v>12208</x:v>
      </x:c>
      <x:c r="B1364" t="str">
        <x:v>Стоматология Элайнеры</x:v>
      </x:c>
      <x:c r="C1364" t="e">
        <x:f>HYPERLINK("https://belberrycrm.bitrix24.ru/crm/deal/details/12208/","https://belberrycrm.bitrix24.ru/crm/deal/details/12208/")</x:f>
      </x:c>
      <x:c r="D1364" t="str">
        <x:v>Реанимация</x:v>
      </x:c>
      <x:c r="E1364" t="str">
        <x:v>База для реанимации</x:v>
      </x:c>
      <x:c r="F1364" t="str">
        <x:v>Админ всея Belberry</x:v>
      </x:c>
      <x:c r="G1364" t="str">
        <x:v>нет</x:v>
      </x:c>
      <x:c r="H1364" t="str">
        <x:v>нет</x:v>
      </x:c>
    </x:row>
    <x:row r="1365">
      <x:c r="A1365" t="str">
        <x:v>12210</x:v>
      </x:c>
      <x:c r="B1365" t="str">
        <x:v>vovse32.ru</x:v>
      </x:c>
      <x:c r="C1365" t="e">
        <x:f>HYPERLINK("https://belberrycrm.bitrix24.ru/crm/deal/details/12210/","https://belberrycrm.bitrix24.ru/crm/deal/details/12210/")</x:f>
      </x:c>
      <x:c r="D1365" t="str">
        <x:v>Реанимация</x:v>
      </x:c>
      <x:c r="E1365" t="str">
        <x:v>База для реанимации</x:v>
      </x:c>
      <x:c r="F1365" t="str">
        <x:v>Админ всея Belberry</x:v>
      </x:c>
      <x:c r="G1365" t="str">
        <x:v>нет</x:v>
      </x:c>
      <x:c r="H1365" t="str">
        <x:v>нет</x:v>
      </x:c>
    </x:row>
    <x:row r="1366">
      <x:c r="A1366" t="str">
        <x:v>12212</x:v>
      </x:c>
      <x:c r="B1366" t="str">
        <x:v>dental-studia.ru</x:v>
      </x:c>
      <x:c r="C1366" t="e">
        <x:f>HYPERLINK("https://belberrycrm.bitrix24.ru/crm/deal/details/12212/","https://belberrycrm.bitrix24.ru/crm/deal/details/12212/")</x:f>
      </x:c>
      <x:c r="D1366" t="str">
        <x:v>Реанимация</x:v>
      </x:c>
      <x:c r="E1366" t="str">
        <x:v>База для реанимации</x:v>
      </x:c>
      <x:c r="F1366" t="str">
        <x:v>Админ всея Belberry</x:v>
      </x:c>
      <x:c r="G1366" t="str">
        <x:v>нет</x:v>
      </x:c>
      <x:c r="H1366" t="str">
        <x:v>нет</x:v>
      </x:c>
    </x:row>
    <x:row r="1367">
      <x:c r="A1367" t="str">
        <x:v>12214</x:v>
      </x:c>
      <x:c r="B1367" t="str">
        <x:v>wdc-dent.ru</x:v>
      </x:c>
      <x:c r="C1367" t="e">
        <x:f>HYPERLINK("https://belberrycrm.bitrix24.ru/crm/deal/details/12214/","https://belberrycrm.bitrix24.ru/crm/deal/details/12214/")</x:f>
      </x:c>
      <x:c r="D1367" t="str">
        <x:v>Реанимация</x:v>
      </x:c>
      <x:c r="E1367" t="str">
        <x:v>База для реанимации</x:v>
      </x:c>
      <x:c r="F1367" t="str">
        <x:v>Админ всея Belberry</x:v>
      </x:c>
      <x:c r="G1367" t="str">
        <x:v>нет</x:v>
      </x:c>
      <x:c r="H1367" t="str">
        <x:v>нет</x:v>
      </x:c>
    </x:row>
    <x:row r="1368">
      <x:c r="A1368" t="str">
        <x:v>12216</x:v>
      </x:c>
      <x:c r="B1368" t="str">
        <x:v>klinika-natali.ru</x:v>
      </x:c>
      <x:c r="C1368" t="e">
        <x:f>HYPERLINK("https://belberrycrm.bitrix24.ru/crm/deal/details/12216/","https://belberrycrm.bitrix24.ru/crm/deal/details/12216/")</x:f>
      </x:c>
      <x:c r="D1368" t="str">
        <x:v>Реанимация</x:v>
      </x:c>
      <x:c r="E1368" t="str">
        <x:v>База для реанимации</x:v>
      </x:c>
      <x:c r="F1368" t="str">
        <x:v>Админ всея Belberry</x:v>
      </x:c>
      <x:c r="G1368" t="str">
        <x:v>нет</x:v>
      </x:c>
      <x:c r="H1368" t="str">
        <x:v>нет</x:v>
      </x:c>
    </x:row>
    <x:row r="1369">
      <x:c r="A1369" t="str">
        <x:v>12218</x:v>
      </x:c>
      <x:c r="B1369" t="str">
        <x:v>cvclinic.ru/o-clean-view-clinic</x:v>
      </x:c>
      <x:c r="C1369" t="e">
        <x:f>HYPERLINK("https://belberrycrm.bitrix24.ru/crm/deal/details/12218/","https://belberrycrm.bitrix24.ru/crm/deal/details/12218/")</x:f>
      </x:c>
      <x:c r="D1369" t="str">
        <x:v>Реанимация</x:v>
      </x:c>
      <x:c r="E1369" t="str">
        <x:v>База для реанимации</x:v>
      </x:c>
      <x:c r="F1369" t="str">
        <x:v>Админ всея Belberry</x:v>
      </x:c>
      <x:c r="G1369" t="str">
        <x:v>нет</x:v>
      </x:c>
      <x:c r="H1369" t="str">
        <x:v>нет</x:v>
      </x:c>
    </x:row>
    <x:row r="1370">
      <x:c r="A1370" t="str">
        <x:v>12224</x:v>
      </x:c>
      <x:c r="B1370" t="str">
        <x:v>www.icedent-stom.ru</x:v>
      </x:c>
      <x:c r="C1370" t="e">
        <x:f>HYPERLINK("https://belberrycrm.bitrix24.ru/crm/deal/details/12224/","https://belberrycrm.bitrix24.ru/crm/deal/details/12224/")</x:f>
      </x:c>
      <x:c r="D1370" t="str">
        <x:v>Реанимация</x:v>
      </x:c>
      <x:c r="E1370" t="str">
        <x:v>База для реанимации</x:v>
      </x:c>
      <x:c r="F1370" t="str">
        <x:v>Админ всея Belberry</x:v>
      </x:c>
      <x:c r="G1370" t="str">
        <x:v>нет</x:v>
      </x:c>
      <x:c r="H1370" t="str">
        <x:v>нет</x:v>
      </x:c>
    </x:row>
    <x:row r="1371">
      <x:c r="A1371" t="str">
        <x:v>12228</x:v>
      </x:c>
      <x:c r="B1371" t="str">
        <x:v>olga-moroz.ru</x:v>
      </x:c>
      <x:c r="C1371" t="e">
        <x:f>HYPERLINK("https://belberrycrm.bitrix24.ru/crm/deal/details/12228/","https://belberrycrm.bitrix24.ru/crm/deal/details/12228/")</x:f>
      </x:c>
      <x:c r="D1371" t="str">
        <x:v>Реанимация</x:v>
      </x:c>
      <x:c r="E1371" t="str">
        <x:v>База для реанимации</x:v>
      </x:c>
      <x:c r="F1371" t="str">
        <x:v>Админ всея Belberry</x:v>
      </x:c>
      <x:c r="G1371" t="str">
        <x:v>нет</x:v>
      </x:c>
      <x:c r="H1371" t="str">
        <x:v>нет</x:v>
      </x:c>
    </x:row>
    <x:row r="1372">
      <x:c r="A1372" t="str">
        <x:v>12232</x:v>
      </x:c>
      <x:c r="B1372" t="str">
        <x:v>vita-stom.ru</x:v>
      </x:c>
      <x:c r="C1372" t="e">
        <x:f>HYPERLINK("https://belberrycrm.bitrix24.ru/crm/deal/details/12232/","https://belberrycrm.bitrix24.ru/crm/deal/details/12232/")</x:f>
      </x:c>
      <x:c r="D1372" t="str">
        <x:v>Реанимация</x:v>
      </x:c>
      <x:c r="E1372" t="str">
        <x:v>База для реанимации</x:v>
      </x:c>
      <x:c r="F1372" t="str">
        <x:v>Админ всея Belberry</x:v>
      </x:c>
      <x:c r="G1372" t="str">
        <x:v>да</x:v>
      </x:c>
      <x:c r="H1372" t="str">
        <x:v>нет</x:v>
      </x:c>
    </x:row>
    <x:row r="1373">
      <x:c r="A1373" t="str">
        <x:v>12236</x:v>
      </x:c>
      <x:c r="B1373" t="str">
        <x:v>www.verastom.ru</x:v>
      </x:c>
      <x:c r="C1373" t="e">
        <x:f>HYPERLINK("https://belberrycrm.bitrix24.ru/crm/deal/details/12236/","https://belberrycrm.bitrix24.ru/crm/deal/details/12236/")</x:f>
      </x:c>
      <x:c r="D1373" t="str">
        <x:v>Реанимация</x:v>
      </x:c>
      <x:c r="E1373" t="str">
        <x:v>База для реанимации</x:v>
      </x:c>
      <x:c r="F1373" t="str">
        <x:v>Админ всея Belberry</x:v>
      </x:c>
      <x:c r="G1373" t="str">
        <x:v>нет</x:v>
      </x:c>
      <x:c r="H1373" t="str">
        <x:v>нет</x:v>
      </x:c>
    </x:row>
    <x:row r="1374">
      <x:c r="A1374" t="str">
        <x:v>12240</x:v>
      </x:c>
      <x:c r="B1374" t="str">
        <x:v>farmastock.ru</x:v>
      </x:c>
      <x:c r="C1374" t="e">
        <x:f>HYPERLINK("https://belberrycrm.bitrix24.ru/crm/deal/details/12240/","https://belberrycrm.bitrix24.ru/crm/deal/details/12240/")</x:f>
      </x:c>
      <x:c r="D1374" t="str">
        <x:v>Реанимация</x:v>
      </x:c>
      <x:c r="E1374" t="str">
        <x:v>База для реанимации</x:v>
      </x:c>
      <x:c r="F1374" t="str">
        <x:v>Админ всея Belberry</x:v>
      </x:c>
      <x:c r="G1374" t="str">
        <x:v>нет</x:v>
      </x:c>
      <x:c r="H1374" t="str">
        <x:v>нет</x:v>
      </x:c>
    </x:row>
    <x:row r="1375">
      <x:c r="A1375" t="str">
        <x:v>12242</x:v>
      </x:c>
      <x:c r="B1375" t="str">
        <x:v>dentastayl.ru</x:v>
      </x:c>
      <x:c r="C1375" t="e">
        <x:f>HYPERLINK("https://belberrycrm.bitrix24.ru/crm/deal/details/12242/","https://belberrycrm.bitrix24.ru/crm/deal/details/12242/")</x:f>
      </x:c>
      <x:c r="D1375" t="str">
        <x:v>Реанимация</x:v>
      </x:c>
      <x:c r="E1375" t="str">
        <x:v>База для реанимации</x:v>
      </x:c>
      <x:c r="F1375" t="str">
        <x:v>Админ всея Belberry</x:v>
      </x:c>
      <x:c r="G1375" t="str">
        <x:v>нет</x:v>
      </x:c>
      <x:c r="H1375" t="str">
        <x:v>нет</x:v>
      </x:c>
    </x:row>
    <x:row r="1376">
      <x:c r="A1376" t="str">
        <x:v>12244</x:v>
      </x:c>
      <x:c r="B1376" t="str">
        <x:v>stomatologia.moscow</x:v>
      </x:c>
      <x:c r="C1376" t="e">
        <x:f>HYPERLINK("https://belberrycrm.bitrix24.ru/crm/deal/details/12244/","https://belberrycrm.bitrix24.ru/crm/deal/details/12244/")</x:f>
      </x:c>
      <x:c r="D1376" t="str">
        <x:v>Реанимация</x:v>
      </x:c>
      <x:c r="E1376" t="str">
        <x:v>База для реанимации</x:v>
      </x:c>
      <x:c r="F1376" t="str">
        <x:v>Админ всея Belberry</x:v>
      </x:c>
      <x:c r="G1376" t="str">
        <x:v>нет</x:v>
      </x:c>
      <x:c r="H1376" t="str">
        <x:v>нет</x:v>
      </x:c>
    </x:row>
    <x:row r="1377">
      <x:c r="A1377" t="str">
        <x:v>12248</x:v>
      </x:c>
      <x:c r="B1377" t="str">
        <x:v>medestetic.moscow</x:v>
      </x:c>
      <x:c r="C1377" t="e">
        <x:f>HYPERLINK("https://belberrycrm.bitrix24.ru/crm/deal/details/12248/","https://belberrycrm.bitrix24.ru/crm/deal/details/12248/")</x:f>
      </x:c>
      <x:c r="D1377" t="str">
        <x:v>Реанимация</x:v>
      </x:c>
      <x:c r="E1377" t="str">
        <x:v>База для реанимации</x:v>
      </x:c>
      <x:c r="F1377" t="str">
        <x:v>Админ всея Belberry</x:v>
      </x:c>
      <x:c r="G1377" t="str">
        <x:v>нет</x:v>
      </x:c>
      <x:c r="H1377" t="str">
        <x:v>нет</x:v>
      </x:c>
    </x:row>
    <x:row r="1378">
      <x:c r="A1378" t="str">
        <x:v>12250</x:v>
      </x:c>
      <x:c r="B1378" t="str">
        <x:v>l-clinic.ru</x:v>
      </x:c>
      <x:c r="C1378" t="e">
        <x:f>HYPERLINK("https://belberrycrm.bitrix24.ru/crm/deal/details/12250/","https://belberrycrm.bitrix24.ru/crm/deal/details/12250/")</x:f>
      </x:c>
      <x:c r="D1378" t="str">
        <x:v>Реанимация</x:v>
      </x:c>
      <x:c r="E1378" t="str">
        <x:v>База для реанимации</x:v>
      </x:c>
      <x:c r="F1378" t="str">
        <x:v>Админ всея Belberry</x:v>
      </x:c>
      <x:c r="G1378" t="str">
        <x:v>нет</x:v>
      </x:c>
      <x:c r="H1378" t="str">
        <x:v>нет</x:v>
      </x:c>
    </x:row>
    <x:row r="1379">
      <x:c r="A1379" t="str">
        <x:v>12252</x:v>
      </x:c>
      <x:c r="B1379" t="str">
        <x:v>plasmapriority.ru</x:v>
      </x:c>
      <x:c r="C1379" t="e">
        <x:f>HYPERLINK("https://belberrycrm.bitrix24.ru/crm/deal/details/12252/","https://belberrycrm.bitrix24.ru/crm/deal/details/12252/")</x:f>
      </x:c>
      <x:c r="D1379" t="str">
        <x:v>Реанимация</x:v>
      </x:c>
      <x:c r="E1379" t="str">
        <x:v>База для реанимации</x:v>
      </x:c>
      <x:c r="F1379" t="str">
        <x:v>Админ всея Belberry</x:v>
      </x:c>
      <x:c r="G1379" t="str">
        <x:v>нет</x:v>
      </x:c>
      <x:c r="H1379" t="str">
        <x:v>нет</x:v>
      </x:c>
    </x:row>
    <x:row r="1380">
      <x:c r="A1380" t="str">
        <x:v>12254</x:v>
      </x:c>
      <x:c r="B1380" t="str">
        <x:v>happydoctorclinik.ru</x:v>
      </x:c>
      <x:c r="C1380" t="e">
        <x:f>HYPERLINK("https://belberrycrm.bitrix24.ru/crm/deal/details/12254/","https://belberrycrm.bitrix24.ru/crm/deal/details/12254/")</x:f>
      </x:c>
      <x:c r="D1380" t="str">
        <x:v>Реанимация</x:v>
      </x:c>
      <x:c r="E1380" t="str">
        <x:v>База для реанимации</x:v>
      </x:c>
      <x:c r="F1380" t="str">
        <x:v>Админ всея Belberry</x:v>
      </x:c>
      <x:c r="G1380" t="str">
        <x:v>нет</x:v>
      </x:c>
      <x:c r="H1380" t="str">
        <x:v>нет</x:v>
      </x:c>
    </x:row>
    <x:row r="1381">
      <x:c r="A1381" t="str">
        <x:v>12258</x:v>
      </x:c>
      <x:c r="B1381" t="str">
        <x:v>hgclinic.ru</x:v>
      </x:c>
      <x:c r="C1381" t="e">
        <x:f>HYPERLINK("https://belberrycrm.bitrix24.ru/crm/deal/details/12258/","https://belberrycrm.bitrix24.ru/crm/deal/details/12258/")</x:f>
      </x:c>
      <x:c r="D1381" t="str">
        <x:v>Реанимация</x:v>
      </x:c>
      <x:c r="E1381" t="str">
        <x:v>База для реанимации</x:v>
      </x:c>
      <x:c r="F1381" t="str">
        <x:v>Админ всея Belberry</x:v>
      </x:c>
      <x:c r="G1381" t="str">
        <x:v>нет</x:v>
      </x:c>
      <x:c r="H1381" t="str">
        <x:v>нет</x:v>
      </x:c>
    </x:row>
    <x:row r="1382">
      <x:c r="A1382" t="str">
        <x:v>12260</x:v>
      </x:c>
      <x:c r="B1382" t="str">
        <x:v>medeo-mmc.ru</x:v>
      </x:c>
      <x:c r="C1382" t="e">
        <x:f>HYPERLINK("https://belberrycrm.bitrix24.ru/crm/deal/details/12260/","https://belberrycrm.bitrix24.ru/crm/deal/details/12260/")</x:f>
      </x:c>
      <x:c r="D1382" t="str">
        <x:v>Реанимация</x:v>
      </x:c>
      <x:c r="E1382" t="str">
        <x:v>База для реанимации</x:v>
      </x:c>
      <x:c r="F1382" t="str">
        <x:v>Админ всея Belberry</x:v>
      </x:c>
      <x:c r="G1382" t="str">
        <x:v>да</x:v>
      </x:c>
      <x:c r="H1382" t="str">
        <x:v>нет</x:v>
      </x:c>
    </x:row>
    <x:row r="1383">
      <x:c r="A1383" t="str">
        <x:v>12262</x:v>
      </x:c>
      <x:c r="B1383" t="str">
        <x:v>www.medkras.com</x:v>
      </x:c>
      <x:c r="C1383" t="e">
        <x:f>HYPERLINK("https://belberrycrm.bitrix24.ru/crm/deal/details/12262/","https://belberrycrm.bitrix24.ru/crm/deal/details/12262/")</x:f>
      </x:c>
      <x:c r="D1383" t="str">
        <x:v>Реанимация</x:v>
      </x:c>
      <x:c r="E1383" t="str">
        <x:v>База для реанимации</x:v>
      </x:c>
      <x:c r="F1383" t="str">
        <x:v>Админ всея Belberry</x:v>
      </x:c>
      <x:c r="G1383" t="str">
        <x:v>нет</x:v>
      </x:c>
      <x:c r="H1383" t="str">
        <x:v>нет</x:v>
      </x:c>
    </x:row>
    <x:row r="1384">
      <x:c r="A1384" t="str">
        <x:v>12264</x:v>
      </x:c>
      <x:c r="B1384" t="str">
        <x:v>Иван</x:v>
      </x:c>
      <x:c r="C1384" t="e">
        <x:f>HYPERLINK("https://belberrycrm.bitrix24.ru/crm/deal/details/12264/","https://belberrycrm.bitrix24.ru/crm/deal/details/12264/")</x:f>
      </x:c>
      <x:c r="D1384" t="str">
        <x:v>Реанимация</x:v>
      </x:c>
      <x:c r="E1384" t="str">
        <x:v>База для реанимации</x:v>
      </x:c>
      <x:c r="F1384" t="str">
        <x:v>Админ всея Belberry</x:v>
      </x:c>
      <x:c r="G1384" t="str">
        <x:v>нет</x:v>
      </x:c>
      <x:c r="H1384" t="str">
        <x:v>нет</x:v>
      </x:c>
    </x:row>
    <x:row r="1385">
      <x:c r="A1385" t="str">
        <x:v>12266</x:v>
      </x:c>
      <x:c r="B1385" t="str">
        <x:v>mioclinic.ru</x:v>
      </x:c>
      <x:c r="C1385" t="e">
        <x:f>HYPERLINK("https://belberrycrm.bitrix24.ru/crm/deal/details/12266/","https://belberrycrm.bitrix24.ru/crm/deal/details/12266/")</x:f>
      </x:c>
      <x:c r="D1385" t="str">
        <x:v>Реанимация</x:v>
      </x:c>
      <x:c r="E1385" t="str">
        <x:v>База для реанимации</x:v>
      </x:c>
      <x:c r="F1385" t="str">
        <x:v>Админ всея Belberry</x:v>
      </x:c>
      <x:c r="G1385" t="str">
        <x:v>нет</x:v>
      </x:c>
      <x:c r="H1385" t="str">
        <x:v>нет</x:v>
      </x:c>
    </x:row>
    <x:row r="1386">
      <x:c r="A1386" t="str">
        <x:v>12270</x:v>
      </x:c>
      <x:c r="B1386" t="str">
        <x:v>divo-med.com</x:v>
      </x:c>
      <x:c r="C1386" t="e">
        <x:f>HYPERLINK("https://belberrycrm.bitrix24.ru/crm/deal/details/12270/","https://belberrycrm.bitrix24.ru/crm/deal/details/12270/")</x:f>
      </x:c>
      <x:c r="D1386" t="str">
        <x:v>Реанимация</x:v>
      </x:c>
      <x:c r="E1386" t="str">
        <x:v>База для реанимации</x:v>
      </x:c>
      <x:c r="F1386" t="str">
        <x:v>Админ всея Belberry</x:v>
      </x:c>
      <x:c r="G1386" t="str">
        <x:v>нет</x:v>
      </x:c>
      <x:c r="H1386" t="str">
        <x:v>нет</x:v>
      </x:c>
    </x:row>
    <x:row r="1387">
      <x:c r="A1387" t="str">
        <x:v>12272</x:v>
      </x:c>
      <x:c r="B1387" t="str">
        <x:v>mgp1.ru</x:v>
      </x:c>
      <x:c r="C1387" t="e">
        <x:f>HYPERLINK("https://belberrycrm.bitrix24.ru/crm/deal/details/12272/","https://belberrycrm.bitrix24.ru/crm/deal/details/12272/")</x:f>
      </x:c>
      <x:c r="D1387" t="str">
        <x:v>Реанимация</x:v>
      </x:c>
      <x:c r="E1387" t="str">
        <x:v>База для реанимации</x:v>
      </x:c>
      <x:c r="F1387" t="str">
        <x:v>Админ всея Belberry</x:v>
      </x:c>
      <x:c r="G1387" t="str">
        <x:v>нет</x:v>
      </x:c>
      <x:c r="H1387" t="str">
        <x:v>нет</x:v>
      </x:c>
    </x:row>
    <x:row r="1388">
      <x:c r="A1388" t="str">
        <x:v>12274</x:v>
      </x:c>
      <x:c r="B1388" t="str">
        <x:v>stomcroc.ru</x:v>
      </x:c>
      <x:c r="C1388" t="e">
        <x:f>HYPERLINK("https://belberrycrm.bitrix24.ru/crm/deal/details/12274/","https://belberrycrm.bitrix24.ru/crm/deal/details/12274/")</x:f>
      </x:c>
      <x:c r="D1388" t="str">
        <x:v>Реанимация</x:v>
      </x:c>
      <x:c r="E1388" t="str">
        <x:v>База для реанимации</x:v>
      </x:c>
      <x:c r="F1388" t="str">
        <x:v>Админ всея Belberry</x:v>
      </x:c>
      <x:c r="G1388" t="str">
        <x:v>нет</x:v>
      </x:c>
      <x:c r="H1388" t="str">
        <x:v>нет</x:v>
      </x:c>
    </x:row>
    <x:row r="1389">
      <x:c r="A1389" t="str">
        <x:v>12278</x:v>
      </x:c>
      <x:c r="B1389" t="str">
        <x:v>Сергей</x:v>
      </x:c>
      <x:c r="C1389" t="e">
        <x:f>HYPERLINK("https://belberrycrm.bitrix24.ru/crm/deal/details/12278/","https://belberrycrm.bitrix24.ru/crm/deal/details/12278/")</x:f>
      </x:c>
      <x:c r="D1389" t="str">
        <x:v>Реанимация</x:v>
      </x:c>
      <x:c r="E1389" t="str">
        <x:v>База для реанимации</x:v>
      </x:c>
      <x:c r="F1389" t="str">
        <x:v>Админ всея Belberry</x:v>
      </x:c>
      <x:c r="G1389" t="str">
        <x:v>нет</x:v>
      </x:c>
      <x:c r="H1389" t="str">
        <x:v>нет</x:v>
      </x:c>
    </x:row>
    <x:row r="1390">
      <x:c r="A1390" t="str">
        <x:v>12280</x:v>
      </x:c>
      <x:c r="B1390" t="str">
        <x:v>www.astoria-med.ru</x:v>
      </x:c>
      <x:c r="C1390" t="e">
        <x:f>HYPERLINK("https://belberrycrm.bitrix24.ru/crm/deal/details/12280/","https://belberrycrm.bitrix24.ru/crm/deal/details/12280/")</x:f>
      </x:c>
      <x:c r="D1390" t="str">
        <x:v>Реанимация</x:v>
      </x:c>
      <x:c r="E1390" t="str">
        <x:v>База для реанимации</x:v>
      </x:c>
      <x:c r="F1390" t="str">
        <x:v>Админ всея Belberry</x:v>
      </x:c>
      <x:c r="G1390" t="str">
        <x:v>нет</x:v>
      </x:c>
      <x:c r="H1390" t="str">
        <x:v>нет</x:v>
      </x:c>
    </x:row>
    <x:row r="1391">
      <x:c r="A1391" t="str">
        <x:v>12282</x:v>
      </x:c>
      <x:c r="B1391" t="str">
        <x:v>trika-dent.ru</x:v>
      </x:c>
      <x:c r="C1391" t="e">
        <x:f>HYPERLINK("https://belberrycrm.bitrix24.ru/crm/deal/details/12282/","https://belberrycrm.bitrix24.ru/crm/deal/details/12282/")</x:f>
      </x:c>
      <x:c r="D1391" t="str">
        <x:v>Реанимация</x:v>
      </x:c>
      <x:c r="E1391" t="str">
        <x:v>База для реанимации</x:v>
      </x:c>
      <x:c r="F1391" t="str">
        <x:v>Админ всея Belberry</x:v>
      </x:c>
      <x:c r="G1391" t="str">
        <x:v>нет</x:v>
      </x:c>
      <x:c r="H1391" t="str">
        <x:v>нет</x:v>
      </x:c>
    </x:row>
    <x:row r="1392">
      <x:c r="A1392" t="str">
        <x:v>12284</x:v>
      </x:c>
      <x:c r="B1392" t="str">
        <x:v>вера-мед.рф</x:v>
      </x:c>
      <x:c r="C1392" t="e">
        <x:f>HYPERLINK("https://belberrycrm.bitrix24.ru/crm/deal/details/12284/","https://belberrycrm.bitrix24.ru/crm/deal/details/12284/")</x:f>
      </x:c>
      <x:c r="D1392" t="str">
        <x:v>Реанимация</x:v>
      </x:c>
      <x:c r="E1392" t="str">
        <x:v>База для реанимации</x:v>
      </x:c>
      <x:c r="F1392" t="str">
        <x:v>Админ всея Belberry</x:v>
      </x:c>
      <x:c r="G1392" t="str">
        <x:v>нет</x:v>
      </x:c>
      <x:c r="H1392" t="str">
        <x:v>нет</x:v>
      </x:c>
    </x:row>
    <x:row r="1393">
      <x:c r="A1393" t="str">
        <x:v>12286</x:v>
      </x:c>
      <x:c r="B1393" t="str">
        <x:v>medpoima.ru</x:v>
      </x:c>
      <x:c r="C1393" t="e">
        <x:f>HYPERLINK("https://belberrycrm.bitrix24.ru/crm/deal/details/12286/","https://belberrycrm.bitrix24.ru/crm/deal/details/12286/")</x:f>
      </x:c>
      <x:c r="D1393" t="str">
        <x:v>Реанимация</x:v>
      </x:c>
      <x:c r="E1393" t="str">
        <x:v>База для реанимации</x:v>
      </x:c>
      <x:c r="F1393" t="str">
        <x:v>Админ всея Belberry</x:v>
      </x:c>
      <x:c r="G1393" t="str">
        <x:v>нет</x:v>
      </x:c>
      <x:c r="H1393" t="str">
        <x:v>нет</x:v>
      </x:c>
    </x:row>
    <x:row r="1394">
      <x:c r="A1394" t="str">
        <x:v>12290</x:v>
      </x:c>
      <x:c r="B1394" t="str">
        <x:v>stomit.ru</x:v>
      </x:c>
      <x:c r="C1394" t="e">
        <x:f>HYPERLINK("https://belberrycrm.bitrix24.ru/crm/deal/details/12290/","https://belberrycrm.bitrix24.ru/crm/deal/details/12290/")</x:f>
      </x:c>
      <x:c r="D1394" t="str">
        <x:v>Реанимация</x:v>
      </x:c>
      <x:c r="E1394" t="str">
        <x:v>База для реанимации</x:v>
      </x:c>
      <x:c r="F1394" t="str">
        <x:v>Админ всея Belberry</x:v>
      </x:c>
      <x:c r="G1394" t="str">
        <x:v>нет</x:v>
      </x:c>
      <x:c r="H1394" t="str">
        <x:v>нет</x:v>
      </x:c>
    </x:row>
    <x:row r="1395">
      <x:c r="A1395" t="str">
        <x:v>12294</x:v>
      </x:c>
      <x:c r="B1395" t="str">
        <x:v>servantesmsk.ru</x:v>
      </x:c>
      <x:c r="C1395" t="e">
        <x:f>HYPERLINK("https://belberrycrm.bitrix24.ru/crm/deal/details/12294/","https://belberrycrm.bitrix24.ru/crm/deal/details/12294/")</x:f>
      </x:c>
      <x:c r="D1395" t="str">
        <x:v>Реанимация</x:v>
      </x:c>
      <x:c r="E1395" t="str">
        <x:v>База для реанимации</x:v>
      </x:c>
      <x:c r="F1395" t="str">
        <x:v>Админ всея Belberry</x:v>
      </x:c>
      <x:c r="G1395" t="str">
        <x:v>нет</x:v>
      </x:c>
      <x:c r="H1395" t="str">
        <x:v>нет</x:v>
      </x:c>
    </x:row>
    <x:row r="1396">
      <x:c r="A1396" t="str">
        <x:v>12298</x:v>
      </x:c>
      <x:c r="B1396" t="str">
        <x:v>prof.ncagp.ru</x:v>
      </x:c>
      <x:c r="C1396" t="e">
        <x:f>HYPERLINK("https://belberrycrm.bitrix24.ru/crm/deal/details/12298/","https://belberrycrm.bitrix24.ru/crm/deal/details/12298/")</x:f>
      </x:c>
      <x:c r="D1396" t="str">
        <x:v>Реанимация</x:v>
      </x:c>
      <x:c r="E1396" t="str">
        <x:v>База для реанимации</x:v>
      </x:c>
      <x:c r="F1396" t="str">
        <x:v>Админ всея Belberry</x:v>
      </x:c>
      <x:c r="G1396" t="str">
        <x:v>нет</x:v>
      </x:c>
      <x:c r="H1396" t="str">
        <x:v>нет</x:v>
      </x:c>
    </x:row>
    <x:row r="1397">
      <x:c r="A1397" t="str">
        <x:v>12300</x:v>
      </x:c>
      <x:c r="B1397" t="str">
        <x:v>dent100.ru</x:v>
      </x:c>
      <x:c r="C1397" t="e">
        <x:f>HYPERLINK("https://belberrycrm.bitrix24.ru/crm/deal/details/12300/","https://belberrycrm.bitrix24.ru/crm/deal/details/12300/")</x:f>
      </x:c>
      <x:c r="D1397" t="str">
        <x:v>Реанимация</x:v>
      </x:c>
      <x:c r="E1397" t="str">
        <x:v>База для реанимации</x:v>
      </x:c>
      <x:c r="F1397" t="str">
        <x:v>Админ всея Belberry</x:v>
      </x:c>
      <x:c r="G1397" t="str">
        <x:v>нет</x:v>
      </x:c>
      <x:c r="H1397" t="str">
        <x:v>нет</x:v>
      </x:c>
    </x:row>
    <x:row r="1398">
      <x:c r="A1398" t="str">
        <x:v>12306</x:v>
      </x:c>
      <x:c r="B1398" t="str">
        <x:v>stomatkristall.ru</x:v>
      </x:c>
      <x:c r="C1398" t="e">
        <x:f>HYPERLINK("https://belberrycrm.bitrix24.ru/crm/deal/details/12306/","https://belberrycrm.bitrix24.ru/crm/deal/details/12306/")</x:f>
      </x:c>
      <x:c r="D1398" t="str">
        <x:v>Реанимация</x:v>
      </x:c>
      <x:c r="E1398" t="str">
        <x:v>База для реанимации</x:v>
      </x:c>
      <x:c r="F1398" t="str">
        <x:v>Админ всея Belberry</x:v>
      </x:c>
      <x:c r="G1398" t="str">
        <x:v>нет</x:v>
      </x:c>
      <x:c r="H1398" t="str">
        <x:v>нет</x:v>
      </x:c>
    </x:row>
    <x:row r="1399">
      <x:c r="A1399" t="str">
        <x:v>12308</x:v>
      </x:c>
      <x:c r="B1399" t="str">
        <x:v>odpclinic.ru</x:v>
      </x:c>
      <x:c r="C1399" t="e">
        <x:f>HYPERLINK("https://belberrycrm.bitrix24.ru/crm/deal/details/12308/","https://belberrycrm.bitrix24.ru/crm/deal/details/12308/")</x:f>
      </x:c>
      <x:c r="D1399" t="str">
        <x:v>Реанимация</x:v>
      </x:c>
      <x:c r="E1399" t="str">
        <x:v>База для реанимации</x:v>
      </x:c>
      <x:c r="F1399" t="str">
        <x:v>Админ всея Belberry</x:v>
      </x:c>
      <x:c r="G1399" t="str">
        <x:v>нет</x:v>
      </x:c>
      <x:c r="H1399" t="str">
        <x:v>нет</x:v>
      </x:c>
    </x:row>
    <x:row r="1400">
      <x:c r="A1400" t="str">
        <x:v>12310</x:v>
      </x:c>
      <x:c r="B1400" t="str">
        <x:v>ludent.ru</x:v>
      </x:c>
      <x:c r="C1400" t="e">
        <x:f>HYPERLINK("https://belberrycrm.bitrix24.ru/crm/deal/details/12310/","https://belberrycrm.bitrix24.ru/crm/deal/details/12310/")</x:f>
      </x:c>
      <x:c r="D1400" t="str">
        <x:v>Реанимация</x:v>
      </x:c>
      <x:c r="E1400" t="str">
        <x:v>База для реанимации</x:v>
      </x:c>
      <x:c r="F1400" t="str">
        <x:v>Админ всея Belberry</x:v>
      </x:c>
      <x:c r="G1400" t="str">
        <x:v>нет</x:v>
      </x:c>
      <x:c r="H1400" t="str">
        <x:v>нет</x:v>
      </x:c>
    </x:row>
    <x:row r="1401">
      <x:c r="A1401" t="str">
        <x:v>12312</x:v>
      </x:c>
      <x:c r="B1401" t="str">
        <x:v>www.stolica-dent.ru</x:v>
      </x:c>
      <x:c r="C1401" t="e">
        <x:f>HYPERLINK("https://belberrycrm.bitrix24.ru/crm/deal/details/12312/","https://belberrycrm.bitrix24.ru/crm/deal/details/12312/")</x:f>
      </x:c>
      <x:c r="D1401" t="str">
        <x:v>Реанимация</x:v>
      </x:c>
      <x:c r="E1401" t="str">
        <x:v>База для реанимации</x:v>
      </x:c>
      <x:c r="F1401" t="str">
        <x:v>Админ всея Belberry</x:v>
      </x:c>
      <x:c r="G1401" t="str">
        <x:v>нет</x:v>
      </x:c>
      <x:c r="H1401" t="str">
        <x:v>нет</x:v>
      </x:c>
    </x:row>
    <x:row r="1402">
      <x:c r="A1402" t="str">
        <x:v>12314</x:v>
      </x:c>
      <x:c r="B1402" t="str">
        <x:v>эстетика.com</x:v>
      </x:c>
      <x:c r="C1402" t="e">
        <x:f>HYPERLINK("https://belberrycrm.bitrix24.ru/crm/deal/details/12314/","https://belberrycrm.bitrix24.ru/crm/deal/details/12314/")</x:f>
      </x:c>
      <x:c r="D1402" t="str">
        <x:v>Реанимация</x:v>
      </x:c>
      <x:c r="E1402" t="str">
        <x:v>База для реанимации</x:v>
      </x:c>
      <x:c r="F1402" t="str">
        <x:v>Админ всея Belberry</x:v>
      </x:c>
      <x:c r="G1402" t="str">
        <x:v>нет</x:v>
      </x:c>
      <x:c r="H1402" t="str">
        <x:v>нет</x:v>
      </x:c>
    </x:row>
    <x:row r="1403">
      <x:c r="A1403" t="str">
        <x:v>12316</x:v>
      </x:c>
      <x:c r="B1403" t="str">
        <x:v>happydents.ru</x:v>
      </x:c>
      <x:c r="C1403" t="e">
        <x:f>HYPERLINK("https://belberrycrm.bitrix24.ru/crm/deal/details/12316/","https://belberrycrm.bitrix24.ru/crm/deal/details/12316/")</x:f>
      </x:c>
      <x:c r="D1403" t="str">
        <x:v>Реанимация</x:v>
      </x:c>
      <x:c r="E1403" t="str">
        <x:v>База для реанимации</x:v>
      </x:c>
      <x:c r="F1403" t="str">
        <x:v>Админ всея Belberry</x:v>
      </x:c>
      <x:c r="G1403" t="str">
        <x:v>нет</x:v>
      </x:c>
      <x:c r="H1403" t="str">
        <x:v>нет</x:v>
      </x:c>
    </x:row>
    <x:row r="1404">
      <x:c r="A1404" t="str">
        <x:v>12324</x:v>
      </x:c>
      <x:c r="B1404" t="str">
        <x:v>Сергей Леонов</x:v>
      </x:c>
      <x:c r="C1404" t="e">
        <x:f>HYPERLINK("https://belberrycrm.bitrix24.ru/crm/deal/details/12324/","https://belberrycrm.bitrix24.ru/crm/deal/details/12324/")</x:f>
      </x:c>
      <x:c r="D1404" t="str">
        <x:v>Реанимация</x:v>
      </x:c>
      <x:c r="E1404" t="str">
        <x:v>База для реанимации</x:v>
      </x:c>
      <x:c r="F1404" t="str">
        <x:v>Админ всея Belberry</x:v>
      </x:c>
      <x:c r="G1404" t="str">
        <x:v>нет</x:v>
      </x:c>
      <x:c r="H1404" t="str">
        <x:v>нет</x:v>
      </x:c>
    </x:row>
    <x:row r="1405">
      <x:c r="A1405" t="str">
        <x:v>12328</x:v>
      </x:c>
      <x:c r="B1405" t="str">
        <x:v>beautypractice.ru</x:v>
      </x:c>
      <x:c r="C1405" t="e">
        <x:f>HYPERLINK("https://belberrycrm.bitrix24.ru/crm/deal/details/12328/","https://belberrycrm.bitrix24.ru/crm/deal/details/12328/")</x:f>
      </x:c>
      <x:c r="D1405" t="str">
        <x:v>Реанимация</x:v>
      </x:c>
      <x:c r="E1405" t="str">
        <x:v>База для реанимации</x:v>
      </x:c>
      <x:c r="F1405" t="str">
        <x:v>Админ всея Belberry</x:v>
      </x:c>
      <x:c r="G1405" t="str">
        <x:v>нет</x:v>
      </x:c>
      <x:c r="H1405" t="str">
        <x:v>нет</x:v>
      </x:c>
    </x:row>
    <x:row r="1406">
      <x:c r="A1406" t="str">
        <x:v>12332</x:v>
      </x:c>
      <x:c r="B1406" t="str">
        <x:v>sanabilis.ru</x:v>
      </x:c>
      <x:c r="C1406" t="e">
        <x:f>HYPERLINK("https://belberrycrm.bitrix24.ru/crm/deal/details/12332/","https://belberrycrm.bitrix24.ru/crm/deal/details/12332/")</x:f>
      </x:c>
      <x:c r="D1406" t="str">
        <x:v>Реанимация</x:v>
      </x:c>
      <x:c r="E1406" t="str">
        <x:v>База для реанимации</x:v>
      </x:c>
      <x:c r="F1406" t="str">
        <x:v>Админ всея Belberry</x:v>
      </x:c>
      <x:c r="G1406" t="str">
        <x:v>нет</x:v>
      </x:c>
      <x:c r="H1406" t="str">
        <x:v>нет</x:v>
      </x:c>
    </x:row>
    <x:row r="1407">
      <x:c r="A1407" t="str">
        <x:v>12336</x:v>
      </x:c>
      <x:c r="B1407" t="str">
        <x:v>vimontale.ru</x:v>
      </x:c>
      <x:c r="C1407" t="e">
        <x:f>HYPERLINK("https://belberrycrm.bitrix24.ru/crm/deal/details/12336/","https://belberrycrm.bitrix24.ru/crm/deal/details/12336/")</x:f>
      </x:c>
      <x:c r="D1407" t="str">
        <x:v>Реанимация</x:v>
      </x:c>
      <x:c r="E1407" t="str">
        <x:v>База для реанимации</x:v>
      </x:c>
      <x:c r="F1407" t="str">
        <x:v>Админ всея Belberry</x:v>
      </x:c>
      <x:c r="G1407" t="str">
        <x:v>нет</x:v>
      </x:c>
      <x:c r="H1407" t="str">
        <x:v>нет</x:v>
      </x:c>
    </x:row>
    <x:row r="1408">
      <x:c r="A1408" t="str">
        <x:v>12338</x:v>
      </x:c>
      <x:c r="B1408" t="str">
        <x:v>www.stomatolog-77.ru</x:v>
      </x:c>
      <x:c r="C1408" t="e">
        <x:f>HYPERLINK("https://belberrycrm.bitrix24.ru/crm/deal/details/12338/","https://belberrycrm.bitrix24.ru/crm/deal/details/12338/")</x:f>
      </x:c>
      <x:c r="D1408" t="str">
        <x:v>Реанимация</x:v>
      </x:c>
      <x:c r="E1408" t="str">
        <x:v>База для реанимации</x:v>
      </x:c>
      <x:c r="F1408" t="str">
        <x:v>Админ всея Belberry</x:v>
      </x:c>
      <x:c r="G1408" t="str">
        <x:v>нет</x:v>
      </x:c>
      <x:c r="H1408" t="str">
        <x:v>нет</x:v>
      </x:c>
    </x:row>
    <x:row r="1409">
      <x:c r="A1409" t="str">
        <x:v>12340</x:v>
      </x:c>
      <x:c r="B1409" t="str">
        <x:v>www.dentalain.ru</x:v>
      </x:c>
      <x:c r="C1409" t="e">
        <x:f>HYPERLINK("https://belberrycrm.bitrix24.ru/crm/deal/details/12340/","https://belberrycrm.bitrix24.ru/crm/deal/details/12340/")</x:f>
      </x:c>
      <x:c r="D1409" t="str">
        <x:v>Реанимация</x:v>
      </x:c>
      <x:c r="E1409" t="str">
        <x:v>База для реанимации</x:v>
      </x:c>
      <x:c r="F1409" t="str">
        <x:v>Админ всея Belberry</x:v>
      </x:c>
      <x:c r="G1409" t="str">
        <x:v>нет</x:v>
      </x:c>
      <x:c r="H1409" t="str">
        <x:v>нет</x:v>
      </x:c>
    </x:row>
    <x:row r="1410">
      <x:c r="A1410" t="str">
        <x:v>12342</x:v>
      </x:c>
      <x:c r="B1410" t="str">
        <x:v>www.zdorovie-klinika.ru</x:v>
      </x:c>
      <x:c r="C1410" t="e">
        <x:f>HYPERLINK("https://belberrycrm.bitrix24.ru/crm/deal/details/12342/","https://belberrycrm.bitrix24.ru/crm/deal/details/12342/")</x:f>
      </x:c>
      <x:c r="D1410" t="str">
        <x:v>Реанимация</x:v>
      </x:c>
      <x:c r="E1410" t="str">
        <x:v>База для реанимации</x:v>
      </x:c>
      <x:c r="F1410" t="str">
        <x:v>Админ всея Belberry</x:v>
      </x:c>
      <x:c r="G1410" t="str">
        <x:v>нет</x:v>
      </x:c>
      <x:c r="H1410" t="str">
        <x:v>нет</x:v>
      </x:c>
    </x:row>
    <x:row r="1411">
      <x:c r="A1411" t="str">
        <x:v>12344</x:v>
      </x:c>
      <x:c r="B1411" t="str">
        <x:v>doctor-glazov.ru</x:v>
      </x:c>
      <x:c r="C1411" t="e">
        <x:f>HYPERLINK("https://belberrycrm.bitrix24.ru/crm/deal/details/12344/","https://belberrycrm.bitrix24.ru/crm/deal/details/12344/")</x:f>
      </x:c>
      <x:c r="D1411" t="str">
        <x:v>Реанимация</x:v>
      </x:c>
      <x:c r="E1411" t="str">
        <x:v>База для реанимации</x:v>
      </x:c>
      <x:c r="F1411" t="str">
        <x:v>Админ всея Belberry</x:v>
      </x:c>
      <x:c r="G1411" t="str">
        <x:v>нет</x:v>
      </x:c>
      <x:c r="H1411" t="str">
        <x:v>нет</x:v>
      </x:c>
    </x:row>
    <x:row r="1412">
      <x:c r="A1412" t="str">
        <x:v>12346</x:v>
      </x:c>
      <x:c r="B1412" t="str">
        <x:v>estelight.ru</x:v>
      </x:c>
      <x:c r="C1412" t="e">
        <x:f>HYPERLINK("https://belberrycrm.bitrix24.ru/crm/deal/details/12346/","https://belberrycrm.bitrix24.ru/crm/deal/details/12346/")</x:f>
      </x:c>
      <x:c r="D1412" t="str">
        <x:v>Реанимация</x:v>
      </x:c>
      <x:c r="E1412" t="str">
        <x:v>База для реанимации</x:v>
      </x:c>
      <x:c r="F1412" t="str">
        <x:v>Админ всея Belberry</x:v>
      </x:c>
      <x:c r="G1412" t="str">
        <x:v>нет</x:v>
      </x:c>
      <x:c r="H1412" t="str">
        <x:v>нет</x:v>
      </x:c>
    </x:row>
    <x:row r="1413">
      <x:c r="A1413" t="str">
        <x:v>12348</x:v>
      </x:c>
      <x:c r="B1413" t="str">
        <x:v>stomvill.ru</x:v>
      </x:c>
      <x:c r="C1413" t="e">
        <x:f>HYPERLINK("https://belberrycrm.bitrix24.ru/crm/deal/details/12348/","https://belberrycrm.bitrix24.ru/crm/deal/details/12348/")</x:f>
      </x:c>
      <x:c r="D1413" t="str">
        <x:v>Реанимация</x:v>
      </x:c>
      <x:c r="E1413" t="str">
        <x:v>База для реанимации</x:v>
      </x:c>
      <x:c r="F1413" t="str">
        <x:v>Админ всея Belberry</x:v>
      </x:c>
      <x:c r="G1413" t="str">
        <x:v>нет</x:v>
      </x:c>
      <x:c r="H1413" t="str">
        <x:v>нет</x:v>
      </x:c>
    </x:row>
    <x:row r="1414">
      <x:c r="A1414" t="str">
        <x:v>12350</x:v>
      </x:c>
      <x:c r="B1414" t="str">
        <x:v>pndnur89.ru</x:v>
      </x:c>
      <x:c r="C1414" t="e">
        <x:f>HYPERLINK("https://belberrycrm.bitrix24.ru/crm/deal/details/12350/","https://belberrycrm.bitrix24.ru/crm/deal/details/12350/")</x:f>
      </x:c>
      <x:c r="D1414" t="str">
        <x:v>Реанимация</x:v>
      </x:c>
      <x:c r="E1414" t="str">
        <x:v>База для реанимации</x:v>
      </x:c>
      <x:c r="F1414" t="str">
        <x:v>Админ всея Belberry</x:v>
      </x:c>
      <x:c r="G1414" t="str">
        <x:v>да</x:v>
      </x:c>
      <x:c r="H1414" t="str">
        <x:v>нет</x:v>
      </x:c>
    </x:row>
    <x:row r="1415">
      <x:c r="A1415" t="str">
        <x:v>12354</x:v>
      </x:c>
      <x:c r="B1415" t="str">
        <x:v>seline.ru</x:v>
      </x:c>
      <x:c r="C1415" t="e">
        <x:f>HYPERLINK("https://belberrycrm.bitrix24.ru/crm/deal/details/12354/","https://belberrycrm.bitrix24.ru/crm/deal/details/12354/")</x:f>
      </x:c>
      <x:c r="D1415" t="str">
        <x:v>Реанимация</x:v>
      </x:c>
      <x:c r="E1415" t="str">
        <x:v>База для реанимации</x:v>
      </x:c>
      <x:c r="F1415" t="str">
        <x:v>Админ всея Belberry</x:v>
      </x:c>
      <x:c r="G1415" t="str">
        <x:v>нет</x:v>
      </x:c>
      <x:c r="H1415" t="str">
        <x:v>нет</x:v>
      </x:c>
    </x:row>
    <x:row r="1416">
      <x:c r="A1416" t="str">
        <x:v>12356</x:v>
      </x:c>
      <x:c r="B1416" t="str">
        <x:v>gor-dent.com</x:v>
      </x:c>
      <x:c r="C1416" t="e">
        <x:f>HYPERLINK("https://belberrycrm.bitrix24.ru/crm/deal/details/12356/","https://belberrycrm.bitrix24.ru/crm/deal/details/12356/")</x:f>
      </x:c>
      <x:c r="D1416" t="str">
        <x:v>Реанимация</x:v>
      </x:c>
      <x:c r="E1416" t="str">
        <x:v>База для реанимации</x:v>
      </x:c>
      <x:c r="F1416" t="str">
        <x:v>Админ всея Belberry</x:v>
      </x:c>
      <x:c r="G1416" t="str">
        <x:v>нет</x:v>
      </x:c>
      <x:c r="H1416" t="str">
        <x:v>нет</x:v>
      </x:c>
    </x:row>
    <x:row r="1417">
      <x:c r="A1417" t="str">
        <x:v>12360</x:v>
      </x:c>
      <x:c r="B1417" t="str">
        <x:v>dental-park.ru</x:v>
      </x:c>
      <x:c r="C1417" t="e">
        <x:f>HYPERLINK("https://belberrycrm.bitrix24.ru/crm/deal/details/12360/","https://belberrycrm.bitrix24.ru/crm/deal/details/12360/")</x:f>
      </x:c>
      <x:c r="D1417" t="str">
        <x:v>Реанимация</x:v>
      </x:c>
      <x:c r="E1417" t="str">
        <x:v>База для реанимации</x:v>
      </x:c>
      <x:c r="F1417" t="str">
        <x:v>Админ всея Belberry</x:v>
      </x:c>
      <x:c r="G1417" t="str">
        <x:v>нет</x:v>
      </x:c>
      <x:c r="H1417" t="str">
        <x:v>нет</x:v>
      </x:c>
    </x:row>
    <x:row r="1418">
      <x:c r="A1418" t="str">
        <x:v>12362</x:v>
      </x:c>
      <x:c r="B1418" t="str">
        <x:v>drbaranov.ru</x:v>
      </x:c>
      <x:c r="C1418" t="e">
        <x:f>HYPERLINK("https://belberrycrm.bitrix24.ru/crm/deal/details/12362/","https://belberrycrm.bitrix24.ru/crm/deal/details/12362/")</x:f>
      </x:c>
      <x:c r="D1418" t="str">
        <x:v>Реанимация</x:v>
      </x:c>
      <x:c r="E1418" t="str">
        <x:v>База для реанимации</x:v>
      </x:c>
      <x:c r="F1418" t="str">
        <x:v>Админ всея Belberry</x:v>
      </x:c>
      <x:c r="G1418" t="str">
        <x:v>нет</x:v>
      </x:c>
      <x:c r="H1418" t="str">
        <x:v>нет</x:v>
      </x:c>
    </x:row>
    <x:row r="1419">
      <x:c r="A1419" t="str">
        <x:v>12366</x:v>
      </x:c>
      <x:c r="B1419" t="str">
        <x:v>Сергей</x:v>
      </x:c>
      <x:c r="C1419" t="e">
        <x:f>HYPERLINK("https://belberrycrm.bitrix24.ru/crm/deal/details/12366/","https://belberrycrm.bitrix24.ru/crm/deal/details/12366/")</x:f>
      </x:c>
      <x:c r="D1419" t="str">
        <x:v>Реанимация</x:v>
      </x:c>
      <x:c r="E1419" t="str">
        <x:v>База для реанимации</x:v>
      </x:c>
      <x:c r="F1419" t="str">
        <x:v>Админ всея Belberry</x:v>
      </x:c>
      <x:c r="G1419" t="str">
        <x:v>нет</x:v>
      </x:c>
      <x:c r="H1419" t="str">
        <x:v>нет</x:v>
      </x:c>
    </x:row>
    <x:row r="1420">
      <x:c r="A1420" t="str">
        <x:v>12370</x:v>
      </x:c>
      <x:c r="B1420" t="str">
        <x:v>zuub.ru</x:v>
      </x:c>
      <x:c r="C1420" t="e">
        <x:f>HYPERLINK("https://belberrycrm.bitrix24.ru/crm/deal/details/12370/","https://belberrycrm.bitrix24.ru/crm/deal/details/12370/")</x:f>
      </x:c>
      <x:c r="D1420" t="str">
        <x:v>Реанимация</x:v>
      </x:c>
      <x:c r="E1420" t="str">
        <x:v>База для реанимации</x:v>
      </x:c>
      <x:c r="F1420" t="str">
        <x:v>Админ всея Belberry</x:v>
      </x:c>
      <x:c r="G1420" t="str">
        <x:v>нет</x:v>
      </x:c>
      <x:c r="H1420" t="str">
        <x:v>нет</x:v>
      </x:c>
    </x:row>
    <x:row r="1421">
      <x:c r="A1421" t="str">
        <x:v>12376</x:v>
      </x:c>
      <x:c r="B1421" t="str">
        <x:v>www.inpromed.ru</x:v>
      </x:c>
      <x:c r="C1421" t="e">
        <x:f>HYPERLINK("https://belberrycrm.bitrix24.ru/crm/deal/details/12376/","https://belberrycrm.bitrix24.ru/crm/deal/details/12376/")</x:f>
      </x:c>
      <x:c r="D1421" t="str">
        <x:v>Реанимация</x:v>
      </x:c>
      <x:c r="E1421" t="str">
        <x:v>База для реанимации</x:v>
      </x:c>
      <x:c r="F1421" t="str">
        <x:v>Админ всея Belberry</x:v>
      </x:c>
      <x:c r="G1421" t="str">
        <x:v>нет</x:v>
      </x:c>
      <x:c r="H1421" t="str">
        <x:v>нет</x:v>
      </x:c>
    </x:row>
    <x:row r="1422">
      <x:c r="A1422" t="str">
        <x:v>12378</x:v>
      </x:c>
      <x:c r="B1422" t="str">
        <x:v>doctor-sevak.ru</x:v>
      </x:c>
      <x:c r="C1422" t="e">
        <x:f>HYPERLINK("https://belberrycrm.bitrix24.ru/crm/deal/details/12378/","https://belberrycrm.bitrix24.ru/crm/deal/details/12378/")</x:f>
      </x:c>
      <x:c r="D1422" t="str">
        <x:v>Реанимация</x:v>
      </x:c>
      <x:c r="E1422" t="str">
        <x:v>База для реанимации</x:v>
      </x:c>
      <x:c r="F1422" t="str">
        <x:v>Админ всея Belberry</x:v>
      </x:c>
      <x:c r="G1422" t="str">
        <x:v>нет</x:v>
      </x:c>
      <x:c r="H1422" t="str">
        <x:v>нет</x:v>
      </x:c>
    </x:row>
    <x:row r="1423">
      <x:c r="A1423" t="str">
        <x:v>12380</x:v>
      </x:c>
      <x:c r="B1423" t="str">
        <x:v>i-smiles.ru</x:v>
      </x:c>
      <x:c r="C1423" t="e">
        <x:f>HYPERLINK("https://belberrycrm.bitrix24.ru/crm/deal/details/12380/","https://belberrycrm.bitrix24.ru/crm/deal/details/12380/")</x:f>
      </x:c>
      <x:c r="D1423" t="str">
        <x:v>Реанимация</x:v>
      </x:c>
      <x:c r="E1423" t="str">
        <x:v>База для реанимации</x:v>
      </x:c>
      <x:c r="F1423" t="str">
        <x:v>Админ всея Belberry</x:v>
      </x:c>
      <x:c r="G1423" t="str">
        <x:v>нет</x:v>
      </x:c>
      <x:c r="H1423" t="str">
        <x:v>нет</x:v>
      </x:c>
    </x:row>
    <x:row r="1424">
      <x:c r="A1424" t="str">
        <x:v>12382</x:v>
      </x:c>
      <x:c r="B1424" t="str">
        <x:v>Татьяна Владимировна</x:v>
      </x:c>
      <x:c r="C1424" t="e">
        <x:f>HYPERLINK("https://belberrycrm.bitrix24.ru/crm/deal/details/12382/","https://belberrycrm.bitrix24.ru/crm/deal/details/12382/")</x:f>
      </x:c>
      <x:c r="D1424" t="str">
        <x:v>Реанимация</x:v>
      </x:c>
      <x:c r="E1424" t="str">
        <x:v>База для реанимации</x:v>
      </x:c>
      <x:c r="F1424" t="str">
        <x:v>Админ всея Belberry</x:v>
      </x:c>
      <x:c r="G1424" t="str">
        <x:v>нет</x:v>
      </x:c>
      <x:c r="H1424" t="str">
        <x:v>нет</x:v>
      </x:c>
    </x:row>
    <x:row r="1425">
      <x:c r="A1425" t="str">
        <x:v>12384</x:v>
      </x:c>
      <x:c r="B1425" t="str">
        <x:v>www.stomos.ru</x:v>
      </x:c>
      <x:c r="C1425" t="e">
        <x:f>HYPERLINK("https://belberrycrm.bitrix24.ru/crm/deal/details/12384/","https://belberrycrm.bitrix24.ru/crm/deal/details/12384/")</x:f>
      </x:c>
      <x:c r="D1425" t="str">
        <x:v>Реанимация</x:v>
      </x:c>
      <x:c r="E1425" t="str">
        <x:v>База для реанимации</x:v>
      </x:c>
      <x:c r="F1425" t="str">
        <x:v>Админ всея Belberry</x:v>
      </x:c>
      <x:c r="G1425" t="str">
        <x:v>нет</x:v>
      </x:c>
      <x:c r="H1425" t="str">
        <x:v>нет</x:v>
      </x:c>
    </x:row>
    <x:row r="1426">
      <x:c r="A1426" t="str">
        <x:v>12390</x:v>
      </x:c>
      <x:c r="B1426" t="str">
        <x:v>dental-star</x:v>
      </x:c>
      <x:c r="C1426" t="e">
        <x:f>HYPERLINK("https://belberrycrm.bitrix24.ru/crm/deal/details/12390/","https://belberrycrm.bitrix24.ru/crm/deal/details/12390/")</x:f>
      </x:c>
      <x:c r="D1426" t="str">
        <x:v>Реанимация</x:v>
      </x:c>
      <x:c r="E1426" t="str">
        <x:v>База для реанимации</x:v>
      </x:c>
      <x:c r="F1426" t="str">
        <x:v>Админ всея Belberry</x:v>
      </x:c>
      <x:c r="G1426" t="str">
        <x:v>да</x:v>
      </x:c>
      <x:c r="H1426" t="str">
        <x:v>нет</x:v>
      </x:c>
    </x:row>
    <x:row r="1427">
      <x:c r="A1427" t="str">
        <x:v>12394</x:v>
      </x:c>
      <x:c r="B1427" t="str">
        <x:v>Александра</x:v>
      </x:c>
      <x:c r="C1427" t="e">
        <x:f>HYPERLINK("https://belberrycrm.bitrix24.ru/crm/deal/details/12394/","https://belberrycrm.bitrix24.ru/crm/deal/details/12394/")</x:f>
      </x:c>
      <x:c r="D1427" t="str">
        <x:v>Реанимация</x:v>
      </x:c>
      <x:c r="E1427" t="str">
        <x:v>База для реанимации</x:v>
      </x:c>
      <x:c r="F1427" t="str">
        <x:v>Админ всея Belberry</x:v>
      </x:c>
      <x:c r="G1427" t="str">
        <x:v>нет</x:v>
      </x:c>
      <x:c r="H1427" t="str">
        <x:v>нет</x:v>
      </x:c>
    </x:row>
    <x:row r="1428">
      <x:c r="A1428" t="str">
        <x:v>12398</x:v>
      </x:c>
      <x:c r="B1428" t="str">
        <x:v>underson.clinic</x:v>
      </x:c>
      <x:c r="C1428" t="e">
        <x:f>HYPERLINK("https://belberrycrm.bitrix24.ru/crm/deal/details/12398/","https://belberrycrm.bitrix24.ru/crm/deal/details/12398/")</x:f>
      </x:c>
      <x:c r="D1428" t="str">
        <x:v>Реанимация</x:v>
      </x:c>
      <x:c r="E1428" t="str">
        <x:v>База для реанимации</x:v>
      </x:c>
      <x:c r="F1428" t="str">
        <x:v>Админ всея Belberry</x:v>
      </x:c>
      <x:c r="G1428" t="str">
        <x:v>нет</x:v>
      </x:c>
      <x:c r="H1428" t="str">
        <x:v>нет</x:v>
      </x:c>
    </x:row>
    <x:row r="1429">
      <x:c r="A1429" t="str">
        <x:v>12400</x:v>
      </x:c>
      <x:c r="B1429" t="str">
        <x:v>moz10.ru</x:v>
      </x:c>
      <x:c r="C1429" t="e">
        <x:f>HYPERLINK("https://belberrycrm.bitrix24.ru/crm/deal/details/12400/","https://belberrycrm.bitrix24.ru/crm/deal/details/12400/")</x:f>
      </x:c>
      <x:c r="D1429" t="str">
        <x:v>Реанимация</x:v>
      </x:c>
      <x:c r="E1429" t="str">
        <x:v>База для реанимации</x:v>
      </x:c>
      <x:c r="F1429" t="str">
        <x:v>Админ всея Belberry</x:v>
      </x:c>
      <x:c r="G1429" t="str">
        <x:v>нет</x:v>
      </x:c>
      <x:c r="H1429" t="str">
        <x:v>нет</x:v>
      </x:c>
    </x:row>
    <x:row r="1430">
      <x:c r="A1430" t="str">
        <x:v>12404</x:v>
      </x:c>
      <x:c r="B1430" t="str">
        <x:v>dent-o-care.ru</x:v>
      </x:c>
      <x:c r="C1430" t="e">
        <x:f>HYPERLINK("https://belberrycrm.bitrix24.ru/crm/deal/details/12404/","https://belberrycrm.bitrix24.ru/crm/deal/details/12404/")</x:f>
      </x:c>
      <x:c r="D1430" t="str">
        <x:v>Реанимация</x:v>
      </x:c>
      <x:c r="E1430" t="str">
        <x:v>База для реанимации</x:v>
      </x:c>
      <x:c r="F1430" t="str">
        <x:v>Админ всея Belberry</x:v>
      </x:c>
      <x:c r="G1430" t="str">
        <x:v>нет</x:v>
      </x:c>
      <x:c r="H1430" t="str">
        <x:v>нет</x:v>
      </x:c>
    </x:row>
    <x:row r="1431">
      <x:c r="A1431" t="str">
        <x:v>12406</x:v>
      </x:c>
      <x:c r="B1431" t="str">
        <x:v>varicozu.net</x:v>
      </x:c>
      <x:c r="C1431" t="e">
        <x:f>HYPERLINK("https://belberrycrm.bitrix24.ru/crm/deal/details/12406/","https://belberrycrm.bitrix24.ru/crm/deal/details/12406/")</x:f>
      </x:c>
      <x:c r="D1431" t="str">
        <x:v>Реанимация</x:v>
      </x:c>
      <x:c r="E1431" t="str">
        <x:v>База для реанимации</x:v>
      </x:c>
      <x:c r="F1431" t="str">
        <x:v>Админ всея Belberry</x:v>
      </x:c>
      <x:c r="G1431" t="str">
        <x:v>нет</x:v>
      </x:c>
      <x:c r="H1431" t="str">
        <x:v>нет</x:v>
      </x:c>
    </x:row>
    <x:row r="1432">
      <x:c r="A1432" t="str">
        <x:v>12408</x:v>
      </x:c>
      <x:c r="B1432" t="str">
        <x:v>famdental.ru</x:v>
      </x:c>
      <x:c r="C1432" t="e">
        <x:f>HYPERLINK("https://belberrycrm.bitrix24.ru/crm/deal/details/12408/","https://belberrycrm.bitrix24.ru/crm/deal/details/12408/")</x:f>
      </x:c>
      <x:c r="D1432" t="str">
        <x:v>Реанимация</x:v>
      </x:c>
      <x:c r="E1432" t="str">
        <x:v>База для реанимации</x:v>
      </x:c>
      <x:c r="F1432" t="str">
        <x:v>Админ всея Belberry</x:v>
      </x:c>
      <x:c r="G1432" t="str">
        <x:v>нет</x:v>
      </x:c>
      <x:c r="H1432" t="str">
        <x:v>нет</x:v>
      </x:c>
    </x:row>
    <x:row r="1433">
      <x:c r="A1433" t="str">
        <x:v>12410</x:v>
      </x:c>
      <x:c r="B1433" t="str">
        <x:v>Стоматология</x:v>
      </x:c>
      <x:c r="C1433" t="e">
        <x:f>HYPERLINK("https://belberrycrm.bitrix24.ru/crm/deal/details/12410/","https://belberrycrm.bitrix24.ru/crm/deal/details/12410/")</x:f>
      </x:c>
      <x:c r="D1433" t="str">
        <x:v>Реанимация</x:v>
      </x:c>
      <x:c r="E1433" t="str">
        <x:v>База для реанимации</x:v>
      </x:c>
      <x:c r="F1433" t="str">
        <x:v>Админ всея Belberry</x:v>
      </x:c>
      <x:c r="G1433" t="str">
        <x:v>нет</x:v>
      </x:c>
      <x:c r="H1433" t="str">
        <x:v>нет</x:v>
      </x:c>
    </x:row>
    <x:row r="1434">
      <x:c r="A1434" t="str">
        <x:v>12412</x:v>
      </x:c>
      <x:c r="B1434" t="str">
        <x:v>Екатерина</x:v>
      </x:c>
      <x:c r="C1434" t="e">
        <x:f>HYPERLINK("https://belberrycrm.bitrix24.ru/crm/deal/details/12412/","https://belberrycrm.bitrix24.ru/crm/deal/details/12412/")</x:f>
      </x:c>
      <x:c r="D1434" t="str">
        <x:v>Реанимация</x:v>
      </x:c>
      <x:c r="E1434" t="str">
        <x:v>База для реанимации</x:v>
      </x:c>
      <x:c r="F1434" t="str">
        <x:v>Админ всея Belberry</x:v>
      </x:c>
      <x:c r="G1434" t="str">
        <x:v>нет</x:v>
      </x:c>
      <x:c r="H1434" t="str">
        <x:v>нет</x:v>
      </x:c>
    </x:row>
    <x:row r="1435">
      <x:c r="A1435" t="str">
        <x:v>12414</x:v>
      </x:c>
      <x:c r="B1435" t="str">
        <x:v>maxistom.ru</x:v>
      </x:c>
      <x:c r="C1435" t="e">
        <x:f>HYPERLINK("https://belberrycrm.bitrix24.ru/crm/deal/details/12414/","https://belberrycrm.bitrix24.ru/crm/deal/details/12414/")</x:f>
      </x:c>
      <x:c r="D1435" t="str">
        <x:v>Реанимация</x:v>
      </x:c>
      <x:c r="E1435" t="str">
        <x:v>База для реанимации</x:v>
      </x:c>
      <x:c r="F1435" t="str">
        <x:v>Админ всея Belberry</x:v>
      </x:c>
      <x:c r="G1435" t="str">
        <x:v>нет</x:v>
      </x:c>
      <x:c r="H1435" t="str">
        <x:v>нет</x:v>
      </x:c>
    </x:row>
    <x:row r="1436">
      <x:c r="A1436" t="str">
        <x:v>12416</x:v>
      </x:c>
      <x:c r="B1436" t="str">
        <x:v>maxistom32.ru</x:v>
      </x:c>
      <x:c r="C1436" t="e">
        <x:f>HYPERLINK("https://belberrycrm.bitrix24.ru/crm/deal/details/12416/","https://belberrycrm.bitrix24.ru/crm/deal/details/12416/")</x:f>
      </x:c>
      <x:c r="D1436" t="str">
        <x:v>Реанимация</x:v>
      </x:c>
      <x:c r="E1436" t="str">
        <x:v>База для реанимации</x:v>
      </x:c>
      <x:c r="F1436" t="str">
        <x:v>Админ всея Belberry</x:v>
      </x:c>
      <x:c r="G1436" t="str">
        <x:v>нет</x:v>
      </x:c>
      <x:c r="H1436" t="str">
        <x:v>нет</x:v>
      </x:c>
    </x:row>
    <x:row r="1437">
      <x:c r="A1437" t="str">
        <x:v>12422</x:v>
      </x:c>
      <x:c r="B1437" t="str">
        <x:v>www.praga.clinic</x:v>
      </x:c>
      <x:c r="C1437" t="e">
        <x:f>HYPERLINK("https://belberrycrm.bitrix24.ru/crm/deal/details/12422/","https://belberrycrm.bitrix24.ru/crm/deal/details/12422/")</x:f>
      </x:c>
      <x:c r="D1437" t="str">
        <x:v>Реанимация</x:v>
      </x:c>
      <x:c r="E1437" t="str">
        <x:v>База для реанимации</x:v>
      </x:c>
      <x:c r="F1437" t="str">
        <x:v>Админ всея Belberry</x:v>
      </x:c>
      <x:c r="G1437" t="str">
        <x:v>нет</x:v>
      </x:c>
      <x:c r="H1437" t="str">
        <x:v>нет</x:v>
      </x:c>
    </x:row>
    <x:row r="1438">
      <x:c r="A1438" t="str">
        <x:v>12424</x:v>
      </x:c>
      <x:c r="B1438" t="str">
        <x:v>Жимбуева Светлана Васильевна</x:v>
      </x:c>
      <x:c r="C1438" t="e">
        <x:f>HYPERLINK("https://belberrycrm.bitrix24.ru/crm/deal/details/12424/","https://belberrycrm.bitrix24.ru/crm/deal/details/12424/")</x:f>
      </x:c>
      <x:c r="D1438" t="str">
        <x:v>Реанимация</x:v>
      </x:c>
      <x:c r="E1438" t="str">
        <x:v>База для реанимации</x:v>
      </x:c>
      <x:c r="F1438" t="str">
        <x:v>Админ всея Belberry</x:v>
      </x:c>
      <x:c r="G1438" t="str">
        <x:v>нет</x:v>
      </x:c>
      <x:c r="H1438" t="str">
        <x:v>нет</x:v>
      </x:c>
    </x:row>
    <x:row r="1439">
      <x:c r="A1439" t="str">
        <x:v>12428</x:v>
      </x:c>
      <x:c r="B1439" t="str">
        <x:v>Алена</x:v>
      </x:c>
      <x:c r="C1439" t="e">
        <x:f>HYPERLINK("https://belberrycrm.bitrix24.ru/crm/deal/details/12428/","https://belberrycrm.bitrix24.ru/crm/deal/details/12428/")</x:f>
      </x:c>
      <x:c r="D1439" t="str">
        <x:v>Реанимация</x:v>
      </x:c>
      <x:c r="E1439" t="str">
        <x:v>База для реанимации</x:v>
      </x:c>
      <x:c r="F1439" t="str">
        <x:v>Админ всея Belberry</x:v>
      </x:c>
      <x:c r="G1439" t="str">
        <x:v>нет</x:v>
      </x:c>
      <x:c r="H1439" t="str">
        <x:v>нет</x:v>
      </x:c>
    </x:row>
    <x:row r="1440">
      <x:c r="A1440" t="str">
        <x:v>12430</x:v>
      </x:c>
      <x:c r="B1440" t="str">
        <x:v>irinazaitseva.ru</x:v>
      </x:c>
      <x:c r="C1440" t="e">
        <x:f>HYPERLINK("https://belberrycrm.bitrix24.ru/crm/deal/details/12430/","https://belberrycrm.bitrix24.ru/crm/deal/details/12430/")</x:f>
      </x:c>
      <x:c r="D1440" t="str">
        <x:v>Реанимация</x:v>
      </x:c>
      <x:c r="E1440" t="str">
        <x:v>База для реанимации</x:v>
      </x:c>
      <x:c r="F1440" t="str">
        <x:v>Админ всея Belberry</x:v>
      </x:c>
      <x:c r="G1440" t="str">
        <x:v>нет</x:v>
      </x:c>
      <x:c r="H1440" t="str">
        <x:v>нет</x:v>
      </x:c>
    </x:row>
    <x:row r="1441">
      <x:c r="A1441" t="str">
        <x:v>12434</x:v>
      </x:c>
      <x:c r="B1441" t="str">
        <x:v>Стеблецов Сергей Васильевич</x:v>
      </x:c>
      <x:c r="C1441" t="e">
        <x:f>HYPERLINK("https://belberrycrm.bitrix24.ru/crm/deal/details/12434/","https://belberrycrm.bitrix24.ru/crm/deal/details/12434/")</x:f>
      </x:c>
      <x:c r="D1441" t="str">
        <x:v>Реанимация</x:v>
      </x:c>
      <x:c r="E1441" t="str">
        <x:v>База для реанимации</x:v>
      </x:c>
      <x:c r="F1441" t="str">
        <x:v>Админ всея Belberry</x:v>
      </x:c>
      <x:c r="G1441" t="str">
        <x:v>нет</x:v>
      </x:c>
      <x:c r="H1441" t="str">
        <x:v>нет</x:v>
      </x:c>
    </x:row>
    <x:row r="1442">
      <x:c r="A1442" t="str">
        <x:v>12436</x:v>
      </x:c>
      <x:c r="B1442" t="str">
        <x:v>имплантациявмоскве.рф</x:v>
      </x:c>
      <x:c r="C1442" t="e">
        <x:f>HYPERLINK("https://belberrycrm.bitrix24.ru/crm/deal/details/12436/","https://belberrycrm.bitrix24.ru/crm/deal/details/12436/")</x:f>
      </x:c>
      <x:c r="D1442" t="str">
        <x:v>Реанимация</x:v>
      </x:c>
      <x:c r="E1442" t="str">
        <x:v>База для реанимации</x:v>
      </x:c>
      <x:c r="F1442" t="str">
        <x:v>Админ всея Belberry</x:v>
      </x:c>
      <x:c r="G1442" t="str">
        <x:v>нет</x:v>
      </x:c>
      <x:c r="H1442" t="str">
        <x:v>нет</x:v>
      </x:c>
    </x:row>
    <x:row r="1443">
      <x:c r="A1443" t="str">
        <x:v>12440</x:v>
      </x:c>
      <x:c r="B1443" t="str">
        <x:v>dentaklad.ru</x:v>
      </x:c>
      <x:c r="C1443" t="e">
        <x:f>HYPERLINK("https://belberrycrm.bitrix24.ru/crm/deal/details/12440/","https://belberrycrm.bitrix24.ru/crm/deal/details/12440/")</x:f>
      </x:c>
      <x:c r="D1443" t="str">
        <x:v>Реанимация</x:v>
      </x:c>
      <x:c r="E1443" t="str">
        <x:v>База для реанимации</x:v>
      </x:c>
      <x:c r="F1443" t="str">
        <x:v>Админ всея Belberry</x:v>
      </x:c>
      <x:c r="G1443" t="str">
        <x:v>нет</x:v>
      </x:c>
      <x:c r="H1443" t="str">
        <x:v>нет</x:v>
      </x:c>
    </x:row>
    <x:row r="1444">
      <x:c r="A1444" t="str">
        <x:v>12444</x:v>
      </x:c>
      <x:c r="B1444" t="str">
        <x:v>dentdoktor.ru</x:v>
      </x:c>
      <x:c r="C1444" t="e">
        <x:f>HYPERLINK("https://belberrycrm.bitrix24.ru/crm/deal/details/12444/","https://belberrycrm.bitrix24.ru/crm/deal/details/12444/")</x:f>
      </x:c>
      <x:c r="D1444" t="str">
        <x:v>Реанимация</x:v>
      </x:c>
      <x:c r="E1444" t="str">
        <x:v>База для реанимации</x:v>
      </x:c>
      <x:c r="F1444" t="str">
        <x:v>Админ всея Belberry</x:v>
      </x:c>
      <x:c r="G1444" t="str">
        <x:v>нет</x:v>
      </x:c>
      <x:c r="H1444" t="str">
        <x:v>нет</x:v>
      </x:c>
    </x:row>
    <x:row r="1445">
      <x:c r="A1445" t="str">
        <x:v>12448</x:v>
      </x:c>
      <x:c r="B1445" t="str">
        <x:v>Клиника ЭКО</x:v>
      </x:c>
      <x:c r="C1445" t="e">
        <x:f>HYPERLINK("https://belberrycrm.bitrix24.ru/crm/deal/details/12448/","https://belberrycrm.bitrix24.ru/crm/deal/details/12448/")</x:f>
      </x:c>
      <x:c r="D1445" t="str">
        <x:v>Реанимация</x:v>
      </x:c>
      <x:c r="E1445" t="str">
        <x:v>База для реанимации</x:v>
      </x:c>
      <x:c r="F1445" t="str">
        <x:v>Админ всея Belberry</x:v>
      </x:c>
      <x:c r="G1445" t="str">
        <x:v>нет</x:v>
      </x:c>
      <x:c r="H1445" t="str">
        <x:v>нет</x:v>
      </x:c>
    </x:row>
    <x:row r="1446">
      <x:c r="A1446" t="str">
        <x:v>12454</x:v>
      </x:c>
      <x:c r="B1446" t="str">
        <x:v>oncoart.ru</x:v>
      </x:c>
      <x:c r="C1446" t="e">
        <x:f>HYPERLINK("https://belberrycrm.bitrix24.ru/crm/deal/details/12454/","https://belberrycrm.bitrix24.ru/crm/deal/details/12454/")</x:f>
      </x:c>
      <x:c r="D1446" t="str">
        <x:v>Реанимация</x:v>
      </x:c>
      <x:c r="E1446" t="str">
        <x:v>База для реанимации</x:v>
      </x:c>
      <x:c r="F1446" t="str">
        <x:v>Админ всея Belberry</x:v>
      </x:c>
      <x:c r="G1446" t="str">
        <x:v>нет</x:v>
      </x:c>
      <x:c r="H1446" t="str">
        <x:v>нет</x:v>
      </x:c>
    </x:row>
    <x:row r="1447">
      <x:c r="A1447" t="str">
        <x:v>12456</x:v>
      </x:c>
      <x:c r="B1447" t="str">
        <x:v>Сделка #2278</x:v>
      </x:c>
      <x:c r="C1447" t="e">
        <x:f>HYPERLINK("https://belberrycrm.bitrix24.ru/crm/deal/details/12456/","https://belberrycrm.bitrix24.ru/crm/deal/details/12456/")</x:f>
      </x:c>
      <x:c r="D1447" t="str">
        <x:v>Реанимация</x:v>
      </x:c>
      <x:c r="E1447" t="str">
        <x:v>База для реанимации</x:v>
      </x:c>
      <x:c r="F1447" t="str">
        <x:v>Админ всея Belberry</x:v>
      </x:c>
      <x:c r="G1447" t="str">
        <x:v>нет</x:v>
      </x:c>
      <x:c r="H1447" t="str">
        <x:v>нет</x:v>
      </x:c>
    </x:row>
    <x:row r="1448">
      <x:c r="A1448" t="str">
        <x:v>12458</x:v>
      </x:c>
      <x:c r="B1448" t="str">
        <x:v>kredo-dent.ru</x:v>
      </x:c>
      <x:c r="C1448" t="e">
        <x:f>HYPERLINK("https://belberrycrm.bitrix24.ru/crm/deal/details/12458/","https://belberrycrm.bitrix24.ru/crm/deal/details/12458/")</x:f>
      </x:c>
      <x:c r="D1448" t="str">
        <x:v>Реанимация</x:v>
      </x:c>
      <x:c r="E1448" t="str">
        <x:v>База для реанимации</x:v>
      </x:c>
      <x:c r="F1448" t="str">
        <x:v>Админ всея Belberry</x:v>
      </x:c>
      <x:c r="G1448" t="str">
        <x:v>нет</x:v>
      </x:c>
      <x:c r="H1448" t="str">
        <x:v>нет</x:v>
      </x:c>
    </x:row>
    <x:row r="1449">
      <x:c r="A1449" t="str">
        <x:v>12460</x:v>
      </x:c>
      <x:c r="B1449" t="str">
        <x:v>altair-clinic.ru</x:v>
      </x:c>
      <x:c r="C1449" t="e">
        <x:f>HYPERLINK("https://belberrycrm.bitrix24.ru/crm/deal/details/12460/","https://belberrycrm.bitrix24.ru/crm/deal/details/12460/")</x:f>
      </x:c>
      <x:c r="D1449" t="str">
        <x:v>Реанимация</x:v>
      </x:c>
      <x:c r="E1449" t="str">
        <x:v>База для реанимации</x:v>
      </x:c>
      <x:c r="F1449" t="str">
        <x:v>Админ всея Belberry</x:v>
      </x:c>
      <x:c r="G1449" t="str">
        <x:v>нет</x:v>
      </x:c>
      <x:c r="H1449" t="str">
        <x:v>нет</x:v>
      </x:c>
    </x:row>
    <x:row r="1450">
      <x:c r="A1450" t="str">
        <x:v>12462</x:v>
      </x:c>
      <x:c r="B1450" t="str">
        <x:v>go-med.ru</x:v>
      </x:c>
      <x:c r="C1450" t="e">
        <x:f>HYPERLINK("https://belberrycrm.bitrix24.ru/crm/deal/details/12462/","https://belberrycrm.bitrix24.ru/crm/deal/details/12462/")</x:f>
      </x:c>
      <x:c r="D1450" t="str">
        <x:v>Реанимация</x:v>
      </x:c>
      <x:c r="E1450" t="str">
        <x:v>База для реанимации</x:v>
      </x:c>
      <x:c r="F1450" t="str">
        <x:v>Админ всея Belberry</x:v>
      </x:c>
      <x:c r="G1450" t="str">
        <x:v>да</x:v>
      </x:c>
      <x:c r="H1450" t="str">
        <x:v>нет</x:v>
      </x:c>
    </x:row>
    <x:row r="1451">
      <x:c r="A1451" t="str">
        <x:v>12472</x:v>
      </x:c>
      <x:c r="B1451" t="str">
        <x:v>www.onmed.ru</x:v>
      </x:c>
      <x:c r="C1451" t="e">
        <x:f>HYPERLINK("https://belberrycrm.bitrix24.ru/crm/deal/details/12472/","https://belberrycrm.bitrix24.ru/crm/deal/details/12472/")</x:f>
      </x:c>
      <x:c r="D1451" t="str">
        <x:v>Реанимация</x:v>
      </x:c>
      <x:c r="E1451" t="str">
        <x:v>База для реанимации</x:v>
      </x:c>
      <x:c r="F1451" t="str">
        <x:v>Админ всея Belberry</x:v>
      </x:c>
      <x:c r="G1451" t="str">
        <x:v>нет</x:v>
      </x:c>
      <x:c r="H1451" t="str">
        <x:v>нет</x:v>
      </x:c>
    </x:row>
    <x:row r="1452">
      <x:c r="A1452" t="str">
        <x:v>12474</x:v>
      </x:c>
      <x:c r="B1452" t="str">
        <x:v>www.russmile.ru</x:v>
      </x:c>
      <x:c r="C1452" t="e">
        <x:f>HYPERLINK("https://belberrycrm.bitrix24.ru/crm/deal/details/12474/","https://belberrycrm.bitrix24.ru/crm/deal/details/12474/")</x:f>
      </x:c>
      <x:c r="D1452" t="str">
        <x:v>Реанимация</x:v>
      </x:c>
      <x:c r="E1452" t="str">
        <x:v>База для реанимации</x:v>
      </x:c>
      <x:c r="F1452" t="str">
        <x:v>Админ всея Belberry</x:v>
      </x:c>
      <x:c r="G1452" t="str">
        <x:v>нет</x:v>
      </x:c>
      <x:c r="H1452" t="str">
        <x:v>нет</x:v>
      </x:c>
    </x:row>
    <x:row r="1453">
      <x:c r="A1453" t="str">
        <x:v>12478</x:v>
      </x:c>
      <x:c r="B1453" t="str">
        <x:v>elen-clinic.ru</x:v>
      </x:c>
      <x:c r="C1453" t="e">
        <x:f>HYPERLINK("https://belberrycrm.bitrix24.ru/crm/deal/details/12478/","https://belberrycrm.bitrix24.ru/crm/deal/details/12478/")</x:f>
      </x:c>
      <x:c r="D1453" t="str">
        <x:v>Реанимация</x:v>
      </x:c>
      <x:c r="E1453" t="str">
        <x:v>База для реанимации</x:v>
      </x:c>
      <x:c r="F1453" t="str">
        <x:v>Админ всея Belberry</x:v>
      </x:c>
      <x:c r="G1453" t="str">
        <x:v>нет</x:v>
      </x:c>
      <x:c r="H1453" t="str">
        <x:v>нет</x:v>
      </x:c>
    </x:row>
    <x:row r="1454">
      <x:c r="A1454" t="str">
        <x:v>12484</x:v>
      </x:c>
      <x:c r="B1454" t="str">
        <x:v>doctor-em.ru</x:v>
      </x:c>
      <x:c r="C1454" t="e">
        <x:f>HYPERLINK("https://belberrycrm.bitrix24.ru/crm/deal/details/12484/","https://belberrycrm.bitrix24.ru/crm/deal/details/12484/")</x:f>
      </x:c>
      <x:c r="D1454" t="str">
        <x:v>Реанимация</x:v>
      </x:c>
      <x:c r="E1454" t="str">
        <x:v>База для реанимации</x:v>
      </x:c>
      <x:c r="F1454" t="str">
        <x:v>Админ всея Belberry</x:v>
      </x:c>
      <x:c r="G1454" t="str">
        <x:v>нет</x:v>
      </x:c>
      <x:c r="H1454" t="str">
        <x:v>нет</x:v>
      </x:c>
    </x:row>
    <x:row r="1455">
      <x:c r="A1455" t="str">
        <x:v>12486</x:v>
      </x:c>
      <x:c r="B1455" t="str">
        <x:v>videntis.ru</x:v>
      </x:c>
      <x:c r="C1455" t="e">
        <x:f>HYPERLINK("https://belberrycrm.bitrix24.ru/crm/deal/details/12486/","https://belberrycrm.bitrix24.ru/crm/deal/details/12486/")</x:f>
      </x:c>
      <x:c r="D1455" t="str">
        <x:v>Реанимация</x:v>
      </x:c>
      <x:c r="E1455" t="str">
        <x:v>База для реанимации</x:v>
      </x:c>
      <x:c r="F1455" t="str">
        <x:v>Админ всея Belberry</x:v>
      </x:c>
      <x:c r="G1455" t="str">
        <x:v>нет</x:v>
      </x:c>
      <x:c r="H1455" t="str">
        <x:v>нет</x:v>
      </x:c>
    </x:row>
    <x:row r="1456">
      <x:c r="A1456" t="str">
        <x:v>12488</x:v>
      </x:c>
      <x:c r="B1456" t="str">
        <x:v>мирзубов.рф</x:v>
      </x:c>
      <x:c r="C1456" t="e">
        <x:f>HYPERLINK("https://belberrycrm.bitrix24.ru/crm/deal/details/12488/","https://belberrycrm.bitrix24.ru/crm/deal/details/12488/")</x:f>
      </x:c>
      <x:c r="D1456" t="str">
        <x:v>Реанимация</x:v>
      </x:c>
      <x:c r="E1456" t="str">
        <x:v>База для реанимации</x:v>
      </x:c>
      <x:c r="F1456" t="str">
        <x:v>Админ всея Belberry</x:v>
      </x:c>
      <x:c r="G1456" t="str">
        <x:v>нет</x:v>
      </x:c>
      <x:c r="H1456" t="str">
        <x:v>нет</x:v>
      </x:c>
    </x:row>
    <x:row r="1457">
      <x:c r="A1457" t="str">
        <x:v>12492</x:v>
      </x:c>
      <x:c r="B1457" t="str">
        <x:v>Нина</x:v>
      </x:c>
      <x:c r="C1457" t="e">
        <x:f>HYPERLINK("https://belberrycrm.bitrix24.ru/crm/deal/details/12492/","https://belberrycrm.bitrix24.ru/crm/deal/details/12492/")</x:f>
      </x:c>
      <x:c r="D1457" t="str">
        <x:v>Реанимация</x:v>
      </x:c>
      <x:c r="E1457" t="str">
        <x:v>База для реанимации</x:v>
      </x:c>
      <x:c r="F1457" t="str">
        <x:v>Админ всея Belberry</x:v>
      </x:c>
      <x:c r="G1457" t="str">
        <x:v>нет</x:v>
      </x:c>
      <x:c r="H1457" t="str">
        <x:v>нет</x:v>
      </x:c>
    </x:row>
    <x:row r="1458">
      <x:c r="A1458" t="str">
        <x:v>12494</x:v>
      </x:c>
      <x:c r="B1458" t="str">
        <x:v>Стоматологическая клиника Даф-мед на Дубнинской улице</x:v>
      </x:c>
      <x:c r="C1458" t="e">
        <x:f>HYPERLINK("https://belberrycrm.bitrix24.ru/crm/deal/details/12494/","https://belberrycrm.bitrix24.ru/crm/deal/details/12494/")</x:f>
      </x:c>
      <x:c r="D1458" t="str">
        <x:v>Реанимация</x:v>
      </x:c>
      <x:c r="E1458" t="str">
        <x:v>База для реанимации</x:v>
      </x:c>
      <x:c r="F1458" t="str">
        <x:v>Админ всея Belberry</x:v>
      </x:c>
      <x:c r="G1458" t="str">
        <x:v>нет</x:v>
      </x:c>
      <x:c r="H1458" t="str">
        <x:v>нет</x:v>
      </x:c>
    </x:row>
    <x:row r="1459">
      <x:c r="A1459" t="str">
        <x:v>12498</x:v>
      </x:c>
      <x:c r="B1459" t="str">
        <x:v>magiaulibki.ru</x:v>
      </x:c>
      <x:c r="C1459" t="e">
        <x:f>HYPERLINK("https://belberrycrm.bitrix24.ru/crm/deal/details/12498/","https://belberrycrm.bitrix24.ru/crm/deal/details/12498/")</x:f>
      </x:c>
      <x:c r="D1459" t="str">
        <x:v>Реанимация</x:v>
      </x:c>
      <x:c r="E1459" t="str">
        <x:v>База для реанимации</x:v>
      </x:c>
      <x:c r="F1459" t="str">
        <x:v>Админ всея Belberry</x:v>
      </x:c>
      <x:c r="G1459" t="str">
        <x:v>нет</x:v>
      </x:c>
      <x:c r="H1459" t="str">
        <x:v>нет</x:v>
      </x:c>
    </x:row>
    <x:row r="1460">
      <x:c r="A1460" t="str">
        <x:v>12502</x:v>
      </x:c>
      <x:c r="B1460" t="str">
        <x:v>ws-dent.com</x:v>
      </x:c>
      <x:c r="C1460" t="e">
        <x:f>HYPERLINK("https://belberrycrm.bitrix24.ru/crm/deal/details/12502/","https://belberrycrm.bitrix24.ru/crm/deal/details/12502/")</x:f>
      </x:c>
      <x:c r="D1460" t="str">
        <x:v>Реанимация</x:v>
      </x:c>
      <x:c r="E1460" t="str">
        <x:v>База для реанимации</x:v>
      </x:c>
      <x:c r="F1460" t="str">
        <x:v>Админ всея Belberry</x:v>
      </x:c>
      <x:c r="G1460" t="str">
        <x:v>нет</x:v>
      </x:c>
      <x:c r="H1460" t="str">
        <x:v>нет</x:v>
      </x:c>
    </x:row>
    <x:row r="1461">
      <x:c r="A1461" t="str">
        <x:v>12504</x:v>
      </x:c>
      <x:c r="B1461" t="str">
        <x:v>www.studiobl.ru</x:v>
      </x:c>
      <x:c r="C1461" t="e">
        <x:f>HYPERLINK("https://belberrycrm.bitrix24.ru/crm/deal/details/12504/","https://belberrycrm.bitrix24.ru/crm/deal/details/12504/")</x:f>
      </x:c>
      <x:c r="D1461" t="str">
        <x:v>Реанимация</x:v>
      </x:c>
      <x:c r="E1461" t="str">
        <x:v>База для реанимации</x:v>
      </x:c>
      <x:c r="F1461" t="str">
        <x:v>Админ всея Belberry</x:v>
      </x:c>
      <x:c r="G1461" t="str">
        <x:v>да</x:v>
      </x:c>
      <x:c r="H1461" t="str">
        <x:v>нет</x:v>
      </x:c>
    </x:row>
    <x:row r="1462">
      <x:c r="A1462" t="str">
        <x:v>12506</x:v>
      </x:c>
      <x:c r="B1462" t="str">
        <x:v>kdc.clinic</x:v>
      </x:c>
      <x:c r="C1462" t="e">
        <x:f>HYPERLINK("https://belberrycrm.bitrix24.ru/crm/deal/details/12506/","https://belberrycrm.bitrix24.ru/crm/deal/details/12506/")</x:f>
      </x:c>
      <x:c r="D1462" t="str">
        <x:v>Реанимация</x:v>
      </x:c>
      <x:c r="E1462" t="str">
        <x:v>База для реанимации</x:v>
      </x:c>
      <x:c r="F1462" t="str">
        <x:v>Админ всея Belberry</x:v>
      </x:c>
      <x:c r="G1462" t="str">
        <x:v>нет</x:v>
      </x:c>
      <x:c r="H1462" t="str">
        <x:v>нет</x:v>
      </x:c>
    </x:row>
    <x:row r="1463">
      <x:c r="A1463" t="str">
        <x:v>12512</x:v>
      </x:c>
      <x:c r="B1463" t="str">
        <x:v>smilebureau.ru</x:v>
      </x:c>
      <x:c r="C1463" t="e">
        <x:f>HYPERLINK("https://belberrycrm.bitrix24.ru/crm/deal/details/12512/","https://belberrycrm.bitrix24.ru/crm/deal/details/12512/")</x:f>
      </x:c>
      <x:c r="D1463" t="str">
        <x:v>Реанимация</x:v>
      </x:c>
      <x:c r="E1463" t="str">
        <x:v>База для реанимации</x:v>
      </x:c>
      <x:c r="F1463" t="str">
        <x:v>Админ всея Belberry</x:v>
      </x:c>
      <x:c r="G1463" t="str">
        <x:v>нет</x:v>
      </x:c>
      <x:c r="H1463" t="str">
        <x:v>нет</x:v>
      </x:c>
    </x:row>
    <x:row r="1464">
      <x:c r="A1464" t="str">
        <x:v>12516</x:v>
      </x:c>
      <x:c r="B1464" t="str">
        <x:v>Анастасия Сведенцова</x:v>
      </x:c>
      <x:c r="C1464" t="e">
        <x:f>HYPERLINK("https://belberrycrm.bitrix24.ru/crm/deal/details/12516/","https://belberrycrm.bitrix24.ru/crm/deal/details/12516/")</x:f>
      </x:c>
      <x:c r="D1464" t="str">
        <x:v>Реанимация</x:v>
      </x:c>
      <x:c r="E1464" t="str">
        <x:v>База для реанимации</x:v>
      </x:c>
      <x:c r="F1464" t="str">
        <x:v>Админ всея Belberry</x:v>
      </x:c>
      <x:c r="G1464" t="str">
        <x:v>нет</x:v>
      </x:c>
      <x:c r="H1464" t="str">
        <x:v>нет</x:v>
      </x:c>
    </x:row>
    <x:row r="1465">
      <x:c r="A1465" t="str">
        <x:v>12518</x:v>
      </x:c>
      <x:c r="B1465" t="str">
        <x:v>doktora-lazareva-med.obiz.ru</x:v>
      </x:c>
      <x:c r="C1465" t="e">
        <x:f>HYPERLINK("https://belberrycrm.bitrix24.ru/crm/deal/details/12518/","https://belberrycrm.bitrix24.ru/crm/deal/details/12518/")</x:f>
      </x:c>
      <x:c r="D1465" t="str">
        <x:v>Реанимация</x:v>
      </x:c>
      <x:c r="E1465" t="str">
        <x:v>База для реанимации</x:v>
      </x:c>
      <x:c r="F1465" t="str">
        <x:v>Админ всея Belberry</x:v>
      </x:c>
      <x:c r="G1465" t="str">
        <x:v>нет</x:v>
      </x:c>
      <x:c r="H1465" t="str">
        <x:v>нет</x:v>
      </x:c>
    </x:row>
    <x:row r="1466">
      <x:c r="A1466" t="str">
        <x:v>12522</x:v>
      </x:c>
      <x:c r="B1466" t="str">
        <x:v>med-expres.ru</x:v>
      </x:c>
      <x:c r="C1466" t="e">
        <x:f>HYPERLINK("https://belberrycrm.bitrix24.ru/crm/deal/details/12522/","https://belberrycrm.bitrix24.ru/crm/deal/details/12522/")</x:f>
      </x:c>
      <x:c r="D1466" t="str">
        <x:v>Реанимация</x:v>
      </x:c>
      <x:c r="E1466" t="str">
        <x:v>База для реанимации</x:v>
      </x:c>
      <x:c r="F1466" t="str">
        <x:v>Админ всея Belberry</x:v>
      </x:c>
      <x:c r="G1466" t="str">
        <x:v>нет</x:v>
      </x:c>
      <x:c r="H1466" t="str">
        <x:v>нет</x:v>
      </x:c>
    </x:row>
    <x:row r="1467">
      <x:c r="A1467" t="str">
        <x:v>12524</x:v>
      </x:c>
      <x:c r="B1467" t="str">
        <x:v>dr-kerimov.ru</x:v>
      </x:c>
      <x:c r="C1467" t="e">
        <x:f>HYPERLINK("https://belberrycrm.bitrix24.ru/crm/deal/details/12524/","https://belberrycrm.bitrix24.ru/crm/deal/details/12524/")</x:f>
      </x:c>
      <x:c r="D1467" t="str">
        <x:v>Реанимация</x:v>
      </x:c>
      <x:c r="E1467" t="str">
        <x:v>База для реанимации</x:v>
      </x:c>
      <x:c r="F1467" t="str">
        <x:v>Админ всея Belberry</x:v>
      </x:c>
      <x:c r="G1467" t="str">
        <x:v>нет</x:v>
      </x:c>
      <x:c r="H1467" t="str">
        <x:v>нет</x:v>
      </x:c>
    </x:row>
    <x:row r="1468">
      <x:c r="A1468" t="str">
        <x:v>12526</x:v>
      </x:c>
      <x:c r="B1468" t="str">
        <x:v>stomaserviss.ru</x:v>
      </x:c>
      <x:c r="C1468" t="e">
        <x:f>HYPERLINK("https://belberrycrm.bitrix24.ru/crm/deal/details/12526/","https://belberrycrm.bitrix24.ru/crm/deal/details/12526/")</x:f>
      </x:c>
      <x:c r="D1468" t="str">
        <x:v>Реанимация</x:v>
      </x:c>
      <x:c r="E1468" t="str">
        <x:v>База для реанимации</x:v>
      </x:c>
      <x:c r="F1468" t="str">
        <x:v>Админ всея Belberry</x:v>
      </x:c>
      <x:c r="G1468" t="str">
        <x:v>нет</x:v>
      </x:c>
      <x:c r="H1468" t="str">
        <x:v>нет</x:v>
      </x:c>
    </x:row>
    <x:row r="1469">
      <x:c r="A1469" t="str">
        <x:v>12530</x:v>
      </x:c>
      <x:c r="B1469" t="str">
        <x:v>atreya-ayurveda.ru</x:v>
      </x:c>
      <x:c r="C1469" t="e">
        <x:f>HYPERLINK("https://belberrycrm.bitrix24.ru/crm/deal/details/12530/","https://belberrycrm.bitrix24.ru/crm/deal/details/12530/")</x:f>
      </x:c>
      <x:c r="D1469" t="str">
        <x:v>Реанимация</x:v>
      </x:c>
      <x:c r="E1469" t="str">
        <x:v>База для реанимации</x:v>
      </x:c>
      <x:c r="F1469" t="str">
        <x:v>Админ всея Belberry</x:v>
      </x:c>
      <x:c r="G1469" t="str">
        <x:v>нет</x:v>
      </x:c>
      <x:c r="H1469" t="str">
        <x:v>нет</x:v>
      </x:c>
    </x:row>
    <x:row r="1470">
      <x:c r="A1470" t="str">
        <x:v>12534</x:v>
      </x:c>
      <x:c r="B1470" t="str">
        <x:v>yusupovs.com</x:v>
      </x:c>
      <x:c r="C1470" t="e">
        <x:f>HYPERLINK("https://belberrycrm.bitrix24.ru/crm/deal/details/12534/","https://belberrycrm.bitrix24.ru/crm/deal/details/12534/")</x:f>
      </x:c>
      <x:c r="D1470" t="str">
        <x:v>Реанимация</x:v>
      </x:c>
      <x:c r="E1470" t="str">
        <x:v>База для реанимации</x:v>
      </x:c>
      <x:c r="F1470" t="str">
        <x:v>Админ всея Belberry</x:v>
      </x:c>
      <x:c r="G1470" t="str">
        <x:v>нет</x:v>
      </x:c>
      <x:c r="H1470" t="str">
        <x:v>нет</x:v>
      </x:c>
    </x:row>
    <x:row r="1471">
      <x:c r="A1471" t="str">
        <x:v>12536</x:v>
      </x:c>
      <x:c r="B1471" t="str">
        <x:v>medinef.ru</x:v>
      </x:c>
      <x:c r="C1471" t="e">
        <x:f>HYPERLINK("https://belberrycrm.bitrix24.ru/crm/deal/details/12536/","https://belberrycrm.bitrix24.ru/crm/deal/details/12536/")</x:f>
      </x:c>
      <x:c r="D1471" t="str">
        <x:v>Реанимация</x:v>
      </x:c>
      <x:c r="E1471" t="str">
        <x:v>База для реанимации</x:v>
      </x:c>
      <x:c r="F1471" t="str">
        <x:v>Админ всея Belberry</x:v>
      </x:c>
      <x:c r="G1471" t="str">
        <x:v>нет</x:v>
      </x:c>
      <x:c r="H1471" t="str">
        <x:v>нет</x:v>
      </x:c>
    </x:row>
    <x:row r="1472">
      <x:c r="A1472" t="str">
        <x:v>12540</x:v>
      </x:c>
      <x:c r="B1472" t="str">
        <x:v>www.sfe.ru</x:v>
      </x:c>
      <x:c r="C1472" t="e">
        <x:f>HYPERLINK("https://belberrycrm.bitrix24.ru/crm/deal/details/12540/","https://belberrycrm.bitrix24.ru/crm/deal/details/12540/")</x:f>
      </x:c>
      <x:c r="D1472" t="str">
        <x:v>Реанимация</x:v>
      </x:c>
      <x:c r="E1472" t="str">
        <x:v>База для реанимации</x:v>
      </x:c>
      <x:c r="F1472" t="str">
        <x:v>Админ всея Belberry</x:v>
      </x:c>
      <x:c r="G1472" t="str">
        <x:v>нет</x:v>
      </x:c>
      <x:c r="H1472" t="str">
        <x:v>нет</x:v>
      </x:c>
    </x:row>
    <x:row r="1473">
      <x:c r="A1473" t="str">
        <x:v>12542</x:v>
      </x:c>
      <x:c r="B1473" t="str">
        <x:v>imma.ru</x:v>
      </x:c>
      <x:c r="C1473" t="e">
        <x:f>HYPERLINK("https://belberrycrm.bitrix24.ru/crm/deal/details/12542/","https://belberrycrm.bitrix24.ru/crm/deal/details/12542/")</x:f>
      </x:c>
      <x:c r="D1473" t="str">
        <x:v>Реанимация</x:v>
      </x:c>
      <x:c r="E1473" t="str">
        <x:v>База для реанимации</x:v>
      </x:c>
      <x:c r="F1473" t="str">
        <x:v>Админ всея Belberry</x:v>
      </x:c>
      <x:c r="G1473" t="str">
        <x:v>нет</x:v>
      </x:c>
      <x:c r="H1473" t="str">
        <x:v>нет</x:v>
      </x:c>
    </x:row>
    <x:row r="1474">
      <x:c r="A1474" t="str">
        <x:v>12546</x:v>
      </x:c>
      <x:c r="B1474" t="str">
        <x:v>парикмахерская-виктория.рф</x:v>
      </x:c>
      <x:c r="C1474" t="e">
        <x:f>HYPERLINK("https://belberrycrm.bitrix24.ru/crm/deal/details/12546/","https://belberrycrm.bitrix24.ru/crm/deal/details/12546/")</x:f>
      </x:c>
      <x:c r="D1474" t="str">
        <x:v>Реанимация</x:v>
      </x:c>
      <x:c r="E1474" t="str">
        <x:v>База для реанимации</x:v>
      </x:c>
      <x:c r="F1474" t="str">
        <x:v>Админ всея Belberry</x:v>
      </x:c>
      <x:c r="G1474" t="str">
        <x:v>нет</x:v>
      </x:c>
      <x:c r="H1474" t="str">
        <x:v>нет</x:v>
      </x:c>
    </x:row>
    <x:row r="1475">
      <x:c r="A1475" t="str">
        <x:v>12548</x:v>
      </x:c>
      <x:c r="B1475" t="str">
        <x:v>moa-clinic.ru</x:v>
      </x:c>
      <x:c r="C1475" t="e">
        <x:f>HYPERLINK("https://belberrycrm.bitrix24.ru/crm/deal/details/12548/","https://belberrycrm.bitrix24.ru/crm/deal/details/12548/")</x:f>
      </x:c>
      <x:c r="D1475" t="str">
        <x:v>Реанимация</x:v>
      </x:c>
      <x:c r="E1475" t="str">
        <x:v>База для реанимации</x:v>
      </x:c>
      <x:c r="F1475" t="str">
        <x:v>Админ всея Belberry</x:v>
      </x:c>
      <x:c r="G1475" t="str">
        <x:v>нет</x:v>
      </x:c>
      <x:c r="H1475" t="str">
        <x:v>нет</x:v>
      </x:c>
    </x:row>
    <x:row r="1476">
      <x:c r="A1476" t="str">
        <x:v>12554</x:v>
      </x:c>
      <x:c r="B1476" t="str">
        <x:v>dent-ist.ru</x:v>
      </x:c>
      <x:c r="C1476" t="e">
        <x:f>HYPERLINK("https://belberrycrm.bitrix24.ru/crm/deal/details/12554/","https://belberrycrm.bitrix24.ru/crm/deal/details/12554/")</x:f>
      </x:c>
      <x:c r="D1476" t="str">
        <x:v>Реанимация</x:v>
      </x:c>
      <x:c r="E1476" t="str">
        <x:v>База для реанимации</x:v>
      </x:c>
      <x:c r="F1476" t="str">
        <x:v>Админ всея Belberry</x:v>
      </x:c>
      <x:c r="G1476" t="str">
        <x:v>нет</x:v>
      </x:c>
      <x:c r="H1476" t="str">
        <x:v>нет</x:v>
      </x:c>
    </x:row>
    <x:row r="1477">
      <x:c r="A1477" t="str">
        <x:v>12556</x:v>
      </x:c>
      <x:c r="B1477" t="str">
        <x:v>medkvadrat.ru</x:v>
      </x:c>
      <x:c r="C1477" t="e">
        <x:f>HYPERLINK("https://belberrycrm.bitrix24.ru/crm/deal/details/12556/","https://belberrycrm.bitrix24.ru/crm/deal/details/12556/")</x:f>
      </x:c>
      <x:c r="D1477" t="str">
        <x:v>Реанимация</x:v>
      </x:c>
      <x:c r="E1477" t="str">
        <x:v>База для реанимации</x:v>
      </x:c>
      <x:c r="F1477" t="str">
        <x:v>Админ всея Belberry</x:v>
      </x:c>
      <x:c r="G1477" t="str">
        <x:v>нет</x:v>
      </x:c>
      <x:c r="H1477" t="str">
        <x:v>нет</x:v>
      </x:c>
    </x:row>
    <x:row r="1478">
      <x:c r="A1478" t="str">
        <x:v>12560</x:v>
      </x:c>
      <x:c r="B1478" t="str">
        <x:v>oncostop.su</x:v>
      </x:c>
      <x:c r="C1478" t="e">
        <x:f>HYPERLINK("https://belberrycrm.bitrix24.ru/crm/deal/details/12560/","https://belberrycrm.bitrix24.ru/crm/deal/details/12560/")</x:f>
      </x:c>
      <x:c r="D1478" t="str">
        <x:v>Реанимация</x:v>
      </x:c>
      <x:c r="E1478" t="str">
        <x:v>База для реанимации</x:v>
      </x:c>
      <x:c r="F1478" t="str">
        <x:v>Админ всея Belberry</x:v>
      </x:c>
      <x:c r="G1478" t="str">
        <x:v>нет</x:v>
      </x:c>
      <x:c r="H1478" t="str">
        <x:v>нет</x:v>
      </x:c>
    </x:row>
    <x:row r="1479">
      <x:c r="A1479" t="str">
        <x:v>12562</x:v>
      </x:c>
      <x:c r="B1479" t="str">
        <x:v>everesthetic.ru</x:v>
      </x:c>
      <x:c r="C1479" t="e">
        <x:f>HYPERLINK("https://belberrycrm.bitrix24.ru/crm/deal/details/12562/","https://belberrycrm.bitrix24.ru/crm/deal/details/12562/")</x:f>
      </x:c>
      <x:c r="D1479" t="str">
        <x:v>Реанимация</x:v>
      </x:c>
      <x:c r="E1479" t="str">
        <x:v>База для реанимации</x:v>
      </x:c>
      <x:c r="F1479" t="str">
        <x:v>Админ всея Belberry</x:v>
      </x:c>
      <x:c r="G1479" t="str">
        <x:v>нет</x:v>
      </x:c>
      <x:c r="H1479" t="str">
        <x:v>нет</x:v>
      </x:c>
    </x:row>
    <x:row r="1480">
      <x:c r="A1480" t="str">
        <x:v>12572</x:v>
      </x:c>
      <x:c r="B1480" t="str">
        <x:v>medongroup-msk.ru</x:v>
      </x:c>
      <x:c r="C1480" t="e">
        <x:f>HYPERLINK("https://belberrycrm.bitrix24.ru/crm/deal/details/12572/","https://belberrycrm.bitrix24.ru/crm/deal/details/12572/")</x:f>
      </x:c>
      <x:c r="D1480" t="str">
        <x:v>Реанимация</x:v>
      </x:c>
      <x:c r="E1480" t="str">
        <x:v>База для реанимации</x:v>
      </x:c>
      <x:c r="F1480" t="str">
        <x:v>Админ всея Belberry</x:v>
      </x:c>
      <x:c r="G1480" t="str">
        <x:v>нет</x:v>
      </x:c>
      <x:c r="H1480" t="str">
        <x:v>нет</x:v>
      </x:c>
    </x:row>
    <x:row r="1481">
      <x:c r="A1481" t="str">
        <x:v>12576</x:v>
      </x:c>
      <x:c r="B1481" t="str">
        <x:v>prezi-dent.ru/novogireevo/stomatologiya</x:v>
      </x:c>
      <x:c r="C1481" t="e">
        <x:f>HYPERLINK("https://belberrycrm.bitrix24.ru/crm/deal/details/12576/","https://belberrycrm.bitrix24.ru/crm/deal/details/12576/")</x:f>
      </x:c>
      <x:c r="D1481" t="str">
        <x:v>Реанимация</x:v>
      </x:c>
      <x:c r="E1481" t="str">
        <x:v>База для реанимации</x:v>
      </x:c>
      <x:c r="F1481" t="str">
        <x:v>Админ всея Belberry</x:v>
      </x:c>
      <x:c r="G1481" t="str">
        <x:v>нет</x:v>
      </x:c>
      <x:c r="H1481" t="str">
        <x:v>нет</x:v>
      </x:c>
    </x:row>
    <x:row r="1482">
      <x:c r="A1482" t="str">
        <x:v>12578</x:v>
      </x:c>
      <x:c r="B1482" t="str">
        <x:v>Наталья</x:v>
      </x:c>
      <x:c r="C1482" t="e">
        <x:f>HYPERLINK("https://belberrycrm.bitrix24.ru/crm/deal/details/12578/","https://belberrycrm.bitrix24.ru/crm/deal/details/12578/")</x:f>
      </x:c>
      <x:c r="D1482" t="str">
        <x:v>Реанимация</x:v>
      </x:c>
      <x:c r="E1482" t="str">
        <x:v>База для реанимации</x:v>
      </x:c>
      <x:c r="F1482" t="str">
        <x:v>Админ всея Belberry</x:v>
      </x:c>
      <x:c r="G1482" t="str">
        <x:v>нет</x:v>
      </x:c>
      <x:c r="H1482" t="str">
        <x:v>нет</x:v>
      </x:c>
    </x:row>
    <x:row r="1483">
      <x:c r="A1483" t="str">
        <x:v>12580</x:v>
      </x:c>
      <x:c r="B1483" t="str">
        <x:v>vugistomat.com</x:v>
      </x:c>
      <x:c r="C1483" t="e">
        <x:f>HYPERLINK("https://belberrycrm.bitrix24.ru/crm/deal/details/12580/","https://belberrycrm.bitrix24.ru/crm/deal/details/12580/")</x:f>
      </x:c>
      <x:c r="D1483" t="str">
        <x:v>Реанимация</x:v>
      </x:c>
      <x:c r="E1483" t="str">
        <x:v>База для реанимации</x:v>
      </x:c>
      <x:c r="F1483" t="str">
        <x:v>Админ всея Belberry</x:v>
      </x:c>
      <x:c r="G1483" t="str">
        <x:v>нет</x:v>
      </x:c>
      <x:c r="H1483" t="str">
        <x:v>нет</x:v>
      </x:c>
    </x:row>
    <x:row r="1484">
      <x:c r="A1484" t="str">
        <x:v>12582</x:v>
      </x:c>
      <x:c r="B1484" t="str">
        <x:v>shishonin.ru</x:v>
      </x:c>
      <x:c r="C1484" t="e">
        <x:f>HYPERLINK("https://belberrycrm.bitrix24.ru/crm/deal/details/12582/","https://belberrycrm.bitrix24.ru/crm/deal/details/12582/")</x:f>
      </x:c>
      <x:c r="D1484" t="str">
        <x:v>Реанимация</x:v>
      </x:c>
      <x:c r="E1484" t="str">
        <x:v>База для реанимации</x:v>
      </x:c>
      <x:c r="F1484" t="str">
        <x:v>Админ всея Belberry</x:v>
      </x:c>
      <x:c r="G1484" t="str">
        <x:v>нет</x:v>
      </x:c>
      <x:c r="H1484" t="str">
        <x:v>нет</x:v>
      </x:c>
    </x:row>
    <x:row r="1485">
      <x:c r="A1485" t="str">
        <x:v>12584</x:v>
      </x:c>
      <x:c r="B1485" t="str">
        <x:v>doctorlemberg.ru</x:v>
      </x:c>
      <x:c r="C1485" t="e">
        <x:f>HYPERLINK("https://belberrycrm.bitrix24.ru/crm/deal/details/12584/","https://belberrycrm.bitrix24.ru/crm/deal/details/12584/")</x:f>
      </x:c>
      <x:c r="D1485" t="str">
        <x:v>Реанимация</x:v>
      </x:c>
      <x:c r="E1485" t="str">
        <x:v>База для реанимации</x:v>
      </x:c>
      <x:c r="F1485" t="str">
        <x:v>Админ всея Belberry</x:v>
      </x:c>
      <x:c r="G1485" t="str">
        <x:v>нет</x:v>
      </x:c>
      <x:c r="H1485" t="str">
        <x:v>нет</x:v>
      </x:c>
    </x:row>
    <x:row r="1486">
      <x:c r="A1486" t="str">
        <x:v>12586</x:v>
      </x:c>
      <x:c r="B1486" t="str">
        <x:v>ZMStudio.ru</x:v>
      </x:c>
      <x:c r="C1486" t="e">
        <x:f>HYPERLINK("https://belberrycrm.bitrix24.ru/crm/deal/details/12586/","https://belberrycrm.bitrix24.ru/crm/deal/details/12586/")</x:f>
      </x:c>
      <x:c r="D1486" t="str">
        <x:v>Реанимация</x:v>
      </x:c>
      <x:c r="E1486" t="str">
        <x:v>База для реанимации</x:v>
      </x:c>
      <x:c r="F1486" t="str">
        <x:v>Админ всея Belberry</x:v>
      </x:c>
      <x:c r="G1486" t="str">
        <x:v>нет</x:v>
      </x:c>
      <x:c r="H1486" t="str">
        <x:v>нет</x:v>
      </x:c>
    </x:row>
    <x:row r="1487">
      <x:c r="A1487" t="str">
        <x:v>12588</x:v>
      </x:c>
      <x:c r="B1487" t="str">
        <x:v>стартцентр.москва</x:v>
      </x:c>
      <x:c r="C1487" t="e">
        <x:f>HYPERLINK("https://belberrycrm.bitrix24.ru/crm/deal/details/12588/","https://belberrycrm.bitrix24.ru/crm/deal/details/12588/")</x:f>
      </x:c>
      <x:c r="D1487" t="str">
        <x:v>Реанимация</x:v>
      </x:c>
      <x:c r="E1487" t="str">
        <x:v>База для реанимации</x:v>
      </x:c>
      <x:c r="F1487" t="str">
        <x:v>Админ всея Belberry</x:v>
      </x:c>
      <x:c r="G1487" t="str">
        <x:v>нет</x:v>
      </x:c>
      <x:c r="H1487" t="str">
        <x:v>нет</x:v>
      </x:c>
    </x:row>
    <x:row r="1488">
      <x:c r="A1488" t="str">
        <x:v>12590</x:v>
      </x:c>
      <x:c r="B1488" t="str">
        <x:v>nrmed.ru</x:v>
      </x:c>
      <x:c r="C1488" t="e">
        <x:f>HYPERLINK("https://belberrycrm.bitrix24.ru/crm/deal/details/12590/","https://belberrycrm.bitrix24.ru/crm/deal/details/12590/")</x:f>
      </x:c>
      <x:c r="D1488" t="str">
        <x:v>Реанимация</x:v>
      </x:c>
      <x:c r="E1488" t="str">
        <x:v>База для реанимации</x:v>
      </x:c>
      <x:c r="F1488" t="str">
        <x:v>Админ всея Belberry</x:v>
      </x:c>
      <x:c r="G1488" t="str">
        <x:v>нет</x:v>
      </x:c>
      <x:c r="H1488" t="str">
        <x:v>нет</x:v>
      </x:c>
    </x:row>
    <x:row r="1489">
      <x:c r="A1489" t="str">
        <x:v>12592</x:v>
      </x:c>
      <x:c r="B1489" t="str">
        <x:v>fdclinics.ru</x:v>
      </x:c>
      <x:c r="C1489" t="e">
        <x:f>HYPERLINK("https://belberrycrm.bitrix24.ru/crm/deal/details/12592/","https://belberrycrm.bitrix24.ru/crm/deal/details/12592/")</x:f>
      </x:c>
      <x:c r="D1489" t="str">
        <x:v>Реанимация</x:v>
      </x:c>
      <x:c r="E1489" t="str">
        <x:v>База для реанимации</x:v>
      </x:c>
      <x:c r="F1489" t="str">
        <x:v>Админ всея Belberry</x:v>
      </x:c>
      <x:c r="G1489" t="str">
        <x:v>нет</x:v>
      </x:c>
      <x:c r="H1489" t="str">
        <x:v>нет</x:v>
      </x:c>
    </x:row>
    <x:row r="1490">
      <x:c r="A1490" t="str">
        <x:v>12594</x:v>
      </x:c>
      <x:c r="B1490" t="str">
        <x:v>moscowclinic.ru</x:v>
      </x:c>
      <x:c r="C1490" t="e">
        <x:f>HYPERLINK("https://belberrycrm.bitrix24.ru/crm/deal/details/12594/","https://belberrycrm.bitrix24.ru/crm/deal/details/12594/")</x:f>
      </x:c>
      <x:c r="D1490" t="str">
        <x:v>Реанимация</x:v>
      </x:c>
      <x:c r="E1490" t="str">
        <x:v>База для реанимации</x:v>
      </x:c>
      <x:c r="F1490" t="str">
        <x:v>Админ всея Belberry</x:v>
      </x:c>
      <x:c r="G1490" t="str">
        <x:v>нет</x:v>
      </x:c>
      <x:c r="H1490" t="str">
        <x:v>нет</x:v>
      </x:c>
    </x:row>
    <x:row r="1491">
      <x:c r="A1491" t="str">
        <x:v>12600</x:v>
      </x:c>
      <x:c r="B1491" t="str">
        <x:v>Евгений из Еката</x:v>
      </x:c>
      <x:c r="C1491" t="e">
        <x:f>HYPERLINK("https://belberrycrm.bitrix24.ru/crm/deal/details/12600/","https://belberrycrm.bitrix24.ru/crm/deal/details/12600/")</x:f>
      </x:c>
      <x:c r="D1491" t="str">
        <x:v>Реанимация</x:v>
      </x:c>
      <x:c r="E1491" t="str">
        <x:v>База для реанимации</x:v>
      </x:c>
      <x:c r="F1491" t="str">
        <x:v>Админ всея Belberry</x:v>
      </x:c>
      <x:c r="G1491" t="str">
        <x:v>нет</x:v>
      </x:c>
      <x:c r="H1491" t="str">
        <x:v>нет</x:v>
      </x:c>
    </x:row>
    <x:row r="1492">
      <x:c r="A1492" t="str">
        <x:v>12602</x:v>
      </x:c>
      <x:c r="B1492" t="str">
        <x:v>amgclinica.ru</x:v>
      </x:c>
      <x:c r="C1492" t="e">
        <x:f>HYPERLINK("https://belberrycrm.bitrix24.ru/crm/deal/details/12602/","https://belberrycrm.bitrix24.ru/crm/deal/details/12602/")</x:f>
      </x:c>
      <x:c r="D1492" t="str">
        <x:v>Реанимация</x:v>
      </x:c>
      <x:c r="E1492" t="str">
        <x:v>База для реанимации</x:v>
      </x:c>
      <x:c r="F1492" t="str">
        <x:v>Админ всея Belberry</x:v>
      </x:c>
      <x:c r="G1492" t="str">
        <x:v>нет</x:v>
      </x:c>
      <x:c r="H1492" t="str">
        <x:v>нет</x:v>
      </x:c>
    </x:row>
    <x:row r="1493">
      <x:c r="A1493" t="str">
        <x:v>12604</x:v>
      </x:c>
      <x:c r="B1493" t="str">
        <x:v>andreysalov.ru</x:v>
      </x:c>
      <x:c r="C1493" t="e">
        <x:f>HYPERLINK("https://belberrycrm.bitrix24.ru/crm/deal/details/12604/","https://belberrycrm.bitrix24.ru/crm/deal/details/12604/")</x:f>
      </x:c>
      <x:c r="D1493" t="str">
        <x:v>Реанимация</x:v>
      </x:c>
      <x:c r="E1493" t="str">
        <x:v>База для реанимации</x:v>
      </x:c>
      <x:c r="F1493" t="str">
        <x:v>Админ всея Belberry</x:v>
      </x:c>
      <x:c r="G1493" t="str">
        <x:v>нет</x:v>
      </x:c>
      <x:c r="H1493" t="str">
        <x:v>нет</x:v>
      </x:c>
    </x:row>
    <x:row r="1494">
      <x:c r="A1494" t="str">
        <x:v>12606</x:v>
      </x:c>
      <x:c r="B1494" t="str">
        <x:v>Стоматология Dr.Danielyan clinic на метро динамо</x:v>
      </x:c>
      <x:c r="C1494" t="e">
        <x:f>HYPERLINK("https://belberrycrm.bitrix24.ru/crm/deal/details/12606/","https://belberrycrm.bitrix24.ru/crm/deal/details/12606/")</x:f>
      </x:c>
      <x:c r="D1494" t="str">
        <x:v>Реанимация</x:v>
      </x:c>
      <x:c r="E1494" t="str">
        <x:v>База для реанимации</x:v>
      </x:c>
      <x:c r="F1494" t="str">
        <x:v>Админ всея Belberry</x:v>
      </x:c>
      <x:c r="G1494" t="str">
        <x:v>нет</x:v>
      </x:c>
      <x:c r="H1494" t="str">
        <x:v>нет</x:v>
      </x:c>
    </x:row>
    <x:row r="1495">
      <x:c r="A1495" t="str">
        <x:v>12610</x:v>
      </x:c>
      <x:c r="B1495" t="str">
        <x:v>anriy-dent.ru</x:v>
      </x:c>
      <x:c r="C1495" t="e">
        <x:f>HYPERLINK("https://belberrycrm.bitrix24.ru/crm/deal/details/12610/","https://belberrycrm.bitrix24.ru/crm/deal/details/12610/")</x:f>
      </x:c>
      <x:c r="D1495" t="str">
        <x:v>Реанимация</x:v>
      </x:c>
      <x:c r="E1495" t="str">
        <x:v>База для реанимации</x:v>
      </x:c>
      <x:c r="F1495" t="str">
        <x:v>Админ всея Belberry</x:v>
      </x:c>
      <x:c r="G1495" t="str">
        <x:v>нет</x:v>
      </x:c>
      <x:c r="H1495" t="str">
        <x:v>нет</x:v>
      </x:c>
    </x:row>
    <x:row r="1496">
      <x:c r="A1496" t="str">
        <x:v>12612</x:v>
      </x:c>
      <x:c r="B1496" t="str">
        <x:v>migona.msk.ru</x:v>
      </x:c>
      <x:c r="C1496" t="e">
        <x:f>HYPERLINK("https://belberrycrm.bitrix24.ru/crm/deal/details/12612/","https://belberrycrm.bitrix24.ru/crm/deal/details/12612/")</x:f>
      </x:c>
      <x:c r="D1496" t="str">
        <x:v>Реанимация</x:v>
      </x:c>
      <x:c r="E1496" t="str">
        <x:v>База для реанимации</x:v>
      </x:c>
      <x:c r="F1496" t="str">
        <x:v>Админ всея Belberry</x:v>
      </x:c>
      <x:c r="G1496" t="str">
        <x:v>нет</x:v>
      </x:c>
      <x:c r="H1496" t="str">
        <x:v>нет</x:v>
      </x:c>
    </x:row>
    <x:row r="1497">
      <x:c r="A1497" t="str">
        <x:v>12614</x:v>
      </x:c>
      <x:c r="B1497" t="str">
        <x:v>green-clinic.ru</x:v>
      </x:c>
      <x:c r="C1497" t="e">
        <x:f>HYPERLINK("https://belberrycrm.bitrix24.ru/crm/deal/details/12614/","https://belberrycrm.bitrix24.ru/crm/deal/details/12614/")</x:f>
      </x:c>
      <x:c r="D1497" t="str">
        <x:v>Реанимация</x:v>
      </x:c>
      <x:c r="E1497" t="str">
        <x:v>База для реанимации</x:v>
      </x:c>
      <x:c r="F1497" t="str">
        <x:v>Админ всея Belberry</x:v>
      </x:c>
      <x:c r="G1497" t="str">
        <x:v>нет</x:v>
      </x:c>
      <x:c r="H1497" t="str">
        <x:v>нет</x:v>
      </x:c>
    </x:row>
    <x:row r="1498">
      <x:c r="A1498" t="str">
        <x:v>12618</x:v>
      </x:c>
      <x:c r="B1498" t="str">
        <x:v>pravlech.ru</x:v>
      </x:c>
      <x:c r="C1498" t="e">
        <x:f>HYPERLINK("https://belberrycrm.bitrix24.ru/crm/deal/details/12618/","https://belberrycrm.bitrix24.ru/crm/deal/details/12618/")</x:f>
      </x:c>
      <x:c r="D1498" t="str">
        <x:v>Реанимация</x:v>
      </x:c>
      <x:c r="E1498" t="str">
        <x:v>База для реанимации</x:v>
      </x:c>
      <x:c r="F1498" t="str">
        <x:v>Админ всея Belberry</x:v>
      </x:c>
      <x:c r="G1498" t="str">
        <x:v>нет</x:v>
      </x:c>
      <x:c r="H1498" t="str">
        <x:v>нет</x:v>
      </x:c>
    </x:row>
    <x:row r="1499">
      <x:c r="A1499" t="str">
        <x:v>12620</x:v>
      </x:c>
      <x:c r="B1499" t="str">
        <x:v>справки-все.рф</x:v>
      </x:c>
      <x:c r="C1499" t="e">
        <x:f>HYPERLINK("https://belberrycrm.bitrix24.ru/crm/deal/details/12620/","https://belberrycrm.bitrix24.ru/crm/deal/details/12620/")</x:f>
      </x:c>
      <x:c r="D1499" t="str">
        <x:v>Реанимация</x:v>
      </x:c>
      <x:c r="E1499" t="str">
        <x:v>База для реанимации</x:v>
      </x:c>
      <x:c r="F1499" t="str">
        <x:v>Админ всея Belberry</x:v>
      </x:c>
      <x:c r="G1499" t="str">
        <x:v>нет</x:v>
      </x:c>
      <x:c r="H1499" t="str">
        <x:v>нет</x:v>
      </x:c>
    </x:row>
    <x:row r="1500">
      <x:c r="A1500" t="str">
        <x:v>12626</x:v>
      </x:c>
      <x:c r="B1500" t="str">
        <x:v>clinic-nail.ru</x:v>
      </x:c>
      <x:c r="C1500" t="e">
        <x:f>HYPERLINK("https://belberrycrm.bitrix24.ru/crm/deal/details/12626/","https://belberrycrm.bitrix24.ru/crm/deal/details/12626/")</x:f>
      </x:c>
      <x:c r="D1500" t="str">
        <x:v>Реанимация</x:v>
      </x:c>
      <x:c r="E1500" t="str">
        <x:v>База для реанимации</x:v>
      </x:c>
      <x:c r="F1500" t="str">
        <x:v>Админ всея Belberry</x:v>
      </x:c>
      <x:c r="G1500" t="str">
        <x:v>нет</x:v>
      </x:c>
      <x:c r="H1500" t="str">
        <x:v>нет</x:v>
      </x:c>
    </x:row>
    <x:row r="1501">
      <x:c r="A1501" t="str">
        <x:v>12630</x:v>
      </x:c>
      <x:c r="B1501" t="str">
        <x:v>dentberg.ru</x:v>
      </x:c>
      <x:c r="C1501" t="e">
        <x:f>HYPERLINK("https://belberrycrm.bitrix24.ru/crm/deal/details/12630/","https://belberrycrm.bitrix24.ru/crm/deal/details/12630/")</x:f>
      </x:c>
      <x:c r="D1501" t="str">
        <x:v>Реанимация</x:v>
      </x:c>
      <x:c r="E1501" t="str">
        <x:v>База для реанимации</x:v>
      </x:c>
      <x:c r="F1501" t="str">
        <x:v>Админ всея Belberry</x:v>
      </x:c>
      <x:c r="G1501" t="str">
        <x:v>нет</x:v>
      </x:c>
      <x:c r="H1501" t="str">
        <x:v>нет</x:v>
      </x:c>
    </x:row>
    <x:row r="1502">
      <x:c r="A1502" t="str">
        <x:v>12632</x:v>
      </x:c>
      <x:c r="B1502" t="str">
        <x:v>panda-clinic.ru</x:v>
      </x:c>
      <x:c r="C1502" t="e">
        <x:f>HYPERLINK("https://belberrycrm.bitrix24.ru/crm/deal/details/12632/","https://belberrycrm.bitrix24.ru/crm/deal/details/12632/")</x:f>
      </x:c>
      <x:c r="D1502" t="str">
        <x:v>Реанимация</x:v>
      </x:c>
      <x:c r="E1502" t="str">
        <x:v>База для реанимации</x:v>
      </x:c>
      <x:c r="F1502" t="str">
        <x:v>Админ всея Belberry</x:v>
      </x:c>
      <x:c r="G1502" t="str">
        <x:v>нет</x:v>
      </x:c>
      <x:c r="H1502" t="str">
        <x:v>нет</x:v>
      </x:c>
    </x:row>
    <x:row r="1503">
      <x:c r="A1503" t="str">
        <x:v>12636</x:v>
      </x:c>
      <x:c r="B1503" t="str">
        <x:v>artdental-nsk.ru</x:v>
      </x:c>
      <x:c r="C1503" t="e">
        <x:f>HYPERLINK("https://belberrycrm.bitrix24.ru/crm/deal/details/12636/","https://belberrycrm.bitrix24.ru/crm/deal/details/12636/")</x:f>
      </x:c>
      <x:c r="D1503" t="str">
        <x:v>Реанимация</x:v>
      </x:c>
      <x:c r="E1503" t="str">
        <x:v>База для реанимации</x:v>
      </x:c>
      <x:c r="F1503" t="str">
        <x:v>Админ всея Belberry</x:v>
      </x:c>
      <x:c r="G1503" t="str">
        <x:v>нет</x:v>
      </x:c>
      <x:c r="H1503" t="str">
        <x:v>нет</x:v>
      </x:c>
    </x:row>
    <x:row r="1504">
      <x:c r="A1504" t="str">
        <x:v>12644</x:v>
      </x:c>
      <x:c r="B1504" t="str">
        <x:v>dilos-dent.com</x:v>
      </x:c>
      <x:c r="C1504" t="e">
        <x:f>HYPERLINK("https://belberrycrm.bitrix24.ru/crm/deal/details/12644/","https://belberrycrm.bitrix24.ru/crm/deal/details/12644/")</x:f>
      </x:c>
      <x:c r="D1504" t="str">
        <x:v>Реанимация</x:v>
      </x:c>
      <x:c r="E1504" t="str">
        <x:v>База для реанимации</x:v>
      </x:c>
      <x:c r="F1504" t="str">
        <x:v>Админ всея Belberry</x:v>
      </x:c>
      <x:c r="G1504" t="str">
        <x:v>нет</x:v>
      </x:c>
      <x:c r="H1504" t="str">
        <x:v>нет</x:v>
      </x:c>
    </x:row>
    <x:row r="1505">
      <x:c r="A1505" t="str">
        <x:v>12646</x:v>
      </x:c>
      <x:c r="B1505" t="str">
        <x:v>akademia-zdorovia.ru</x:v>
      </x:c>
      <x:c r="C1505" t="e">
        <x:f>HYPERLINK("https://belberrycrm.bitrix24.ru/crm/deal/details/12646/","https://belberrycrm.bitrix24.ru/crm/deal/details/12646/")</x:f>
      </x:c>
      <x:c r="D1505" t="str">
        <x:v>Реанимация</x:v>
      </x:c>
      <x:c r="E1505" t="str">
        <x:v>База для реанимации</x:v>
      </x:c>
      <x:c r="F1505" t="str">
        <x:v>Админ всея Belberry</x:v>
      </x:c>
      <x:c r="G1505" t="str">
        <x:v>нет</x:v>
      </x:c>
      <x:c r="H1505" t="str">
        <x:v>нет</x:v>
      </x:c>
    </x:row>
    <x:row r="1506">
      <x:c r="A1506" t="str">
        <x:v>12656</x:v>
      </x:c>
      <x:c r="B1506" t="str">
        <x:v>altea.clinic</x:v>
      </x:c>
      <x:c r="C1506" t="e">
        <x:f>HYPERLINK("https://belberrycrm.bitrix24.ru/crm/deal/details/12656/","https://belberrycrm.bitrix24.ru/crm/deal/details/12656/")</x:f>
      </x:c>
      <x:c r="D1506" t="str">
        <x:v>Реанимация</x:v>
      </x:c>
      <x:c r="E1506" t="str">
        <x:v>База для реанимации</x:v>
      </x:c>
      <x:c r="F1506" t="str">
        <x:v>Админ всея Belberry</x:v>
      </x:c>
      <x:c r="G1506" t="str">
        <x:v>нет</x:v>
      </x:c>
      <x:c r="H1506" t="str">
        <x:v>нет</x:v>
      </x:c>
    </x:row>
    <x:row r="1507">
      <x:c r="A1507" t="str">
        <x:v>12658</x:v>
      </x:c>
      <x:c r="B1507" t="str">
        <x:v>Skin Centre</x:v>
      </x:c>
      <x:c r="C1507" t="e">
        <x:f>HYPERLINK("https://belberrycrm.bitrix24.ru/crm/deal/details/12658/","https://belberrycrm.bitrix24.ru/crm/deal/details/12658/")</x:f>
      </x:c>
      <x:c r="D1507" t="str">
        <x:v>Реанимация</x:v>
      </x:c>
      <x:c r="E1507" t="str">
        <x:v>База для реанимации</x:v>
      </x:c>
      <x:c r="F1507" t="str">
        <x:v>Админ всея Belberry</x:v>
      </x:c>
      <x:c r="G1507" t="str">
        <x:v>нет</x:v>
      </x:c>
      <x:c r="H1507" t="str">
        <x:v>нет</x:v>
      </x:c>
    </x:row>
    <x:row r="1508">
      <x:c r="A1508" t="str">
        <x:v>12660</x:v>
      </x:c>
      <x:c r="B1508" t="str">
        <x:v>klinikams.ru</x:v>
      </x:c>
      <x:c r="C1508" t="e">
        <x:f>HYPERLINK("https://belberrycrm.bitrix24.ru/crm/deal/details/12660/","https://belberrycrm.bitrix24.ru/crm/deal/details/12660/")</x:f>
      </x:c>
      <x:c r="D1508" t="str">
        <x:v>Реанимация</x:v>
      </x:c>
      <x:c r="E1508" t="str">
        <x:v>База для реанимации</x:v>
      </x:c>
      <x:c r="F1508" t="str">
        <x:v>Админ всея Belberry</x:v>
      </x:c>
      <x:c r="G1508" t="str">
        <x:v>нет</x:v>
      </x:c>
      <x:c r="H1508" t="str">
        <x:v>нет</x:v>
      </x:c>
    </x:row>
    <x:row r="1509">
      <x:c r="A1509" t="str">
        <x:v>12670</x:v>
      </x:c>
      <x:c r="B1509" t="str">
        <x:v>личныйкосметолог.рф</x:v>
      </x:c>
      <x:c r="C1509" t="e">
        <x:f>HYPERLINK("https://belberrycrm.bitrix24.ru/crm/deal/details/12670/","https://belberrycrm.bitrix24.ru/crm/deal/details/12670/")</x:f>
      </x:c>
      <x:c r="D1509" t="str">
        <x:v>Реанимация</x:v>
      </x:c>
      <x:c r="E1509" t="str">
        <x:v>База для реанимации</x:v>
      </x:c>
      <x:c r="F1509" t="str">
        <x:v>Админ всея Belberry</x:v>
      </x:c>
      <x:c r="G1509" t="str">
        <x:v>нет</x:v>
      </x:c>
      <x:c r="H1509" t="str">
        <x:v>нет</x:v>
      </x:c>
    </x:row>
    <x:row r="1510">
      <x:c r="A1510" t="str">
        <x:v>12674</x:v>
      </x:c>
      <x:c r="B1510" t="str">
        <x:v>sfclinic.ru</x:v>
      </x:c>
      <x:c r="C1510" t="e">
        <x:f>HYPERLINK("https://belberrycrm.bitrix24.ru/crm/deal/details/12674/","https://belberrycrm.bitrix24.ru/crm/deal/details/12674/")</x:f>
      </x:c>
      <x:c r="D1510" t="str">
        <x:v>Реанимация</x:v>
      </x:c>
      <x:c r="E1510" t="str">
        <x:v>База для реанимации</x:v>
      </x:c>
      <x:c r="F1510" t="str">
        <x:v>Админ всея Belberry</x:v>
      </x:c>
      <x:c r="G1510" t="str">
        <x:v>нет</x:v>
      </x:c>
      <x:c r="H1510" t="str">
        <x:v>нет</x:v>
      </x:c>
    </x:row>
    <x:row r="1511">
      <x:c r="A1511" t="str">
        <x:v>12676</x:v>
      </x:c>
      <x:c r="B1511" t="str">
        <x:v>estedent-msk.ru</x:v>
      </x:c>
      <x:c r="C1511" t="e">
        <x:f>HYPERLINK("https://belberrycrm.bitrix24.ru/crm/deal/details/12676/","https://belberrycrm.bitrix24.ru/crm/deal/details/12676/")</x:f>
      </x:c>
      <x:c r="D1511" t="str">
        <x:v>Реанимация</x:v>
      </x:c>
      <x:c r="E1511" t="str">
        <x:v>База для реанимации</x:v>
      </x:c>
      <x:c r="F1511" t="str">
        <x:v>Админ всея Belberry</x:v>
      </x:c>
      <x:c r="G1511" t="str">
        <x:v>нет</x:v>
      </x:c>
      <x:c r="H1511" t="str">
        <x:v>нет</x:v>
      </x:c>
    </x:row>
    <x:row r="1512">
      <x:c r="A1512" t="str">
        <x:v>12686</x:v>
      </x:c>
      <x:c r="B1512" t="str">
        <x:v>doctorkan.ru</x:v>
      </x:c>
      <x:c r="C1512" t="e">
        <x:f>HYPERLINK("https://belberrycrm.bitrix24.ru/crm/deal/details/12686/","https://belberrycrm.bitrix24.ru/crm/deal/details/12686/")</x:f>
      </x:c>
      <x:c r="D1512" t="str">
        <x:v>Реанимация</x:v>
      </x:c>
      <x:c r="E1512" t="str">
        <x:v>База для реанимации</x:v>
      </x:c>
      <x:c r="F1512" t="str">
        <x:v>Админ всея Belberry</x:v>
      </x:c>
      <x:c r="G1512" t="str">
        <x:v>нет</x:v>
      </x:c>
      <x:c r="H1512" t="str">
        <x:v>нет</x:v>
      </x:c>
    </x:row>
    <x:row r="1513">
      <x:c r="A1513" t="str">
        <x:v>12688</x:v>
      </x:c>
      <x:c r="B1513" t="str">
        <x:v>nika-esthetic.ru</x:v>
      </x:c>
      <x:c r="C1513" t="e">
        <x:f>HYPERLINK("https://belberrycrm.bitrix24.ru/crm/deal/details/12688/","https://belberrycrm.bitrix24.ru/crm/deal/details/12688/")</x:f>
      </x:c>
      <x:c r="D1513" t="str">
        <x:v>Реанимация</x:v>
      </x:c>
      <x:c r="E1513" t="str">
        <x:v>База для реанимации</x:v>
      </x:c>
      <x:c r="F1513" t="str">
        <x:v>Админ всея Belberry</x:v>
      </x:c>
      <x:c r="G1513" t="str">
        <x:v>нет</x:v>
      </x:c>
      <x:c r="H1513" t="str">
        <x:v>нет</x:v>
      </x:c>
    </x:row>
    <x:row r="1514">
      <x:c r="A1514" t="str">
        <x:v>12690</x:v>
      </x:c>
      <x:c r="B1514" t="str">
        <x:v>profclinic-arbat.ru / klinika-na-arbate.ru</x:v>
      </x:c>
      <x:c r="C1514" t="e">
        <x:f>HYPERLINK("https://belberrycrm.bitrix24.ru/crm/deal/details/12690/","https://belberrycrm.bitrix24.ru/crm/deal/details/12690/")</x:f>
      </x:c>
      <x:c r="D1514" t="str">
        <x:v>Реанимация</x:v>
      </x:c>
      <x:c r="E1514" t="str">
        <x:v>База для реанимации</x:v>
      </x:c>
      <x:c r="F1514" t="str">
        <x:v>Админ всея Belberry</x:v>
      </x:c>
      <x:c r="G1514" t="str">
        <x:v>нет</x:v>
      </x:c>
      <x:c r="H1514" t="str">
        <x:v>нет</x:v>
      </x:c>
    </x:row>
    <x:row r="1515">
      <x:c r="A1515" t="str">
        <x:v>12692</x:v>
      </x:c>
      <x:c r="B1515" t="str">
        <x:v>medcentrvoschod.ru</x:v>
      </x:c>
      <x:c r="C1515" t="e">
        <x:f>HYPERLINK("https://belberrycrm.bitrix24.ru/crm/deal/details/12692/","https://belberrycrm.bitrix24.ru/crm/deal/details/12692/")</x:f>
      </x:c>
      <x:c r="D1515" t="str">
        <x:v>Реанимация</x:v>
      </x:c>
      <x:c r="E1515" t="str">
        <x:v>База для реанимации</x:v>
      </x:c>
      <x:c r="F1515" t="str">
        <x:v>Админ всея Belberry</x:v>
      </x:c>
      <x:c r="G1515" t="str">
        <x:v>нет</x:v>
      </x:c>
      <x:c r="H1515" t="str">
        <x:v>нет</x:v>
      </x:c>
    </x:row>
    <x:row r="1516">
      <x:c r="A1516" t="str">
        <x:v>12694</x:v>
      </x:c>
      <x:c r="B1516" t="str">
        <x:v>extrodent-centr.ru</x:v>
      </x:c>
      <x:c r="C1516" t="e">
        <x:f>HYPERLINK("https://belberrycrm.bitrix24.ru/crm/deal/details/12694/","https://belberrycrm.bitrix24.ru/crm/deal/details/12694/")</x:f>
      </x:c>
      <x:c r="D1516" t="str">
        <x:v>Реанимация</x:v>
      </x:c>
      <x:c r="E1516" t="str">
        <x:v>База для реанимации</x:v>
      </x:c>
      <x:c r="F1516" t="str">
        <x:v>Админ всея Belberry</x:v>
      </x:c>
      <x:c r="G1516" t="str">
        <x:v>нет</x:v>
      </x:c>
      <x:c r="H1516" t="str">
        <x:v>нет</x:v>
      </x:c>
    </x:row>
    <x:row r="1517">
      <x:c r="A1517" t="str">
        <x:v>12700</x:v>
      </x:c>
      <x:c r="B1517" t="str">
        <x:v>cerecon.ru</x:v>
      </x:c>
      <x:c r="C1517" t="e">
        <x:f>HYPERLINK("https://belberrycrm.bitrix24.ru/crm/deal/details/12700/","https://belberrycrm.bitrix24.ru/crm/deal/details/12700/")</x:f>
      </x:c>
      <x:c r="D1517" t="str">
        <x:v>Реанимация</x:v>
      </x:c>
      <x:c r="E1517" t="str">
        <x:v>База для реанимации</x:v>
      </x:c>
      <x:c r="F1517" t="str">
        <x:v>Админ всея Belberry</x:v>
      </x:c>
      <x:c r="G1517" t="str">
        <x:v>нет</x:v>
      </x:c>
      <x:c r="H1517" t="str">
        <x:v>нет</x:v>
      </x:c>
    </x:row>
    <x:row r="1518">
      <x:c r="A1518" t="str">
        <x:v>12702</x:v>
      </x:c>
      <x:c r="B1518" t="str">
        <x:v>ультра-лаб.рф</x:v>
      </x:c>
      <x:c r="C1518" t="e">
        <x:f>HYPERLINK("https://belberrycrm.bitrix24.ru/crm/deal/details/12702/","https://belberrycrm.bitrix24.ru/crm/deal/details/12702/")</x:f>
      </x:c>
      <x:c r="D1518" t="str">
        <x:v>Реанимация</x:v>
      </x:c>
      <x:c r="E1518" t="str">
        <x:v>База для реанимации</x:v>
      </x:c>
      <x:c r="F1518" t="str">
        <x:v>Админ всея Belberry</x:v>
      </x:c>
      <x:c r="G1518" t="str">
        <x:v>нет</x:v>
      </x:c>
      <x:c r="H1518" t="str">
        <x:v>нет</x:v>
      </x:c>
    </x:row>
    <x:row r="1519">
      <x:c r="A1519" t="str">
        <x:v>12706</x:v>
      </x:c>
      <x:c r="B1519" t="str">
        <x:v>rustom-ru.ru</x:v>
      </x:c>
      <x:c r="C1519" t="e">
        <x:f>HYPERLINK("https://belberrycrm.bitrix24.ru/crm/deal/details/12706/","https://belberrycrm.bitrix24.ru/crm/deal/details/12706/")</x:f>
      </x:c>
      <x:c r="D1519" t="str">
        <x:v>Реанимация</x:v>
      </x:c>
      <x:c r="E1519" t="str">
        <x:v>База для реанимации</x:v>
      </x:c>
      <x:c r="F1519" t="str">
        <x:v>Админ всея Belberry</x:v>
      </x:c>
      <x:c r="G1519" t="str">
        <x:v>нет</x:v>
      </x:c>
      <x:c r="H1519" t="str">
        <x:v>нет</x:v>
      </x:c>
    </x:row>
    <x:row r="1520">
      <x:c r="A1520" t="str">
        <x:v>12708</x:v>
      </x:c>
      <x:c r="B1520" t="str">
        <x:v>мртвтушино.рф</x:v>
      </x:c>
      <x:c r="C1520" t="e">
        <x:f>HYPERLINK("https://belberrycrm.bitrix24.ru/crm/deal/details/12708/","https://belberrycrm.bitrix24.ru/crm/deal/details/12708/")</x:f>
      </x:c>
      <x:c r="D1520" t="str">
        <x:v>Реанимация</x:v>
      </x:c>
      <x:c r="E1520" t="str">
        <x:v>База для реанимации</x:v>
      </x:c>
      <x:c r="F1520" t="str">
        <x:v>Админ всея Belberry</x:v>
      </x:c>
      <x:c r="G1520" t="str">
        <x:v>да</x:v>
      </x:c>
      <x:c r="H1520" t="str">
        <x:v>нет</x:v>
      </x:c>
    </x:row>
    <x:row r="1521">
      <x:c r="A1521" t="str">
        <x:v>12710</x:v>
      </x:c>
      <x:c r="B1521" t="str">
        <x:v>vd-stomatologiya.ru</x:v>
      </x:c>
      <x:c r="C1521" t="e">
        <x:f>HYPERLINK("https://belberrycrm.bitrix24.ru/crm/deal/details/12710/","https://belberrycrm.bitrix24.ru/crm/deal/details/12710/")</x:f>
      </x:c>
      <x:c r="D1521" t="str">
        <x:v>Реанимация</x:v>
      </x:c>
      <x:c r="E1521" t="str">
        <x:v>База для реанимации</x:v>
      </x:c>
      <x:c r="F1521" t="str">
        <x:v>Админ всея Belberry</x:v>
      </x:c>
      <x:c r="G1521" t="str">
        <x:v>нет</x:v>
      </x:c>
      <x:c r="H1521" t="str">
        <x:v>нет</x:v>
      </x:c>
    </x:row>
    <x:row r="1522">
      <x:c r="A1522" t="str">
        <x:v>12714</x:v>
      </x:c>
      <x:c r="B1522" t="str">
        <x:v>vitastomrt.ru</x:v>
      </x:c>
      <x:c r="C1522" t="e">
        <x:f>HYPERLINK("https://belberrycrm.bitrix24.ru/crm/deal/details/12714/","https://belberrycrm.bitrix24.ru/crm/deal/details/12714/")</x:f>
      </x:c>
      <x:c r="D1522" t="str">
        <x:v>Реанимация</x:v>
      </x:c>
      <x:c r="E1522" t="str">
        <x:v>База для реанимации</x:v>
      </x:c>
      <x:c r="F1522" t="str">
        <x:v>Админ всея Belberry</x:v>
      </x:c>
      <x:c r="G1522" t="str">
        <x:v>нет</x:v>
      </x:c>
      <x:c r="H1522" t="str">
        <x:v>нет</x:v>
      </x:c>
    </x:row>
    <x:row r="1523">
      <x:c r="A1523" t="str">
        <x:v>12716</x:v>
      </x:c>
      <x:c r="B1523" t="str">
        <x:v>maxilife-beauty.ru</x:v>
      </x:c>
      <x:c r="C1523" t="e">
        <x:f>HYPERLINK("https://belberrycrm.bitrix24.ru/crm/deal/details/12716/","https://belberrycrm.bitrix24.ru/crm/deal/details/12716/")</x:f>
      </x:c>
      <x:c r="D1523" t="str">
        <x:v>Реанимация</x:v>
      </x:c>
      <x:c r="E1523" t="str">
        <x:v>База для реанимации</x:v>
      </x:c>
      <x:c r="F1523" t="str">
        <x:v>Админ всея Belberry</x:v>
      </x:c>
      <x:c r="G1523" t="str">
        <x:v>нет</x:v>
      </x:c>
      <x:c r="H1523" t="str">
        <x:v>нет</x:v>
      </x:c>
    </x:row>
    <x:row r="1524">
      <x:c r="A1524" t="str">
        <x:v>12718</x:v>
      </x:c>
      <x:c r="B1524" t="str">
        <x:v>dentpro.ru</x:v>
      </x:c>
      <x:c r="C1524" t="e">
        <x:f>HYPERLINK("https://belberrycrm.bitrix24.ru/crm/deal/details/12718/","https://belberrycrm.bitrix24.ru/crm/deal/details/12718/")</x:f>
      </x:c>
      <x:c r="D1524" t="str">
        <x:v>Реанимация</x:v>
      </x:c>
      <x:c r="E1524" t="str">
        <x:v>База для реанимации</x:v>
      </x:c>
      <x:c r="F1524" t="str">
        <x:v>Админ всея Belberry</x:v>
      </x:c>
      <x:c r="G1524" t="str">
        <x:v>нет</x:v>
      </x:c>
      <x:c r="H1524" t="str">
        <x:v>нет</x:v>
      </x:c>
    </x:row>
    <x:row r="1525">
      <x:c r="A1525" t="str">
        <x:v>12722</x:v>
      </x:c>
      <x:c r="B1525" t="str">
        <x:v>empiredent.ru</x:v>
      </x:c>
      <x:c r="C1525" t="e">
        <x:f>HYPERLINK("https://belberrycrm.bitrix24.ru/crm/deal/details/12722/","https://belberrycrm.bitrix24.ru/crm/deal/details/12722/")</x:f>
      </x:c>
      <x:c r="D1525" t="str">
        <x:v>Реанимация</x:v>
      </x:c>
      <x:c r="E1525" t="str">
        <x:v>База для реанимации</x:v>
      </x:c>
      <x:c r="F1525" t="str">
        <x:v>Админ всея Belberry</x:v>
      </x:c>
      <x:c r="G1525" t="str">
        <x:v>нет</x:v>
      </x:c>
      <x:c r="H1525" t="str">
        <x:v>нет</x:v>
      </x:c>
    </x:row>
    <x:row r="1526">
      <x:c r="A1526" t="str">
        <x:v>12728</x:v>
      </x:c>
      <x:c r="B1526" t="str">
        <x:v>beverlydent.ru</x:v>
      </x:c>
      <x:c r="C1526" t="e">
        <x:f>HYPERLINK("https://belberrycrm.bitrix24.ru/crm/deal/details/12728/","https://belberrycrm.bitrix24.ru/crm/deal/details/12728/")</x:f>
      </x:c>
      <x:c r="D1526" t="str">
        <x:v>Реанимация</x:v>
      </x:c>
      <x:c r="E1526" t="str">
        <x:v>База для реанимации</x:v>
      </x:c>
      <x:c r="F1526" t="str">
        <x:v>Админ всея Belberry</x:v>
      </x:c>
      <x:c r="G1526" t="str">
        <x:v>нет</x:v>
      </x:c>
      <x:c r="H1526" t="str">
        <x:v>нет</x:v>
      </x:c>
    </x:row>
    <x:row r="1527">
      <x:c r="A1527" t="str">
        <x:v>12732</x:v>
      </x:c>
      <x:c r="B1527" t="str">
        <x:v>Гасиев Георгий Игоревич</x:v>
      </x:c>
      <x:c r="C1527" t="e">
        <x:f>HYPERLINK("https://belberrycrm.bitrix24.ru/crm/deal/details/12732/","https://belberrycrm.bitrix24.ru/crm/deal/details/12732/")</x:f>
      </x:c>
      <x:c r="D1527" t="str">
        <x:v>Реанимация</x:v>
      </x:c>
      <x:c r="E1527" t="str">
        <x:v>База для реанимации</x:v>
      </x:c>
      <x:c r="F1527" t="str">
        <x:v>Админ всея Belberry</x:v>
      </x:c>
      <x:c r="G1527" t="str">
        <x:v>нет</x:v>
      </x:c>
      <x:c r="H1527" t="str">
        <x:v>нет</x:v>
      </x:c>
    </x:row>
    <x:row r="1528">
      <x:c r="A1528" t="str">
        <x:v>12734</x:v>
      </x:c>
      <x:c r="B1528" t="str">
        <x:v>zaffiroclinic.ru</x:v>
      </x:c>
      <x:c r="C1528" t="e">
        <x:f>HYPERLINK("https://belberrycrm.bitrix24.ru/crm/deal/details/12734/","https://belberrycrm.bitrix24.ru/crm/deal/details/12734/")</x:f>
      </x:c>
      <x:c r="D1528" t="str">
        <x:v>Реанимация</x:v>
      </x:c>
      <x:c r="E1528" t="str">
        <x:v>База для реанимации</x:v>
      </x:c>
      <x:c r="F1528" t="str">
        <x:v>Админ всея Belberry</x:v>
      </x:c>
      <x:c r="G1528" t="str">
        <x:v>нет</x:v>
      </x:c>
      <x:c r="H1528" t="str">
        <x:v>нет</x:v>
      </x:c>
    </x:row>
    <x:row r="1529">
      <x:c r="A1529" t="str">
        <x:v>12736</x:v>
      </x:c>
      <x:c r="B1529" t="str">
        <x:v>artoksclinic.ru</x:v>
      </x:c>
      <x:c r="C1529" t="e">
        <x:f>HYPERLINK("https://belberrycrm.bitrix24.ru/crm/deal/details/12736/","https://belberrycrm.bitrix24.ru/crm/deal/details/12736/")</x:f>
      </x:c>
      <x:c r="D1529" t="str">
        <x:v>Реанимация</x:v>
      </x:c>
      <x:c r="E1529" t="str">
        <x:v>База для реанимации</x:v>
      </x:c>
      <x:c r="F1529" t="str">
        <x:v>Админ всея Belberry</x:v>
      </x:c>
      <x:c r="G1529" t="str">
        <x:v>нет</x:v>
      </x:c>
      <x:c r="H1529" t="str">
        <x:v>нет</x:v>
      </x:c>
    </x:row>
    <x:row r="1530">
      <x:c r="A1530" t="str">
        <x:v>12738</x:v>
      </x:c>
      <x:c r="B1530" t="str">
        <x:v>dentol.ru</x:v>
      </x:c>
      <x:c r="C1530" t="e">
        <x:f>HYPERLINK("https://belberrycrm.bitrix24.ru/crm/deal/details/12738/","https://belberrycrm.bitrix24.ru/crm/deal/details/12738/")</x:f>
      </x:c>
      <x:c r="D1530" t="str">
        <x:v>Реанимация</x:v>
      </x:c>
      <x:c r="E1530" t="str">
        <x:v>База для реанимации</x:v>
      </x:c>
      <x:c r="F1530" t="str">
        <x:v>Админ всея Belberry</x:v>
      </x:c>
      <x:c r="G1530" t="str">
        <x:v>нет</x:v>
      </x:c>
      <x:c r="H1530" t="str">
        <x:v>нет</x:v>
      </x:c>
    </x:row>
    <x:row r="1531">
      <x:c r="A1531" t="str">
        <x:v>12740</x:v>
      </x:c>
      <x:c r="B1531" t="str">
        <x:v>askonamed.ru</x:v>
      </x:c>
      <x:c r="C1531" t="e">
        <x:f>HYPERLINK("https://belberrycrm.bitrix24.ru/crm/deal/details/12740/","https://belberrycrm.bitrix24.ru/crm/deal/details/12740/")</x:f>
      </x:c>
      <x:c r="D1531" t="str">
        <x:v>Реанимация</x:v>
      </x:c>
      <x:c r="E1531" t="str">
        <x:v>База для реанимации</x:v>
      </x:c>
      <x:c r="F1531" t="str">
        <x:v>Админ всея Belberry</x:v>
      </x:c>
      <x:c r="G1531" t="str">
        <x:v>нет</x:v>
      </x:c>
      <x:c r="H1531" t="str">
        <x:v>нет</x:v>
      </x:c>
    </x:row>
    <x:row r="1532">
      <x:c r="A1532" t="str">
        <x:v>12742</x:v>
      </x:c>
      <x:c r="B1532" t="str">
        <x:v>драгоценность.рф</x:v>
      </x:c>
      <x:c r="C1532" t="e">
        <x:f>HYPERLINK("https://belberrycrm.bitrix24.ru/crm/deal/details/12742/","https://belberrycrm.bitrix24.ru/crm/deal/details/12742/")</x:f>
      </x:c>
      <x:c r="D1532" t="str">
        <x:v>Реанимация</x:v>
      </x:c>
      <x:c r="E1532" t="str">
        <x:v>База для реанимации</x:v>
      </x:c>
      <x:c r="F1532" t="str">
        <x:v>Админ всея Belberry</x:v>
      </x:c>
      <x:c r="G1532" t="str">
        <x:v>нет</x:v>
      </x:c>
      <x:c r="H1532" t="str">
        <x:v>нет</x:v>
      </x:c>
    </x:row>
    <x:row r="1533">
      <x:c r="A1533" t="str">
        <x:v>12744</x:v>
      </x:c>
      <x:c r="B1533" t="str">
        <x:v>smilecentre.ru</x:v>
      </x:c>
      <x:c r="C1533" t="e">
        <x:f>HYPERLINK("https://belberrycrm.bitrix24.ru/crm/deal/details/12744/","https://belberrycrm.bitrix24.ru/crm/deal/details/12744/")</x:f>
      </x:c>
      <x:c r="D1533" t="str">
        <x:v>Реанимация</x:v>
      </x:c>
      <x:c r="E1533" t="str">
        <x:v>База для реанимации</x:v>
      </x:c>
      <x:c r="F1533" t="str">
        <x:v>Админ всея Belberry</x:v>
      </x:c>
      <x:c r="G1533" t="str">
        <x:v>нет</x:v>
      </x:c>
      <x:c r="H1533" t="str">
        <x:v>нет</x:v>
      </x:c>
    </x:row>
    <x:row r="1534">
      <x:c r="A1534" t="str">
        <x:v>12746</x:v>
      </x:c>
      <x:c r="B1534" t="str">
        <x:v>stomcity.ru</x:v>
      </x:c>
      <x:c r="C1534" t="e">
        <x:f>HYPERLINK("https://belberrycrm.bitrix24.ru/crm/deal/details/12746/","https://belberrycrm.bitrix24.ru/crm/deal/details/12746/")</x:f>
      </x:c>
      <x:c r="D1534" t="str">
        <x:v>Реанимация</x:v>
      </x:c>
      <x:c r="E1534" t="str">
        <x:v>База для реанимации</x:v>
      </x:c>
      <x:c r="F1534" t="str">
        <x:v>Админ всея Belberry</x:v>
      </x:c>
      <x:c r="G1534" t="str">
        <x:v>нет</x:v>
      </x:c>
      <x:c r="H1534" t="str">
        <x:v>нет</x:v>
      </x:c>
    </x:row>
    <x:row r="1535">
      <x:c r="A1535" t="str">
        <x:v>12750</x:v>
      </x:c>
      <x:c r="B1535" t="str">
        <x:v>tltmed.ru</x:v>
      </x:c>
      <x:c r="C1535" t="e">
        <x:f>HYPERLINK("https://belberrycrm.bitrix24.ru/crm/deal/details/12750/","https://belberrycrm.bitrix24.ru/crm/deal/details/12750/")</x:f>
      </x:c>
      <x:c r="D1535" t="str">
        <x:v>Реанимация</x:v>
      </x:c>
      <x:c r="E1535" t="str">
        <x:v>База для реанимации</x:v>
      </x:c>
      <x:c r="F1535" t="str">
        <x:v>Админ всея Belberry</x:v>
      </x:c>
      <x:c r="G1535" t="str">
        <x:v>нет</x:v>
      </x:c>
      <x:c r="H1535" t="str">
        <x:v>нет</x:v>
      </x:c>
    </x:row>
    <x:row r="1536">
      <x:c r="A1536" t="str">
        <x:v>12752</x:v>
      </x:c>
      <x:c r="B1536" t="str">
        <x:v>saluspolus.ru</x:v>
      </x:c>
      <x:c r="C1536" t="e">
        <x:f>HYPERLINK("https://belberrycrm.bitrix24.ru/crm/deal/details/12752/","https://belberrycrm.bitrix24.ru/crm/deal/details/12752/")</x:f>
      </x:c>
      <x:c r="D1536" t="str">
        <x:v>Реанимация</x:v>
      </x:c>
      <x:c r="E1536" t="str">
        <x:v>База для реанимации</x:v>
      </x:c>
      <x:c r="F1536" t="str">
        <x:v>Админ всея Belberry</x:v>
      </x:c>
      <x:c r="G1536" t="str">
        <x:v>нет</x:v>
      </x:c>
      <x:c r="H1536" t="str">
        <x:v>нет</x:v>
      </x:c>
    </x:row>
    <x:row r="1537">
      <x:c r="A1537" t="str">
        <x:v>12756</x:v>
      </x:c>
      <x:c r="B1537" t="str">
        <x:v>dn-klinik.ru</x:v>
      </x:c>
      <x:c r="C1537" t="e">
        <x:f>HYPERLINK("https://belberrycrm.bitrix24.ru/crm/deal/details/12756/","https://belberrycrm.bitrix24.ru/crm/deal/details/12756/")</x:f>
      </x:c>
      <x:c r="D1537" t="str">
        <x:v>Реанимация</x:v>
      </x:c>
      <x:c r="E1537" t="str">
        <x:v>База для реанимации</x:v>
      </x:c>
      <x:c r="F1537" t="str">
        <x:v>Админ всея Belberry</x:v>
      </x:c>
      <x:c r="G1537" t="str">
        <x:v>нет</x:v>
      </x:c>
      <x:c r="H1537" t="str">
        <x:v>нет</x:v>
      </x:c>
    </x:row>
    <x:row r="1538">
      <x:c r="A1538" t="str">
        <x:v>12762</x:v>
      </x:c>
      <x:c r="B1538" t="str">
        <x:v>dental-d.ru</x:v>
      </x:c>
      <x:c r="C1538" t="e">
        <x:f>HYPERLINK("https://belberrycrm.bitrix24.ru/crm/deal/details/12762/","https://belberrycrm.bitrix24.ru/crm/deal/details/12762/")</x:f>
      </x:c>
      <x:c r="D1538" t="str">
        <x:v>Реанимация</x:v>
      </x:c>
      <x:c r="E1538" t="str">
        <x:v>База для реанимации</x:v>
      </x:c>
      <x:c r="F1538" t="str">
        <x:v>Админ всея Belberry</x:v>
      </x:c>
      <x:c r="G1538" t="str">
        <x:v>нет</x:v>
      </x:c>
      <x:c r="H1538" t="str">
        <x:v>нет</x:v>
      </x:c>
    </x:row>
    <x:row r="1539">
      <x:c r="A1539" t="str">
        <x:v>12766</x:v>
      </x:c>
      <x:c r="B1539" t="str">
        <x:v>malident.ru</x:v>
      </x:c>
      <x:c r="C1539" t="e">
        <x:f>HYPERLINK("https://belberrycrm.bitrix24.ru/crm/deal/details/12766/","https://belberrycrm.bitrix24.ru/crm/deal/details/12766/")</x:f>
      </x:c>
      <x:c r="D1539" t="str">
        <x:v>Реанимация</x:v>
      </x:c>
      <x:c r="E1539" t="str">
        <x:v>База для реанимации</x:v>
      </x:c>
      <x:c r="F1539" t="str">
        <x:v>Админ всея Belberry</x:v>
      </x:c>
      <x:c r="G1539" t="str">
        <x:v>нет</x:v>
      </x:c>
      <x:c r="H1539" t="str">
        <x:v>нет</x:v>
      </x:c>
    </x:row>
    <x:row r="1540">
      <x:c r="A1540" t="str">
        <x:v>12768</x:v>
      </x:c>
      <x:c r="B1540" t="str">
        <x:v>chechil.com</x:v>
      </x:c>
      <x:c r="C1540" t="e">
        <x:f>HYPERLINK("https://belberrycrm.bitrix24.ru/crm/deal/details/12768/","https://belberrycrm.bitrix24.ru/crm/deal/details/12768/")</x:f>
      </x:c>
      <x:c r="D1540" t="str">
        <x:v>Реанимация</x:v>
      </x:c>
      <x:c r="E1540" t="str">
        <x:v>База для реанимации</x:v>
      </x:c>
      <x:c r="F1540" t="str">
        <x:v>Админ всея Belberry</x:v>
      </x:c>
      <x:c r="G1540" t="str">
        <x:v>нет</x:v>
      </x:c>
      <x:c r="H1540" t="str">
        <x:v>нет</x:v>
      </x:c>
    </x:row>
    <x:row r="1541">
      <x:c r="A1541" t="str">
        <x:v>12770</x:v>
      </x:c>
      <x:c r="B1541" t="str">
        <x:v>clinik-profi.ru</x:v>
      </x:c>
      <x:c r="C1541" t="e">
        <x:f>HYPERLINK("https://belberrycrm.bitrix24.ru/crm/deal/details/12770/","https://belberrycrm.bitrix24.ru/crm/deal/details/12770/")</x:f>
      </x:c>
      <x:c r="D1541" t="str">
        <x:v>Реанимация</x:v>
      </x:c>
      <x:c r="E1541" t="str">
        <x:v>База для реанимации</x:v>
      </x:c>
      <x:c r="F1541" t="str">
        <x:v>Админ всея Belberry</x:v>
      </x:c>
      <x:c r="G1541" t="str">
        <x:v>нет</x:v>
      </x:c>
      <x:c r="H1541" t="str">
        <x:v>нет</x:v>
      </x:c>
    </x:row>
    <x:row r="1542">
      <x:c r="A1542" t="str">
        <x:v>12772</x:v>
      </x:c>
      <x:c r="B1542" t="str">
        <x:v>clinicaspectr.ru</x:v>
      </x:c>
      <x:c r="C1542" t="e">
        <x:f>HYPERLINK("https://belberrycrm.bitrix24.ru/crm/deal/details/12772/","https://belberrycrm.bitrix24.ru/crm/deal/details/12772/")</x:f>
      </x:c>
      <x:c r="D1542" t="str">
        <x:v>Реанимация</x:v>
      </x:c>
      <x:c r="E1542" t="str">
        <x:v>База для реанимации</x:v>
      </x:c>
      <x:c r="F1542" t="str">
        <x:v>Админ всея Belberry</x:v>
      </x:c>
      <x:c r="G1542" t="str">
        <x:v>нет</x:v>
      </x:c>
      <x:c r="H1542" t="str">
        <x:v>нет</x:v>
      </x:c>
    </x:row>
    <x:row r="1543">
      <x:c r="A1543" t="str">
        <x:v>12784</x:v>
      </x:c>
      <x:c r="B1543" t="str">
        <x:v>clinic-medford.ru</x:v>
      </x:c>
      <x:c r="C1543" t="e">
        <x:f>HYPERLINK("https://belberrycrm.bitrix24.ru/crm/deal/details/12784/","https://belberrycrm.bitrix24.ru/crm/deal/details/12784/")</x:f>
      </x:c>
      <x:c r="D1543" t="str">
        <x:v>Реанимация</x:v>
      </x:c>
      <x:c r="E1543" t="str">
        <x:v>База для реанимации</x:v>
      </x:c>
      <x:c r="F1543" t="str">
        <x:v>Админ всея Belberry</x:v>
      </x:c>
      <x:c r="G1543" t="str">
        <x:v>нет</x:v>
      </x:c>
      <x:c r="H1543" t="str">
        <x:v>нет</x:v>
      </x:c>
    </x:row>
    <x:row r="1544">
      <x:c r="A1544" t="str">
        <x:v>12788</x:v>
      </x:c>
      <x:c r="B1544" t="str">
        <x:v>art-praktika.ru</x:v>
      </x:c>
      <x:c r="C1544" t="e">
        <x:f>HYPERLINK("https://belberrycrm.bitrix24.ru/crm/deal/details/12788/","https://belberrycrm.bitrix24.ru/crm/deal/details/12788/")</x:f>
      </x:c>
      <x:c r="D1544" t="str">
        <x:v>Реанимация</x:v>
      </x:c>
      <x:c r="E1544" t="str">
        <x:v>База для реанимации</x:v>
      </x:c>
      <x:c r="F1544" t="str">
        <x:v>Админ всея Belberry</x:v>
      </x:c>
      <x:c r="G1544" t="str">
        <x:v>нет</x:v>
      </x:c>
      <x:c r="H1544" t="str">
        <x:v>нет</x:v>
      </x:c>
    </x:row>
    <x:row r="1545">
      <x:c r="A1545" t="str">
        <x:v>12798</x:v>
      </x:c>
      <x:c r="B1545" t="str">
        <x:v>darling-med.ru</x:v>
      </x:c>
      <x:c r="C1545" t="e">
        <x:f>HYPERLINK("https://belberrycrm.bitrix24.ru/crm/deal/details/12798/","https://belberrycrm.bitrix24.ru/crm/deal/details/12798/")</x:f>
      </x:c>
      <x:c r="D1545" t="str">
        <x:v>Реанимация</x:v>
      </x:c>
      <x:c r="E1545" t="str">
        <x:v>База для реанимации</x:v>
      </x:c>
      <x:c r="F1545" t="str">
        <x:v>Админ всея Belberry</x:v>
      </x:c>
      <x:c r="G1545" t="str">
        <x:v>нет</x:v>
      </x:c>
      <x:c r="H1545" t="str">
        <x:v>нет</x:v>
      </x:c>
    </x:row>
    <x:row r="1546">
      <x:c r="A1546" t="str">
        <x:v>12800</x:v>
      </x:c>
      <x:c r="B1546" t="str">
        <x:v>youcanlive.ru</x:v>
      </x:c>
      <x:c r="C1546" t="e">
        <x:f>HYPERLINK("https://belberrycrm.bitrix24.ru/crm/deal/details/12800/","https://belberrycrm.bitrix24.ru/crm/deal/details/12800/")</x:f>
      </x:c>
      <x:c r="D1546" t="str">
        <x:v>Реанимация</x:v>
      </x:c>
      <x:c r="E1546" t="str">
        <x:v>База для реанимации</x:v>
      </x:c>
      <x:c r="F1546" t="str">
        <x:v>Админ всея Belberry</x:v>
      </x:c>
      <x:c r="G1546" t="str">
        <x:v>нет</x:v>
      </x:c>
      <x:c r="H1546" t="str">
        <x:v>нет</x:v>
      </x:c>
    </x:row>
    <x:row r="1547">
      <x:c r="A1547" t="str">
        <x:v>12804</x:v>
      </x:c>
      <x:c r="B1547" t="str">
        <x:v>fitnessmania.ru</x:v>
      </x:c>
      <x:c r="C1547" t="e">
        <x:f>HYPERLINK("https://belberrycrm.bitrix24.ru/crm/deal/details/12804/","https://belberrycrm.bitrix24.ru/crm/deal/details/12804/")</x:f>
      </x:c>
      <x:c r="D1547" t="str">
        <x:v>Реанимация</x:v>
      </x:c>
      <x:c r="E1547" t="str">
        <x:v>База для реанимации</x:v>
      </x:c>
      <x:c r="F1547" t="str">
        <x:v>Админ всея Belberry</x:v>
      </x:c>
      <x:c r="G1547" t="str">
        <x:v>нет</x:v>
      </x:c>
      <x:c r="H1547" t="str">
        <x:v>нет</x:v>
      </x:c>
    </x:row>
    <x:row r="1548">
      <x:c r="A1548" t="str">
        <x:v>12808</x:v>
      </x:c>
      <x:c r="B1548" t="str">
        <x:v>denta-praktik.ru</x:v>
      </x:c>
      <x:c r="C1548" t="e">
        <x:f>HYPERLINK("https://belberrycrm.bitrix24.ru/crm/deal/details/12808/","https://belberrycrm.bitrix24.ru/crm/deal/details/12808/")</x:f>
      </x:c>
      <x:c r="D1548" t="str">
        <x:v>Реанимация</x:v>
      </x:c>
      <x:c r="E1548" t="str">
        <x:v>База для реанимации</x:v>
      </x:c>
      <x:c r="F1548" t="str">
        <x:v>Админ всея Belberry</x:v>
      </x:c>
      <x:c r="G1548" t="str">
        <x:v>нет</x:v>
      </x:c>
      <x:c r="H1548" t="str">
        <x:v>нет</x:v>
      </x:c>
    </x:row>
    <x:row r="1549">
      <x:c r="A1549" t="str">
        <x:v>12810</x:v>
      </x:c>
      <x:c r="B1549" t="str">
        <x:v>art-oral.ru</x:v>
      </x:c>
      <x:c r="C1549" t="e">
        <x:f>HYPERLINK("https://belberrycrm.bitrix24.ru/crm/deal/details/12810/","https://belberrycrm.bitrix24.ru/crm/deal/details/12810/")</x:f>
      </x:c>
      <x:c r="D1549" t="str">
        <x:v>Реанимация</x:v>
      </x:c>
      <x:c r="E1549" t="str">
        <x:v>База для реанимации</x:v>
      </x:c>
      <x:c r="F1549" t="str">
        <x:v>Админ всея Belberry</x:v>
      </x:c>
      <x:c r="G1549" t="str">
        <x:v>нет</x:v>
      </x:c>
      <x:c r="H1549" t="str">
        <x:v>нет</x:v>
      </x:c>
    </x:row>
    <x:row r="1550">
      <x:c r="A1550" t="str">
        <x:v>12822</x:v>
      </x:c>
      <x:c r="B1550" t="str">
        <x:v>azbuka-med.ru</x:v>
      </x:c>
      <x:c r="C1550" t="e">
        <x:f>HYPERLINK("https://belberrycrm.bitrix24.ru/crm/deal/details/12822/","https://belberrycrm.bitrix24.ru/crm/deal/details/12822/")</x:f>
      </x:c>
      <x:c r="D1550" t="str">
        <x:v>Реанимация</x:v>
      </x:c>
      <x:c r="E1550" t="str">
        <x:v>База для реанимации</x:v>
      </x:c>
      <x:c r="F1550" t="str">
        <x:v>Админ всея Belberry</x:v>
      </x:c>
      <x:c r="G1550" t="str">
        <x:v>нет</x:v>
      </x:c>
      <x:c r="H1550" t="str">
        <x:v>нет</x:v>
      </x:c>
    </x:row>
    <x:row r="1551">
      <x:c r="A1551" t="str">
        <x:v>12826</x:v>
      </x:c>
      <x:c r="B1551" t="str">
        <x:v>Александр</x:v>
      </x:c>
      <x:c r="C1551" t="e">
        <x:f>HYPERLINK("https://belberrycrm.bitrix24.ru/crm/deal/details/12826/","https://belberrycrm.bitrix24.ru/crm/deal/details/12826/")</x:f>
      </x:c>
      <x:c r="D1551" t="str">
        <x:v>Реанимация</x:v>
      </x:c>
      <x:c r="E1551" t="str">
        <x:v>База для реанимации</x:v>
      </x:c>
      <x:c r="F1551" t="str">
        <x:v>Админ всея Belberry</x:v>
      </x:c>
      <x:c r="G1551" t="str">
        <x:v>нет</x:v>
      </x:c>
      <x:c r="H1551" t="str">
        <x:v>нет</x:v>
      </x:c>
    </x:row>
    <x:row r="1552">
      <x:c r="A1552" t="str">
        <x:v>12828</x:v>
      </x:c>
      <x:c r="B1552" t="str">
        <x:v>profiserviceclub.ru</x:v>
      </x:c>
      <x:c r="C1552" t="e">
        <x:f>HYPERLINK("https://belberrycrm.bitrix24.ru/crm/deal/details/12828/","https://belberrycrm.bitrix24.ru/crm/deal/details/12828/")</x:f>
      </x:c>
      <x:c r="D1552" t="str">
        <x:v>Реанимация</x:v>
      </x:c>
      <x:c r="E1552" t="str">
        <x:v>База для реанимации</x:v>
      </x:c>
      <x:c r="F1552" t="str">
        <x:v>Админ всея Belberry</x:v>
      </x:c>
      <x:c r="G1552" t="str">
        <x:v>нет</x:v>
      </x:c>
      <x:c r="H1552" t="str">
        <x:v>нет</x:v>
      </x:c>
    </x:row>
    <x:row r="1553">
      <x:c r="A1553" t="str">
        <x:v>12830</x:v>
      </x:c>
      <x:c r="B1553" t="str">
        <x:v>royalmedic.ru</x:v>
      </x:c>
      <x:c r="C1553" t="e">
        <x:f>HYPERLINK("https://belberrycrm.bitrix24.ru/crm/deal/details/12830/","https://belberrycrm.bitrix24.ru/crm/deal/details/12830/")</x:f>
      </x:c>
      <x:c r="D1553" t="str">
        <x:v>Реанимация</x:v>
      </x:c>
      <x:c r="E1553" t="str">
        <x:v>База для реанимации</x:v>
      </x:c>
      <x:c r="F1553" t="str">
        <x:v>Админ всея Belberry</x:v>
      </x:c>
      <x:c r="G1553" t="str">
        <x:v>нет</x:v>
      </x:c>
      <x:c r="H1553" t="str">
        <x:v>нет</x:v>
      </x:c>
    </x:row>
    <x:row r="1554">
      <x:c r="A1554" t="str">
        <x:v>12834</x:v>
      </x:c>
      <x:c r="B1554" t="str">
        <x:v>vivasmile.ru</x:v>
      </x:c>
      <x:c r="C1554" t="e">
        <x:f>HYPERLINK("https://belberrycrm.bitrix24.ru/crm/deal/details/12834/","https://belberrycrm.bitrix24.ru/crm/deal/details/12834/")</x:f>
      </x:c>
      <x:c r="D1554" t="str">
        <x:v>Реанимация</x:v>
      </x:c>
      <x:c r="E1554" t="str">
        <x:v>База для реанимации</x:v>
      </x:c>
      <x:c r="F1554" t="str">
        <x:v>Админ всея Belberry</x:v>
      </x:c>
      <x:c r="G1554" t="str">
        <x:v>нет</x:v>
      </x:c>
      <x:c r="H1554" t="str">
        <x:v>нет</x:v>
      </x:c>
    </x:row>
    <x:row r="1555">
      <x:c r="A1555" t="str">
        <x:v>12840</x:v>
      </x:c>
      <x:c r="B1555" t="str">
        <x:v>dentastil.ru</x:v>
      </x:c>
      <x:c r="C1555" t="e">
        <x:f>HYPERLINK("https://belberrycrm.bitrix24.ru/crm/deal/details/12840/","https://belberrycrm.bitrix24.ru/crm/deal/details/12840/")</x:f>
      </x:c>
      <x:c r="D1555" t="str">
        <x:v>Реанимация</x:v>
      </x:c>
      <x:c r="E1555" t="str">
        <x:v>База для реанимации</x:v>
      </x:c>
      <x:c r="F1555" t="str">
        <x:v>Админ всея Belberry</x:v>
      </x:c>
      <x:c r="G1555" t="str">
        <x:v>нет</x:v>
      </x:c>
      <x:c r="H1555" t="str">
        <x:v>нет</x:v>
      </x:c>
    </x:row>
    <x:row r="1556">
      <x:c r="A1556" t="str">
        <x:v>12844</x:v>
      </x:c>
      <x:c r="B1556" t="str">
        <x:v>ayurveda-clinic.ru</x:v>
      </x:c>
      <x:c r="C1556" t="e">
        <x:f>HYPERLINK("https://belberrycrm.bitrix24.ru/crm/deal/details/12844/","https://belberrycrm.bitrix24.ru/crm/deal/details/12844/")</x:f>
      </x:c>
      <x:c r="D1556" t="str">
        <x:v>Реанимация</x:v>
      </x:c>
      <x:c r="E1556" t="str">
        <x:v>База для реанимации</x:v>
      </x:c>
      <x:c r="F1556" t="str">
        <x:v>Админ всея Belberry</x:v>
      </x:c>
      <x:c r="G1556" t="str">
        <x:v>нет</x:v>
      </x:c>
      <x:c r="H1556" t="str">
        <x:v>нет</x:v>
      </x:c>
    </x:row>
    <x:row r="1557">
      <x:c r="A1557" t="str">
        <x:v>12846</x:v>
      </x:c>
      <x:c r="B1557" t="str">
        <x:v>amklinika.ru</x:v>
      </x:c>
      <x:c r="C1557" t="e">
        <x:f>HYPERLINK("https://belberrycrm.bitrix24.ru/crm/deal/details/12846/","https://belberrycrm.bitrix24.ru/crm/deal/details/12846/")</x:f>
      </x:c>
      <x:c r="D1557" t="str">
        <x:v>Реанимация</x:v>
      </x:c>
      <x:c r="E1557" t="str">
        <x:v>База для реанимации</x:v>
      </x:c>
      <x:c r="F1557" t="str">
        <x:v>Админ всея Belberry</x:v>
      </x:c>
      <x:c r="G1557" t="str">
        <x:v>нет</x:v>
      </x:c>
      <x:c r="H1557" t="str">
        <x:v>нет</x:v>
      </x:c>
    </x:row>
    <x:row r="1558">
      <x:c r="A1558" t="str">
        <x:v>12850</x:v>
      </x:c>
      <x:c r="B1558" t="str">
        <x:v>pavlenko-center.ru</x:v>
      </x:c>
      <x:c r="C1558" t="e">
        <x:f>HYPERLINK("https://belberrycrm.bitrix24.ru/crm/deal/details/12850/","https://belberrycrm.bitrix24.ru/crm/deal/details/12850/")</x:f>
      </x:c>
      <x:c r="D1558" t="str">
        <x:v>Реанимация</x:v>
      </x:c>
      <x:c r="E1558" t="str">
        <x:v>База для реанимации</x:v>
      </x:c>
      <x:c r="F1558" t="str">
        <x:v>Админ всея Belberry</x:v>
      </x:c>
      <x:c r="G1558" t="str">
        <x:v>нет</x:v>
      </x:c>
      <x:c r="H1558" t="str">
        <x:v>нет</x:v>
      </x:c>
    </x:row>
    <x:row r="1559">
      <x:c r="A1559" t="str">
        <x:v>12852</x:v>
      </x:c>
      <x:c r="B1559" t="str">
        <x:v>homo89.ru</x:v>
      </x:c>
      <x:c r="C1559" t="e">
        <x:f>HYPERLINK("https://belberrycrm.bitrix24.ru/crm/deal/details/12852/","https://belberrycrm.bitrix24.ru/crm/deal/details/12852/")</x:f>
      </x:c>
      <x:c r="D1559" t="str">
        <x:v>Реанимация</x:v>
      </x:c>
      <x:c r="E1559" t="str">
        <x:v>База для реанимации</x:v>
      </x:c>
      <x:c r="F1559" t="str">
        <x:v>Админ всея Belberry</x:v>
      </x:c>
      <x:c r="G1559" t="str">
        <x:v>нет</x:v>
      </x:c>
      <x:c r="H1559" t="str">
        <x:v>нет</x:v>
      </x:c>
    </x:row>
    <x:row r="1560">
      <x:c r="A1560" t="str">
        <x:v>12854</x:v>
      </x:c>
      <x:c r="B1560" t="str">
        <x:v>optikmir.ru</x:v>
      </x:c>
      <x:c r="C1560" t="e">
        <x:f>HYPERLINK("https://belberrycrm.bitrix24.ru/crm/deal/details/12854/","https://belberrycrm.bitrix24.ru/crm/deal/details/12854/")</x:f>
      </x:c>
      <x:c r="D1560" t="str">
        <x:v>Реанимация</x:v>
      </x:c>
      <x:c r="E1560" t="str">
        <x:v>База для реанимации</x:v>
      </x:c>
      <x:c r="F1560" t="str">
        <x:v>Админ всея Belberry</x:v>
      </x:c>
      <x:c r="G1560" t="str">
        <x:v>нет</x:v>
      </x:c>
      <x:c r="H1560" t="str">
        <x:v>нет</x:v>
      </x:c>
    </x:row>
    <x:row r="1561">
      <x:c r="A1561" t="str">
        <x:v>12866</x:v>
      </x:c>
      <x:c r="B1561" t="str">
        <x:v>zabdoctor.ru</x:v>
      </x:c>
      <x:c r="C1561" t="e">
        <x:f>HYPERLINK("https://belberrycrm.bitrix24.ru/crm/deal/details/12866/","https://belberrycrm.bitrix24.ru/crm/deal/details/12866/")</x:f>
      </x:c>
      <x:c r="D1561" t="str">
        <x:v>Реанимация</x:v>
      </x:c>
      <x:c r="E1561" t="str">
        <x:v>База для реанимации</x:v>
      </x:c>
      <x:c r="F1561" t="str">
        <x:v>Админ всея Belberry</x:v>
      </x:c>
      <x:c r="G1561" t="str">
        <x:v>да</x:v>
      </x:c>
      <x:c r="H1561" t="str">
        <x:v>нет</x:v>
      </x:c>
    </x:row>
    <x:row r="1562">
      <x:c r="A1562" t="str">
        <x:v>12876</x:v>
      </x:c>
      <x:c r="B1562" t="str">
        <x:v>t-zrenia.ru</x:v>
      </x:c>
      <x:c r="C1562" t="e">
        <x:f>HYPERLINK("https://belberrycrm.bitrix24.ru/crm/deal/details/12876/","https://belberrycrm.bitrix24.ru/crm/deal/details/12876/")</x:f>
      </x:c>
      <x:c r="D1562" t="str">
        <x:v>Реанимация</x:v>
      </x:c>
      <x:c r="E1562" t="str">
        <x:v>База для реанимации</x:v>
      </x:c>
      <x:c r="F1562" t="str">
        <x:v>Админ всея Belberry</x:v>
      </x:c>
      <x:c r="G1562" t="str">
        <x:v>нет</x:v>
      </x:c>
      <x:c r="H1562" t="str">
        <x:v>нет</x:v>
      </x:c>
    </x:row>
    <x:row r="1563">
      <x:c r="A1563" t="str">
        <x:v>12880</x:v>
      </x:c>
      <x:c r="B1563" t="str">
        <x:v>ckb2rzd.ru</x:v>
      </x:c>
      <x:c r="C1563" t="e">
        <x:f>HYPERLINK("https://belberrycrm.bitrix24.ru/crm/deal/details/12880/","https://belberrycrm.bitrix24.ru/crm/deal/details/12880/")</x:f>
      </x:c>
      <x:c r="D1563" t="str">
        <x:v>Реанимация</x:v>
      </x:c>
      <x:c r="E1563" t="str">
        <x:v>База для реанимации</x:v>
      </x:c>
      <x:c r="F1563" t="str">
        <x:v>Админ всея Belberry</x:v>
      </x:c>
      <x:c r="G1563" t="str">
        <x:v>нет</x:v>
      </x:c>
      <x:c r="H1563" t="str">
        <x:v>нет</x:v>
      </x:c>
    </x:row>
    <x:row r="1564">
      <x:c r="A1564" t="str">
        <x:v>12882</x:v>
      </x:c>
      <x:c r="B1564" t="str">
        <x:v>soliddent.ru</x:v>
      </x:c>
      <x:c r="C1564" t="e">
        <x:f>HYPERLINK("https://belberrycrm.bitrix24.ru/crm/deal/details/12882/","https://belberrycrm.bitrix24.ru/crm/deal/details/12882/")</x:f>
      </x:c>
      <x:c r="D1564" t="str">
        <x:v>Реанимация</x:v>
      </x:c>
      <x:c r="E1564" t="str">
        <x:v>База для реанимации</x:v>
      </x:c>
      <x:c r="F1564" t="str">
        <x:v>Админ всея Belberry</x:v>
      </x:c>
      <x:c r="G1564" t="str">
        <x:v>нет</x:v>
      </x:c>
      <x:c r="H1564" t="str">
        <x:v>нет</x:v>
      </x:c>
    </x:row>
    <x:row r="1565">
      <x:c r="A1565" t="str">
        <x:v>12886</x:v>
      </x:c>
      <x:c r="B1565" t="str">
        <x:v>ligovsky94.ru</x:v>
      </x:c>
      <x:c r="C1565" t="e">
        <x:f>HYPERLINK("https://belberrycrm.bitrix24.ru/crm/deal/details/12886/","https://belberrycrm.bitrix24.ru/crm/deal/details/12886/")</x:f>
      </x:c>
      <x:c r="D1565" t="str">
        <x:v>Реанимация</x:v>
      </x:c>
      <x:c r="E1565" t="str">
        <x:v>База для реанимации</x:v>
      </x:c>
      <x:c r="F1565" t="str">
        <x:v>Админ всея Belberry</x:v>
      </x:c>
      <x:c r="G1565" t="str">
        <x:v>нет</x:v>
      </x:c>
      <x:c r="H1565" t="str">
        <x:v>нет</x:v>
      </x:c>
    </x:row>
    <x:row r="1566">
      <x:c r="A1566" t="str">
        <x:v>12900</x:v>
      </x:c>
      <x:c r="B1566" t="str">
        <x:v>veinclinic.ru</x:v>
      </x:c>
      <x:c r="C1566" t="e">
        <x:f>HYPERLINK("https://belberrycrm.bitrix24.ru/crm/deal/details/12900/","https://belberrycrm.bitrix24.ru/crm/deal/details/12900/")</x:f>
      </x:c>
      <x:c r="D1566" t="str">
        <x:v>Реанимация</x:v>
      </x:c>
      <x:c r="E1566" t="str">
        <x:v>База для реанимации</x:v>
      </x:c>
      <x:c r="F1566" t="str">
        <x:v>Админ всея Belberry</x:v>
      </x:c>
      <x:c r="G1566" t="str">
        <x:v>нет</x:v>
      </x:c>
      <x:c r="H1566" t="str">
        <x:v>нет</x:v>
      </x:c>
    </x:row>
    <x:row r="1567">
      <x:c r="A1567" t="str">
        <x:v>12902</x:v>
      </x:c>
      <x:c r="B1567" t="str">
        <x:v>arcadis-mg.com</x:v>
      </x:c>
      <x:c r="C1567" t="e">
        <x:f>HYPERLINK("https://belberrycrm.bitrix24.ru/crm/deal/details/12902/","https://belberrycrm.bitrix24.ru/crm/deal/details/12902/")</x:f>
      </x:c>
      <x:c r="D1567" t="str">
        <x:v>Реанимация</x:v>
      </x:c>
      <x:c r="E1567" t="str">
        <x:v>База для реанимации</x:v>
      </x:c>
      <x:c r="F1567" t="str">
        <x:v>Админ всея Belberry</x:v>
      </x:c>
      <x:c r="G1567" t="str">
        <x:v>нет</x:v>
      </x:c>
      <x:c r="H1567" t="str">
        <x:v>нет</x:v>
      </x:c>
    </x:row>
    <x:row r="1568">
      <x:c r="A1568" t="str">
        <x:v>12908</x:v>
      </x:c>
      <x:c r="B1568" t="str">
        <x:v>boss-smile.dentistry-clinic.ru</x:v>
      </x:c>
      <x:c r="C1568" t="e">
        <x:f>HYPERLINK("https://belberrycrm.bitrix24.ru/crm/deal/details/12908/","https://belberrycrm.bitrix24.ru/crm/deal/details/12908/")</x:f>
      </x:c>
      <x:c r="D1568" t="str">
        <x:v>Реанимация</x:v>
      </x:c>
      <x:c r="E1568" t="str">
        <x:v>База для реанимации</x:v>
      </x:c>
      <x:c r="F1568" t="str">
        <x:v>Админ всея Belberry</x:v>
      </x:c>
      <x:c r="G1568" t="str">
        <x:v>нет</x:v>
      </x:c>
      <x:c r="H1568" t="str">
        <x:v>нет</x:v>
      </x:c>
    </x:row>
    <x:row r="1569">
      <x:c r="A1569" t="str">
        <x:v>12916</x:v>
      </x:c>
      <x:c r="B1569" t="str">
        <x:v>giodent.com</x:v>
      </x:c>
      <x:c r="C1569" t="e">
        <x:f>HYPERLINK("https://belberrycrm.bitrix24.ru/crm/deal/details/12916/","https://belberrycrm.bitrix24.ru/crm/deal/details/12916/")</x:f>
      </x:c>
      <x:c r="D1569" t="str">
        <x:v>Реанимация</x:v>
      </x:c>
      <x:c r="E1569" t="str">
        <x:v>База для реанимации</x:v>
      </x:c>
      <x:c r="F1569" t="str">
        <x:v>Админ всея Belberry</x:v>
      </x:c>
      <x:c r="G1569" t="str">
        <x:v>нет</x:v>
      </x:c>
      <x:c r="H1569" t="str">
        <x:v>нет</x:v>
      </x:c>
    </x:row>
    <x:row r="1570">
      <x:c r="A1570" t="str">
        <x:v>12918</x:v>
      </x:c>
      <x:c r="B1570" t="str">
        <x:v>newsmile54.blizko.ru</x:v>
      </x:c>
      <x:c r="C1570" t="e">
        <x:f>HYPERLINK("https://belberrycrm.bitrix24.ru/crm/deal/details/12918/","https://belberrycrm.bitrix24.ru/crm/deal/details/12918/")</x:f>
      </x:c>
      <x:c r="D1570" t="str">
        <x:v>Реанимация</x:v>
      </x:c>
      <x:c r="E1570" t="str">
        <x:v>База для реанимации</x:v>
      </x:c>
      <x:c r="F1570" t="str">
        <x:v>Админ всея Belberry</x:v>
      </x:c>
      <x:c r="G1570" t="str">
        <x:v>да</x:v>
      </x:c>
      <x:c r="H1570" t="str">
        <x:v>нет</x:v>
      </x:c>
    </x:row>
    <x:row r="1571">
      <x:c r="A1571" t="str">
        <x:v>12920</x:v>
      </x:c>
      <x:c r="B1571" t="str">
        <x:v>neostom-pargolovo.ru</x:v>
      </x:c>
      <x:c r="C1571" t="e">
        <x:f>HYPERLINK("https://belberrycrm.bitrix24.ru/crm/deal/details/12920/","https://belberrycrm.bitrix24.ru/crm/deal/details/12920/")</x:f>
      </x:c>
      <x:c r="D1571" t="str">
        <x:v>Реанимация</x:v>
      </x:c>
      <x:c r="E1571" t="str">
        <x:v>База для реанимации</x:v>
      </x:c>
      <x:c r="F1571" t="str">
        <x:v>Админ всея Belberry</x:v>
      </x:c>
      <x:c r="G1571" t="str">
        <x:v>нет</x:v>
      </x:c>
      <x:c r="H1571" t="str">
        <x:v>нет</x:v>
      </x:c>
    </x:row>
    <x:row r="1572">
      <x:c r="A1572" t="str">
        <x:v>12924</x:v>
      </x:c>
      <x:c r="B1572" t="str">
        <x:v>Ирина пластический хирург bios-med.ru</x:v>
      </x:c>
      <x:c r="C1572" t="e">
        <x:f>HYPERLINK("https://belberrycrm.bitrix24.ru/crm/deal/details/12924/","https://belberrycrm.bitrix24.ru/crm/deal/details/12924/")</x:f>
      </x:c>
      <x:c r="D1572" t="str">
        <x:v>Реанимация</x:v>
      </x:c>
      <x:c r="E1572" t="str">
        <x:v>База для реанимации</x:v>
      </x:c>
      <x:c r="F1572" t="str">
        <x:v>Админ всея Belberry</x:v>
      </x:c>
      <x:c r="G1572" t="str">
        <x:v>нет</x:v>
      </x:c>
      <x:c r="H1572" t="str">
        <x:v>нет</x:v>
      </x:c>
    </x:row>
    <x:row r="1573">
      <x:c r="A1573" t="str">
        <x:v>12928</x:v>
      </x:c>
      <x:c r="B1573" t="str">
        <x:v>artdentnn.ru</x:v>
      </x:c>
      <x:c r="C1573" t="e">
        <x:f>HYPERLINK("https://belberrycrm.bitrix24.ru/crm/deal/details/12928/","https://belberrycrm.bitrix24.ru/crm/deal/details/12928/")</x:f>
      </x:c>
      <x:c r="D1573" t="str">
        <x:v>Реанимация</x:v>
      </x:c>
      <x:c r="E1573" t="str">
        <x:v>База для реанимации</x:v>
      </x:c>
      <x:c r="F1573" t="str">
        <x:v>Админ всея Belberry</x:v>
      </x:c>
      <x:c r="G1573" t="str">
        <x:v>нет</x:v>
      </x:c>
      <x:c r="H1573" t="str">
        <x:v>нет</x:v>
      </x:c>
    </x:row>
    <x:row r="1574">
      <x:c r="A1574" t="str">
        <x:v>12936</x:v>
      </x:c>
      <x:c r="B1574" t="str">
        <x:v>vernodent.ru</x:v>
      </x:c>
      <x:c r="C1574" t="e">
        <x:f>HYPERLINK("https://belberrycrm.bitrix24.ru/crm/deal/details/12936/","https://belberrycrm.bitrix24.ru/crm/deal/details/12936/")</x:f>
      </x:c>
      <x:c r="D1574" t="str">
        <x:v>Реанимация</x:v>
      </x:c>
      <x:c r="E1574" t="str">
        <x:v>База для реанимации</x:v>
      </x:c>
      <x:c r="F1574" t="str">
        <x:v>Админ всея Belberry</x:v>
      </x:c>
      <x:c r="G1574" t="str">
        <x:v>нет</x:v>
      </x:c>
      <x:c r="H1574" t="str">
        <x:v>нет</x:v>
      </x:c>
    </x:row>
    <x:row r="1575">
      <x:c r="A1575" t="str">
        <x:v>12938</x:v>
      </x:c>
      <x:c r="B1575" t="str">
        <x:v>mc-zp.ru</x:v>
      </x:c>
      <x:c r="C1575" t="e">
        <x:f>HYPERLINK("https://belberrycrm.bitrix24.ru/crm/deal/details/12938/","https://belberrycrm.bitrix24.ru/crm/deal/details/12938/")</x:f>
      </x:c>
      <x:c r="D1575" t="str">
        <x:v>Реанимация</x:v>
      </x:c>
      <x:c r="E1575" t="str">
        <x:v>База для реанимации</x:v>
      </x:c>
      <x:c r="F1575" t="str">
        <x:v>Админ всея Belberry</x:v>
      </x:c>
      <x:c r="G1575" t="str">
        <x:v>нет</x:v>
      </x:c>
      <x:c r="H1575" t="str">
        <x:v>нет</x:v>
      </x:c>
    </x:row>
    <x:row r="1576">
      <x:c r="A1576" t="str">
        <x:v>12940</x:v>
      </x:c>
      <x:c r="B1576" t="str">
        <x:v>mdent56.ru</x:v>
      </x:c>
      <x:c r="C1576" t="e">
        <x:f>HYPERLINK("https://belberrycrm.bitrix24.ru/crm/deal/details/12940/","https://belberrycrm.bitrix24.ru/crm/deal/details/12940/")</x:f>
      </x:c>
      <x:c r="D1576" t="str">
        <x:v>Реанимация</x:v>
      </x:c>
      <x:c r="E1576" t="str">
        <x:v>База для реанимации</x:v>
      </x:c>
      <x:c r="F1576" t="str">
        <x:v>Админ всея Belberry</x:v>
      </x:c>
      <x:c r="G1576" t="str">
        <x:v>нет</x:v>
      </x:c>
      <x:c r="H1576" t="str">
        <x:v>нет</x:v>
      </x:c>
    </x:row>
    <x:row r="1577">
      <x:c r="A1577" t="str">
        <x:v>12944</x:v>
      </x:c>
      <x:c r="B1577" t="str">
        <x:v>dentatech.ru</x:v>
      </x:c>
      <x:c r="C1577" t="e">
        <x:f>HYPERLINK("https://belberrycrm.bitrix24.ru/crm/deal/details/12944/","https://belberrycrm.bitrix24.ru/crm/deal/details/12944/")</x:f>
      </x:c>
      <x:c r="D1577" t="str">
        <x:v>Реанимация</x:v>
      </x:c>
      <x:c r="E1577" t="str">
        <x:v>База для реанимации</x:v>
      </x:c>
      <x:c r="F1577" t="str">
        <x:v>Админ всея Belberry</x:v>
      </x:c>
      <x:c r="G1577" t="str">
        <x:v>нет</x:v>
      </x:c>
      <x:c r="H1577" t="str">
        <x:v>нет</x:v>
      </x:c>
    </x:row>
    <x:row r="1578">
      <x:c r="A1578" t="str">
        <x:v>12946</x:v>
      </x:c>
      <x:c r="B1578" t="str">
        <x:v>Клиника Мед-добро на Краснодонской улице</x:v>
      </x:c>
      <x:c r="C1578" t="e">
        <x:f>HYPERLINK("https://belberrycrm.bitrix24.ru/crm/deal/details/12946/","https://belberrycrm.bitrix24.ru/crm/deal/details/12946/")</x:f>
      </x:c>
      <x:c r="D1578" t="str">
        <x:v>Реанимация</x:v>
      </x:c>
      <x:c r="E1578" t="str">
        <x:v>База для реанимации</x:v>
      </x:c>
      <x:c r="F1578" t="str">
        <x:v>Админ всея Belberry</x:v>
      </x:c>
      <x:c r="G1578" t="str">
        <x:v>нет</x:v>
      </x:c>
      <x:c r="H1578" t="str">
        <x:v>нет</x:v>
      </x:c>
    </x:row>
    <x:row r="1579">
      <x:c r="A1579" t="str">
        <x:v>12950</x:v>
      </x:c>
      <x:c r="B1579" t="str">
        <x:v>bios-med.ru</x:v>
      </x:c>
      <x:c r="C1579" t="e">
        <x:f>HYPERLINK("https://belberrycrm.bitrix24.ru/crm/deal/details/12950/","https://belberrycrm.bitrix24.ru/crm/deal/details/12950/")</x:f>
      </x:c>
      <x:c r="D1579" t="str">
        <x:v>Реанимация</x:v>
      </x:c>
      <x:c r="E1579" t="str">
        <x:v>База для реанимации</x:v>
      </x:c>
      <x:c r="F1579" t="str">
        <x:v>Админ всея Belberry</x:v>
      </x:c>
      <x:c r="G1579" t="str">
        <x:v>нет</x:v>
      </x:c>
      <x:c r="H1579" t="str">
        <x:v>нет</x:v>
      </x:c>
    </x:row>
    <x:row r="1580">
      <x:c r="A1580" t="str">
        <x:v>12952</x:v>
      </x:c>
      <x:c r="B1580" t="str">
        <x:v>Стоматология в Санкт-Петербурге</x:v>
      </x:c>
      <x:c r="C1580" t="e">
        <x:f>HYPERLINK("https://belberrycrm.bitrix24.ru/crm/deal/details/12952/","https://belberrycrm.bitrix24.ru/crm/deal/details/12952/")</x:f>
      </x:c>
      <x:c r="D1580" t="str">
        <x:v>Реанимация</x:v>
      </x:c>
      <x:c r="E1580" t="str">
        <x:v>База для реанимации</x:v>
      </x:c>
      <x:c r="F1580" t="str">
        <x:v>Админ всея Belberry</x:v>
      </x:c>
      <x:c r="G1580" t="str">
        <x:v>нет</x:v>
      </x:c>
      <x:c r="H1580" t="str">
        <x:v>нет</x:v>
      </x:c>
    </x:row>
    <x:row r="1581">
      <x:c r="A1581" t="str">
        <x:v>12958</x:v>
      </x:c>
      <x:c r="B1581" t="str">
        <x:v>dr_gurgen</x:v>
      </x:c>
      <x:c r="C1581" t="e">
        <x:f>HYPERLINK("https://belberrycrm.bitrix24.ru/crm/deal/details/12958/","https://belberrycrm.bitrix24.ru/crm/deal/details/12958/")</x:f>
      </x:c>
      <x:c r="D1581" t="str">
        <x:v>Реанимация</x:v>
      </x:c>
      <x:c r="E1581" t="str">
        <x:v>База для реанимации</x:v>
      </x:c>
      <x:c r="F1581" t="str">
        <x:v>Админ всея Belberry</x:v>
      </x:c>
      <x:c r="G1581" t="str">
        <x:v>нет</x:v>
      </x:c>
      <x:c r="H1581" t="str">
        <x:v>нет</x:v>
      </x:c>
    </x:row>
    <x:row r="1582">
      <x:c r="A1582" t="str">
        <x:v>12960</x:v>
      </x:c>
      <x:c r="B1582" t="str">
        <x:v>Естественныероды.рф</x:v>
      </x:c>
      <x:c r="C1582" t="e">
        <x:f>HYPERLINK("https://belberrycrm.bitrix24.ru/crm/deal/details/12960/","https://belberrycrm.bitrix24.ru/crm/deal/details/12960/")</x:f>
      </x:c>
      <x:c r="D1582" t="str">
        <x:v>Реанимация</x:v>
      </x:c>
      <x:c r="E1582" t="str">
        <x:v>База для реанимации</x:v>
      </x:c>
      <x:c r="F1582" t="str">
        <x:v>Админ всея Belberry</x:v>
      </x:c>
      <x:c r="G1582" t="str">
        <x:v>да</x:v>
      </x:c>
      <x:c r="H1582" t="str">
        <x:v>нет</x:v>
      </x:c>
    </x:row>
    <x:row r="1583">
      <x:c r="A1583" t="str">
        <x:v>12964</x:v>
      </x:c>
      <x:c r="B1583" t="str">
        <x:v>vitadent-m.ru</x:v>
      </x:c>
      <x:c r="C1583" t="e">
        <x:f>HYPERLINK("https://belberrycrm.bitrix24.ru/crm/deal/details/12964/","https://belberrycrm.bitrix24.ru/crm/deal/details/12964/")</x:f>
      </x:c>
      <x:c r="D1583" t="str">
        <x:v>Реанимация</x:v>
      </x:c>
      <x:c r="E1583" t="str">
        <x:v>База для реанимации</x:v>
      </x:c>
      <x:c r="F1583" t="str">
        <x:v>Админ всея Belberry</x:v>
      </x:c>
      <x:c r="G1583" t="str">
        <x:v>да</x:v>
      </x:c>
      <x:c r="H1583" t="str">
        <x:v>нет</x:v>
      </x:c>
    </x:row>
    <x:row r="1584">
      <x:c r="A1584" t="str">
        <x:v>12966</x:v>
      </x:c>
      <x:c r="B1584" t="str">
        <x:v>maki-clinic.ru</x:v>
      </x:c>
      <x:c r="C1584" t="e">
        <x:f>HYPERLINK("https://belberrycrm.bitrix24.ru/crm/deal/details/12966/","https://belberrycrm.bitrix24.ru/crm/deal/details/12966/")</x:f>
      </x:c>
      <x:c r="D1584" t="str">
        <x:v>Реанимация</x:v>
      </x:c>
      <x:c r="E1584" t="str">
        <x:v>База для реанимации</x:v>
      </x:c>
      <x:c r="F1584" t="str">
        <x:v>Админ всея Belberry</x:v>
      </x:c>
      <x:c r="G1584" t="str">
        <x:v>нет</x:v>
      </x:c>
      <x:c r="H1584" t="str">
        <x:v>нет</x:v>
      </x:c>
    </x:row>
    <x:row r="1585">
      <x:c r="A1585" t="str">
        <x:v>12968</x:v>
      </x:c>
      <x:c r="B1585" t="str">
        <x:v>cosmolab.moscow</x:v>
      </x:c>
      <x:c r="C1585" t="e">
        <x:f>HYPERLINK("https://belberrycrm.bitrix24.ru/crm/deal/details/12968/","https://belberrycrm.bitrix24.ru/crm/deal/details/12968/")</x:f>
      </x:c>
      <x:c r="D1585" t="str">
        <x:v>Реанимация</x:v>
      </x:c>
      <x:c r="E1585" t="str">
        <x:v>База для реанимации</x:v>
      </x:c>
      <x:c r="F1585" t="str">
        <x:v>Админ всея Belberry</x:v>
      </x:c>
      <x:c r="G1585" t="str">
        <x:v>нет</x:v>
      </x:c>
      <x:c r="H1585" t="str">
        <x:v>нет</x:v>
      </x:c>
    </x:row>
    <x:row r="1586">
      <x:c r="A1586" t="str">
        <x:v>12972</x:v>
      </x:c>
      <x:c r="B1586" t="str">
        <x:v>Стоматологическая клиника Денто А.С. в Сокольниках</x:v>
      </x:c>
      <x:c r="C1586" t="e">
        <x:f>HYPERLINK("https://belberrycrm.bitrix24.ru/crm/deal/details/12972/","https://belberrycrm.bitrix24.ru/crm/deal/details/12972/")</x:f>
      </x:c>
      <x:c r="D1586" t="str">
        <x:v>Реанимация</x:v>
      </x:c>
      <x:c r="E1586" t="str">
        <x:v>База для реанимации</x:v>
      </x:c>
      <x:c r="F1586" t="str">
        <x:v>Админ всея Belberry</x:v>
      </x:c>
      <x:c r="G1586" t="str">
        <x:v>нет</x:v>
      </x:c>
      <x:c r="H1586" t="str">
        <x:v>нет</x:v>
      </x:c>
    </x:row>
    <x:row r="1587">
      <x:c r="A1587" t="str">
        <x:v>12978</x:v>
      </x:c>
      <x:c r="B1587" t="str">
        <x:v>veinaest.pro</x:v>
      </x:c>
      <x:c r="C1587" t="e">
        <x:f>HYPERLINK("https://belberrycrm.bitrix24.ru/crm/deal/details/12978/","https://belberrycrm.bitrix24.ru/crm/deal/details/12978/")</x:f>
      </x:c>
      <x:c r="D1587" t="str">
        <x:v>Реанимация</x:v>
      </x:c>
      <x:c r="E1587" t="str">
        <x:v>База для реанимации</x:v>
      </x:c>
      <x:c r="F1587" t="str">
        <x:v>Админ всея Belberry</x:v>
      </x:c>
      <x:c r="G1587" t="str">
        <x:v>нет</x:v>
      </x:c>
      <x:c r="H1587" t="str">
        <x:v>нет</x:v>
      </x:c>
    </x:row>
    <x:row r="1588">
      <x:c r="A1588" t="str">
        <x:v>12980</x:v>
      </x:c>
      <x:c r="B1588" t="str">
        <x:v>Констатин (Врач гастроентеролог личный бренд)</x:v>
      </x:c>
      <x:c r="C1588" t="e">
        <x:f>HYPERLINK("https://belberrycrm.bitrix24.ru/crm/deal/details/12980/","https://belberrycrm.bitrix24.ru/crm/deal/details/12980/")</x:f>
      </x:c>
      <x:c r="D1588" t="str">
        <x:v>Реанимация</x:v>
      </x:c>
      <x:c r="E1588" t="str">
        <x:v>База для реанимации</x:v>
      </x:c>
      <x:c r="F1588" t="str">
        <x:v>Админ всея Belberry</x:v>
      </x:c>
      <x:c r="G1588" t="str">
        <x:v>нет</x:v>
      </x:c>
      <x:c r="H1588" t="str">
        <x:v>нет</x:v>
      </x:c>
    </x:row>
    <x:row r="1589">
      <x:c r="A1589" t="str">
        <x:v>12990</x:v>
      </x:c>
      <x:c r="B1589" t="str">
        <x:v>Врач флеболог</x:v>
      </x:c>
      <x:c r="C1589" t="e">
        <x:f>HYPERLINK("https://belberrycrm.bitrix24.ru/crm/deal/details/12990/","https://belberrycrm.bitrix24.ru/crm/deal/details/12990/")</x:f>
      </x:c>
      <x:c r="D1589" t="str">
        <x:v>Реанимация</x:v>
      </x:c>
      <x:c r="E1589" t="str">
        <x:v>База для реанимации</x:v>
      </x:c>
      <x:c r="F1589" t="str">
        <x:v>Админ всея Belberry</x:v>
      </x:c>
      <x:c r="G1589" t="str">
        <x:v>нет</x:v>
      </x:c>
      <x:c r="H1589" t="str">
        <x:v>нет</x:v>
      </x:c>
    </x:row>
    <x:row r="1590">
      <x:c r="A1590" t="str">
        <x:v>12992</x:v>
      </x:c>
      <x:c r="B1590" t="str">
        <x:v>Школа Здорово Спины</x:v>
      </x:c>
      <x:c r="C1590" t="e">
        <x:f>HYPERLINK("https://belberrycrm.bitrix24.ru/crm/deal/details/12992/","https://belberrycrm.bitrix24.ru/crm/deal/details/12992/")</x:f>
      </x:c>
      <x:c r="D1590" t="str">
        <x:v>Реанимация</x:v>
      </x:c>
      <x:c r="E1590" t="str">
        <x:v>База для реанимации</x:v>
      </x:c>
      <x:c r="F1590" t="str">
        <x:v>Админ всея Belberry</x:v>
      </x:c>
      <x:c r="G1590" t="str">
        <x:v>нет</x:v>
      </x:c>
      <x:c r="H1590" t="str">
        <x:v>нет</x:v>
      </x:c>
    </x:row>
    <x:row r="1591">
      <x:c r="A1591" t="str">
        <x:v>12994</x:v>
      </x:c>
      <x:c r="B1591" t="str">
        <x:v>magericmed.ru</x:v>
      </x:c>
      <x:c r="C1591" t="e">
        <x:f>HYPERLINK("https://belberrycrm.bitrix24.ru/crm/deal/details/12994/","https://belberrycrm.bitrix24.ru/crm/deal/details/12994/")</x:f>
      </x:c>
      <x:c r="D1591" t="str">
        <x:v>Реанимация</x:v>
      </x:c>
      <x:c r="E1591" t="str">
        <x:v>База для реанимации</x:v>
      </x:c>
      <x:c r="F1591" t="str">
        <x:v>Админ всея Belberry</x:v>
      </x:c>
      <x:c r="G1591" t="str">
        <x:v>нет</x:v>
      </x:c>
      <x:c r="H1591" t="str">
        <x:v>нет</x:v>
      </x:c>
    </x:row>
    <x:row r="1592">
      <x:c r="A1592" t="str">
        <x:v>13000</x:v>
      </x:c>
      <x:c r="B1592" t="str">
        <x:v>polza.diet</x:v>
      </x:c>
      <x:c r="C1592" t="e">
        <x:f>HYPERLINK("https://belberrycrm.bitrix24.ru/crm/deal/details/13000/","https://belberrycrm.bitrix24.ru/crm/deal/details/13000/")</x:f>
      </x:c>
      <x:c r="D1592" t="str">
        <x:v>Реанимация</x:v>
      </x:c>
      <x:c r="E1592" t="str">
        <x:v>База для реанимации</x:v>
      </x:c>
      <x:c r="F1592" t="str">
        <x:v>Админ всея Belberry</x:v>
      </x:c>
      <x:c r="G1592" t="str">
        <x:v>да</x:v>
      </x:c>
      <x:c r="H1592" t="str">
        <x:v>нет</x:v>
      </x:c>
    </x:row>
    <x:row r="1593">
      <x:c r="A1593" t="str">
        <x:v>13002</x:v>
      </x:c>
      <x:c r="B1593" t="str">
        <x:v>vazhnayapersona.ru</x:v>
      </x:c>
      <x:c r="C1593" t="e">
        <x:f>HYPERLINK("https://belberrycrm.bitrix24.ru/crm/deal/details/13002/","https://belberrycrm.bitrix24.ru/crm/deal/details/13002/")</x:f>
      </x:c>
      <x:c r="D1593" t="str">
        <x:v>Реанимация</x:v>
      </x:c>
      <x:c r="E1593" t="str">
        <x:v>База для реанимации</x:v>
      </x:c>
      <x:c r="F1593" t="str">
        <x:v>Админ всея Belberry</x:v>
      </x:c>
      <x:c r="G1593" t="str">
        <x:v>нет</x:v>
      </x:c>
      <x:c r="H1593" t="str">
        <x:v>нет</x:v>
      </x:c>
    </x:row>
    <x:row r="1594">
      <x:c r="A1594" t="str">
        <x:v>13004</x:v>
      </x:c>
      <x:c r="B1594" t="str">
        <x:v>aurumpluc.ru</x:v>
      </x:c>
      <x:c r="C1594" t="e">
        <x:f>HYPERLINK("https://belberrycrm.bitrix24.ru/crm/deal/details/13004/","https://belberrycrm.bitrix24.ru/crm/deal/details/13004/")</x:f>
      </x:c>
      <x:c r="D1594" t="str">
        <x:v>Реанимация</x:v>
      </x:c>
      <x:c r="E1594" t="str">
        <x:v>База для реанимации</x:v>
      </x:c>
      <x:c r="F1594" t="str">
        <x:v>Админ всея Belberry</x:v>
      </x:c>
      <x:c r="G1594" t="str">
        <x:v>нет</x:v>
      </x:c>
      <x:c r="H1594" t="str">
        <x:v>нет</x:v>
      </x:c>
    </x:row>
    <x:row r="1595">
      <x:c r="A1595" t="str">
        <x:v>13006</x:v>
      </x:c>
      <x:c r="B1595" t="str">
        <x:v>cabel-info.ru</x:v>
      </x:c>
      <x:c r="C1595" t="e">
        <x:f>HYPERLINK("https://belberrycrm.bitrix24.ru/crm/deal/details/13006/","https://belberrycrm.bitrix24.ru/crm/deal/details/13006/")</x:f>
      </x:c>
      <x:c r="D1595" t="str">
        <x:v>Реанимация</x:v>
      </x:c>
      <x:c r="E1595" t="str">
        <x:v>База для реанимации</x:v>
      </x:c>
      <x:c r="F1595" t="str">
        <x:v>Админ всея Belberry</x:v>
      </x:c>
      <x:c r="G1595" t="str">
        <x:v>нет</x:v>
      </x:c>
      <x:c r="H1595" t="str">
        <x:v>нет</x:v>
      </x:c>
    </x:row>
    <x:row r="1596">
      <x:c r="A1596" t="str">
        <x:v>13010</x:v>
      </x:c>
      <x:c r="B1596" t="str">
        <x:v>Наталья (интересует сайт на нашем шаблоне для стоматологии)</x:v>
      </x:c>
      <x:c r="C1596" t="e">
        <x:f>HYPERLINK("https://belberrycrm.bitrix24.ru/crm/deal/details/13010/","https://belberrycrm.bitrix24.ru/crm/deal/details/13010/")</x:f>
      </x:c>
      <x:c r="D1596" t="str">
        <x:v>Реанимация</x:v>
      </x:c>
      <x:c r="E1596" t="str">
        <x:v>База для реанимации</x:v>
      </x:c>
      <x:c r="F1596" t="str">
        <x:v>Админ всея Belberry</x:v>
      </x:c>
      <x:c r="G1596" t="str">
        <x:v>нет</x:v>
      </x:c>
      <x:c r="H1596" t="str">
        <x:v>нет</x:v>
      </x:c>
    </x:row>
    <x:row r="1597">
      <x:c r="A1597" t="str">
        <x:v>13012</x:v>
      </x:c>
      <x:c r="B1597" t="str">
        <x:v>diagnocat.ru</x:v>
      </x:c>
      <x:c r="C1597" t="e">
        <x:f>HYPERLINK("https://belberrycrm.bitrix24.ru/crm/deal/details/13012/","https://belberrycrm.bitrix24.ru/crm/deal/details/13012/")</x:f>
      </x:c>
      <x:c r="D1597" t="str">
        <x:v>Реанимация</x:v>
      </x:c>
      <x:c r="E1597" t="str">
        <x:v>База для реанимации</x:v>
      </x:c>
      <x:c r="F1597" t="str">
        <x:v>Админ всея Belberry</x:v>
      </x:c>
      <x:c r="G1597" t="str">
        <x:v>нет</x:v>
      </x:c>
      <x:c r="H1597" t="str">
        <x:v>нет</x:v>
      </x:c>
    </x:row>
    <x:row r="1598">
      <x:c r="A1598" t="str">
        <x:v>13018</x:v>
      </x:c>
      <x:c r="B1598" t="str">
        <x:v>biogenmed.uz</x:v>
      </x:c>
      <x:c r="C1598" t="e">
        <x:f>HYPERLINK("https://belberrycrm.bitrix24.ru/crm/deal/details/13018/","https://belberrycrm.bitrix24.ru/crm/deal/details/13018/")</x:f>
      </x:c>
      <x:c r="D1598" t="str">
        <x:v>Реанимация</x:v>
      </x:c>
      <x:c r="E1598" t="str">
        <x:v>База для реанимации</x:v>
      </x:c>
      <x:c r="F1598" t="str">
        <x:v>Админ всея Belberry</x:v>
      </x:c>
      <x:c r="G1598" t="str">
        <x:v>нет</x:v>
      </x:c>
      <x:c r="H1598" t="str">
        <x:v>нет</x:v>
      </x:c>
    </x:row>
    <x:row r="1599">
      <x:c r="A1599" t="str">
        <x:v>13024</x:v>
      </x:c>
      <x:c r="B1599" t="str">
        <x:v>irtclinic.ru</x:v>
      </x:c>
      <x:c r="C1599" t="e">
        <x:f>HYPERLINK("https://belberrycrm.bitrix24.ru/crm/deal/details/13024/","https://belberrycrm.bitrix24.ru/crm/deal/details/13024/")</x:f>
      </x:c>
      <x:c r="D1599" t="str">
        <x:v>Реанимация</x:v>
      </x:c>
      <x:c r="E1599" t="str">
        <x:v>База для реанимации</x:v>
      </x:c>
      <x:c r="F1599" t="str">
        <x:v>Админ всея Belberry</x:v>
      </x:c>
      <x:c r="G1599" t="str">
        <x:v>нет</x:v>
      </x:c>
      <x:c r="H1599" t="str">
        <x:v>нет</x:v>
      </x:c>
    </x:row>
    <x:row r="1600">
      <x:c r="A1600" t="str">
        <x:v>13026</x:v>
      </x:c>
      <x:c r="B1600" t="str">
        <x:v>estetiklifevrn.ru</x:v>
      </x:c>
      <x:c r="C1600" t="e">
        <x:f>HYPERLINK("https://belberrycrm.bitrix24.ru/crm/deal/details/13026/","https://belberrycrm.bitrix24.ru/crm/deal/details/13026/")</x:f>
      </x:c>
      <x:c r="D1600" t="str">
        <x:v>Реанимация</x:v>
      </x:c>
      <x:c r="E1600" t="str">
        <x:v>База для реанимации</x:v>
      </x:c>
      <x:c r="F1600" t="str">
        <x:v>Админ всея Belberry</x:v>
      </x:c>
      <x:c r="G1600" t="str">
        <x:v>нет</x:v>
      </x:c>
      <x:c r="H1600" t="str">
        <x:v>нет</x:v>
      </x:c>
    </x:row>
    <x:row r="1601">
      <x:c r="A1601" t="str">
        <x:v>13030</x:v>
      </x:c>
      <x:c r="B1601" t="str">
        <x:v>Авторский сайт врача-биоэнерготерапевта Андрея Волкова</x:v>
      </x:c>
      <x:c r="C1601" t="e">
        <x:f>HYPERLINK("https://belberrycrm.bitrix24.ru/crm/deal/details/13030/","https://belberrycrm.bitrix24.ru/crm/deal/details/13030/")</x:f>
      </x:c>
      <x:c r="D1601" t="str">
        <x:v>Реанимация</x:v>
      </x:c>
      <x:c r="E1601" t="str">
        <x:v>База для реанимации</x:v>
      </x:c>
      <x:c r="F1601" t="str">
        <x:v>Админ всея Belberry</x:v>
      </x:c>
      <x:c r="G1601" t="str">
        <x:v>нет</x:v>
      </x:c>
      <x:c r="H1601" t="str">
        <x:v>нет</x:v>
      </x:c>
    </x:row>
    <x:row r="1602">
      <x:c r="A1602" t="str">
        <x:v>13034</x:v>
      </x:c>
      <x:c r="B1602" t="str">
        <x:v>Людмила Морозова</x:v>
      </x:c>
      <x:c r="C1602" t="e">
        <x:f>HYPERLINK("https://belberrycrm.bitrix24.ru/crm/deal/details/13034/","https://belberrycrm.bitrix24.ru/crm/deal/details/13034/")</x:f>
      </x:c>
      <x:c r="D1602" t="str">
        <x:v>Реанимация</x:v>
      </x:c>
      <x:c r="E1602" t="str">
        <x:v>База для реанимации</x:v>
      </x:c>
      <x:c r="F1602" t="str">
        <x:v>Админ всея Belberry</x:v>
      </x:c>
      <x:c r="G1602" t="str">
        <x:v>нет</x:v>
      </x:c>
      <x:c r="H1602" t="str">
        <x:v>нет</x:v>
      </x:c>
    </x:row>
    <x:row r="1603">
      <x:c r="A1603" t="str">
        <x:v>13036</x:v>
      </x:c>
      <x:c r="B1603" t="str">
        <x:v>Татьяна Евтеева</x:v>
      </x:c>
      <x:c r="C1603" t="e">
        <x:f>HYPERLINK("https://belberrycrm.bitrix24.ru/crm/deal/details/13036/","https://belberrycrm.bitrix24.ru/crm/deal/details/13036/")</x:f>
      </x:c>
      <x:c r="D1603" t="str">
        <x:v>Реанимация</x:v>
      </x:c>
      <x:c r="E1603" t="str">
        <x:v>База для реанимации</x:v>
      </x:c>
      <x:c r="F1603" t="str">
        <x:v>Админ всея Belberry</x:v>
      </x:c>
      <x:c r="G1603" t="str">
        <x:v>нет</x:v>
      </x:c>
      <x:c r="H1603" t="str">
        <x:v>нет</x:v>
      </x:c>
    </x:row>
    <x:row r="1604">
      <x:c r="A1604" t="str">
        <x:v>13044</x:v>
      </x:c>
      <x:c r="B1604" t="str">
        <x:v>zub-nedorogo.ru</x:v>
      </x:c>
      <x:c r="C1604" t="e">
        <x:f>HYPERLINK("https://belberrycrm.bitrix24.ru/crm/deal/details/13044/","https://belberrycrm.bitrix24.ru/crm/deal/details/13044/")</x:f>
      </x:c>
      <x:c r="D1604" t="str">
        <x:v>Реанимация</x:v>
      </x:c>
      <x:c r="E1604" t="str">
        <x:v>База для реанимации</x:v>
      </x:c>
      <x:c r="F1604" t="str">
        <x:v>Админ всея Belberry</x:v>
      </x:c>
      <x:c r="G1604" t="str">
        <x:v>да</x:v>
      </x:c>
      <x:c r="H1604" t="str">
        <x:v>нет</x:v>
      </x:c>
    </x:row>
    <x:row r="1605">
      <x:c r="A1605" t="str">
        <x:v>13048</x:v>
      </x:c>
      <x:c r="B1605" t="str">
        <x:v>Елена Николаевна Ивченкова</x:v>
      </x:c>
      <x:c r="C1605" t="e">
        <x:f>HYPERLINK("https://belberrycrm.bitrix24.ru/crm/deal/details/13048/","https://belberrycrm.bitrix24.ru/crm/deal/details/13048/")</x:f>
      </x:c>
      <x:c r="D1605" t="str">
        <x:v>Реанимация</x:v>
      </x:c>
      <x:c r="E1605" t="str">
        <x:v>База для реанимации</x:v>
      </x:c>
      <x:c r="F1605" t="str">
        <x:v>Админ всея Belberry</x:v>
      </x:c>
      <x:c r="G1605" t="str">
        <x:v>нет</x:v>
      </x:c>
      <x:c r="H1605" t="str">
        <x:v>нет</x:v>
      </x:c>
    </x:row>
    <x:row r="1606">
      <x:c r="A1606" t="str">
        <x:v>13050</x:v>
      </x:c>
      <x:c r="B1606" t="str">
        <x:v>dentaireavenirclinique.ru</x:v>
      </x:c>
      <x:c r="C1606" t="e">
        <x:f>HYPERLINK("https://belberrycrm.bitrix24.ru/crm/deal/details/13050/","https://belberrycrm.bitrix24.ru/crm/deal/details/13050/")</x:f>
      </x:c>
      <x:c r="D1606" t="str">
        <x:v>Реанимация</x:v>
      </x:c>
      <x:c r="E1606" t="str">
        <x:v>База для реанимации</x:v>
      </x:c>
      <x:c r="F1606" t="str">
        <x:v>Админ всея Belberry</x:v>
      </x:c>
      <x:c r="G1606" t="str">
        <x:v>нет</x:v>
      </x:c>
      <x:c r="H1606" t="str">
        <x:v>нет</x:v>
      </x:c>
    </x:row>
    <x:row r="1607">
      <x:c r="A1607" t="str">
        <x:v>13054</x:v>
      </x:c>
      <x:c r="B1607" t="str">
        <x:v>miralain.ru</x:v>
      </x:c>
      <x:c r="C1607" t="e">
        <x:f>HYPERLINK("https://belberrycrm.bitrix24.ru/crm/deal/details/13054/","https://belberrycrm.bitrix24.ru/crm/deal/details/13054/")</x:f>
      </x:c>
      <x:c r="D1607" t="str">
        <x:v>Реанимация</x:v>
      </x:c>
      <x:c r="E1607" t="str">
        <x:v>База для реанимации</x:v>
      </x:c>
      <x:c r="F1607" t="str">
        <x:v>Админ всея Belberry</x:v>
      </x:c>
      <x:c r="G1607" t="str">
        <x:v>нет</x:v>
      </x:c>
      <x:c r="H1607" t="str">
        <x:v>нет</x:v>
      </x:c>
    </x:row>
    <x:row r="1608">
      <x:c r="A1608" t="str">
        <x:v>13056</x:v>
      </x:c>
      <x:c r="B1608" t="str">
        <x:v>gelendzhik.clinic</x:v>
      </x:c>
      <x:c r="C1608" t="e">
        <x:f>HYPERLINK("https://belberrycrm.bitrix24.ru/crm/deal/details/13056/","https://belberrycrm.bitrix24.ru/crm/deal/details/13056/")</x:f>
      </x:c>
      <x:c r="D1608" t="str">
        <x:v>Реанимация</x:v>
      </x:c>
      <x:c r="E1608" t="str">
        <x:v>База для реанимации</x:v>
      </x:c>
      <x:c r="F1608" t="str">
        <x:v>Админ всея Belberry</x:v>
      </x:c>
      <x:c r="G1608" t="str">
        <x:v>нет</x:v>
      </x:c>
      <x:c r="H1608" t="str">
        <x:v>нет</x:v>
      </x:c>
    </x:row>
    <x:row r="1609">
      <x:c r="A1609" t="str">
        <x:v>13064</x:v>
      </x:c>
      <x:c r="B1609" t="str">
        <x:v>лечимзубы.москва</x:v>
      </x:c>
      <x:c r="C1609" t="e">
        <x:f>HYPERLINK("https://belberrycrm.bitrix24.ru/crm/deal/details/13064/","https://belberrycrm.bitrix24.ru/crm/deal/details/13064/")</x:f>
      </x:c>
      <x:c r="D1609" t="str">
        <x:v>Реанимация</x:v>
      </x:c>
      <x:c r="E1609" t="str">
        <x:v>База для реанимации</x:v>
      </x:c>
      <x:c r="F1609" t="str">
        <x:v>Админ всея Belberry</x:v>
      </x:c>
      <x:c r="G1609" t="str">
        <x:v>нет</x:v>
      </x:c>
      <x:c r="H1609" t="str">
        <x:v>нет</x:v>
      </x:c>
    </x:row>
    <x:row r="1610">
      <x:c r="A1610" t="str">
        <x:v>13074</x:v>
      </x:c>
      <x:c r="B1610" t="str">
        <x:v>Studio Queen</x:v>
      </x:c>
      <x:c r="C1610" t="e">
        <x:f>HYPERLINK("https://belberrycrm.bitrix24.ru/crm/deal/details/13074/","https://belberrycrm.bitrix24.ru/crm/deal/details/13074/")</x:f>
      </x:c>
      <x:c r="D1610" t="str">
        <x:v>Реанимация</x:v>
      </x:c>
      <x:c r="E1610" t="str">
        <x:v>База для реанимации</x:v>
      </x:c>
      <x:c r="F1610" t="str">
        <x:v>Админ всея Belberry</x:v>
      </x:c>
      <x:c r="G1610" t="str">
        <x:v>нет</x:v>
      </x:c>
      <x:c r="H1610" t="str">
        <x:v>нет</x:v>
      </x:c>
    </x:row>
    <x:row r="1611">
      <x:c r="A1611" t="str">
        <x:v>13090</x:v>
      </x:c>
      <x:c r="B1611" t="str">
        <x:v>mdclinica.ru</x:v>
      </x:c>
      <x:c r="C1611" t="e">
        <x:f>HYPERLINK("https://belberrycrm.bitrix24.ru/crm/deal/details/13090/","https://belberrycrm.bitrix24.ru/crm/deal/details/13090/")</x:f>
      </x:c>
      <x:c r="D1611" t="str">
        <x:v>Реанимация</x:v>
      </x:c>
      <x:c r="E1611" t="str">
        <x:v>База для реанимации</x:v>
      </x:c>
      <x:c r="F1611" t="str">
        <x:v>Админ всея Belberry</x:v>
      </x:c>
      <x:c r="G1611" t="str">
        <x:v>нет</x:v>
      </x:c>
      <x:c r="H1611" t="str">
        <x:v>нет</x:v>
      </x:c>
    </x:row>
    <x:row r="1612">
      <x:c r="A1612" t="str">
        <x:v>13094</x:v>
      </x:c>
      <x:c r="B1612" t="str">
        <x:v>epi-jay.ru</x:v>
      </x:c>
      <x:c r="C1612" t="e">
        <x:f>HYPERLINK("https://belberrycrm.bitrix24.ru/crm/deal/details/13094/","https://belberrycrm.bitrix24.ru/crm/deal/details/13094/")</x:f>
      </x:c>
      <x:c r="D1612" t="str">
        <x:v>Реанимация</x:v>
      </x:c>
      <x:c r="E1612" t="str">
        <x:v>База для реанимации</x:v>
      </x:c>
      <x:c r="F1612" t="str">
        <x:v>Админ всея Belberry</x:v>
      </x:c>
      <x:c r="G1612" t="str">
        <x:v>нет</x:v>
      </x:c>
      <x:c r="H1612" t="str">
        <x:v>нет</x:v>
      </x:c>
    </x:row>
    <x:row r="1613">
      <x:c r="A1613" t="str">
        <x:v>13102</x:v>
      </x:c>
      <x:c r="B1613" t="str">
        <x:v>ls-stom.ru</x:v>
      </x:c>
      <x:c r="C1613" t="e">
        <x:f>HYPERLINK("https://belberrycrm.bitrix24.ru/crm/deal/details/13102/","https://belberrycrm.bitrix24.ru/crm/deal/details/13102/")</x:f>
      </x:c>
      <x:c r="D1613" t="str">
        <x:v>Реанимация</x:v>
      </x:c>
      <x:c r="E1613" t="str">
        <x:v>База для реанимации</x:v>
      </x:c>
      <x:c r="F1613" t="str">
        <x:v>Админ всея Belberry</x:v>
      </x:c>
      <x:c r="G1613" t="str">
        <x:v>нет</x:v>
      </x:c>
      <x:c r="H1613" t="str">
        <x:v>нет</x:v>
      </x:c>
    </x:row>
    <x:row r="1614">
      <x:c r="A1614" t="str">
        <x:v>13104</x:v>
      </x:c>
      <x:c r="B1614" t="str">
        <x:v>stilmiroslav.ru</x:v>
      </x:c>
      <x:c r="C1614" t="e">
        <x:f>HYPERLINK("https://belberrycrm.bitrix24.ru/crm/deal/details/13104/","https://belberrycrm.bitrix24.ru/crm/deal/details/13104/")</x:f>
      </x:c>
      <x:c r="D1614" t="str">
        <x:v>Реанимация</x:v>
      </x:c>
      <x:c r="E1614" t="str">
        <x:v>База для реанимации</x:v>
      </x:c>
      <x:c r="F1614" t="str">
        <x:v>Админ всея Belberry</x:v>
      </x:c>
      <x:c r="G1614" t="str">
        <x:v>нет</x:v>
      </x:c>
      <x:c r="H1614" t="str">
        <x:v>нет</x:v>
      </x:c>
    </x:row>
    <x:row r="1615">
      <x:c r="A1615" t="str">
        <x:v>13106</x:v>
      </x:c>
      <x:c r="B1615" t="str">
        <x:v>uzikolomenskaya.ru</x:v>
      </x:c>
      <x:c r="C1615" t="e">
        <x:f>HYPERLINK("https://belberrycrm.bitrix24.ru/crm/deal/details/13106/","https://belberrycrm.bitrix24.ru/crm/deal/details/13106/")</x:f>
      </x:c>
      <x:c r="D1615" t="str">
        <x:v>Реанимация</x:v>
      </x:c>
      <x:c r="E1615" t="str">
        <x:v>База для реанимации</x:v>
      </x:c>
      <x:c r="F1615" t="str">
        <x:v>Админ всея Belberry</x:v>
      </x:c>
      <x:c r="G1615" t="str">
        <x:v>нет</x:v>
      </x:c>
      <x:c r="H1615" t="str">
        <x:v>нет</x:v>
      </x:c>
    </x:row>
    <x:row r="1616">
      <x:c r="A1616" t="str">
        <x:v>13110</x:v>
      </x:c>
      <x:c r="B1616" t="str">
        <x:v>ttl24.ru</x:v>
      </x:c>
      <x:c r="C1616" t="e">
        <x:f>HYPERLINK("https://belberrycrm.bitrix24.ru/crm/deal/details/13110/","https://belberrycrm.bitrix24.ru/crm/deal/details/13110/")</x:f>
      </x:c>
      <x:c r="D1616" t="str">
        <x:v>Реанимация</x:v>
      </x:c>
      <x:c r="E1616" t="str">
        <x:v>База для реанимации</x:v>
      </x:c>
      <x:c r="F1616" t="str">
        <x:v>Админ всея Belberry</x:v>
      </x:c>
      <x:c r="G1616" t="str">
        <x:v>нет</x:v>
      </x:c>
      <x:c r="H1616" t="str">
        <x:v>нет</x:v>
      </x:c>
    </x:row>
    <x:row r="1617">
      <x:c r="A1617" t="str">
        <x:v>13112</x:v>
      </x:c>
      <x:c r="B1617" t="str">
        <x:v>Хатия</x:v>
      </x:c>
      <x:c r="C1617" t="e">
        <x:f>HYPERLINK("https://belberrycrm.bitrix24.ru/crm/deal/details/13112/","https://belberrycrm.bitrix24.ru/crm/deal/details/13112/")</x:f>
      </x:c>
      <x:c r="D1617" t="str">
        <x:v>Реанимация</x:v>
      </x:c>
      <x:c r="E1617" t="str">
        <x:v>База для реанимации</x:v>
      </x:c>
      <x:c r="F1617" t="str">
        <x:v>Админ всея Belberry</x:v>
      </x:c>
      <x:c r="G1617" t="str">
        <x:v>нет</x:v>
      </x:c>
      <x:c r="H1617" t="str">
        <x:v>нет</x:v>
      </x:c>
    </x:row>
    <x:row r="1618">
      <x:c r="A1618" t="str">
        <x:v>13120</x:v>
      </x:c>
      <x:c r="B1618" t="str">
        <x:v>dentprestige.ru</x:v>
      </x:c>
      <x:c r="C1618" t="e">
        <x:f>HYPERLINK("https://belberrycrm.bitrix24.ru/crm/deal/details/13120/","https://belberrycrm.bitrix24.ru/crm/deal/details/13120/")</x:f>
      </x:c>
      <x:c r="D1618" t="str">
        <x:v>Реанимация</x:v>
      </x:c>
      <x:c r="E1618" t="str">
        <x:v>База для реанимации</x:v>
      </x:c>
      <x:c r="F1618" t="str">
        <x:v>Админ всея Belberry</x:v>
      </x:c>
      <x:c r="G1618" t="str">
        <x:v>нет</x:v>
      </x:c>
      <x:c r="H1618" t="str">
        <x:v>нет</x:v>
      </x:c>
    </x:row>
    <x:row r="1619">
      <x:c r="A1619" t="str">
        <x:v>13128</x:v>
      </x:c>
      <x:c r="B1619" t="str">
        <x:v>pdc-clinic.ru</x:v>
      </x:c>
      <x:c r="C1619" t="e">
        <x:f>HYPERLINK("https://belberrycrm.bitrix24.ru/crm/deal/details/13128/","https://belberrycrm.bitrix24.ru/crm/deal/details/13128/")</x:f>
      </x:c>
      <x:c r="D1619" t="str">
        <x:v>Реанимация</x:v>
      </x:c>
      <x:c r="E1619" t="str">
        <x:v>База для реанимации</x:v>
      </x:c>
      <x:c r="F1619" t="str">
        <x:v>Админ всея Belberry</x:v>
      </x:c>
      <x:c r="G1619" t="str">
        <x:v>нет</x:v>
      </x:c>
      <x:c r="H1619" t="str">
        <x:v>нет</x:v>
      </x:c>
    </x:row>
    <x:row r="1620">
      <x:c r="A1620" t="str">
        <x:v>13134</x:v>
      </x:c>
      <x:c r="B1620" t="str">
        <x:v>foxdent.ru</x:v>
      </x:c>
      <x:c r="C1620" t="e">
        <x:f>HYPERLINK("https://belberrycrm.bitrix24.ru/crm/deal/details/13134/","https://belberrycrm.bitrix24.ru/crm/deal/details/13134/")</x:f>
      </x:c>
      <x:c r="D1620" t="str">
        <x:v>Реанимация</x:v>
      </x:c>
      <x:c r="E1620" t="str">
        <x:v>База для реанимации</x:v>
      </x:c>
      <x:c r="F1620" t="str">
        <x:v>Админ всея Belberry</x:v>
      </x:c>
      <x:c r="G1620" t="str">
        <x:v>нет</x:v>
      </x:c>
      <x:c r="H1620" t="str">
        <x:v>нет</x:v>
      </x:c>
    </x:row>
    <x:row r="1621">
      <x:c r="A1621" t="str">
        <x:v>13152</x:v>
      </x:c>
      <x:c r="B1621" t="str">
        <x:v>alfadenta.ru</x:v>
      </x:c>
      <x:c r="C1621" t="e">
        <x:f>HYPERLINK("https://belberrycrm.bitrix24.ru/crm/deal/details/13152/","https://belberrycrm.bitrix24.ru/crm/deal/details/13152/")</x:f>
      </x:c>
      <x:c r="D1621" t="str">
        <x:v>Реанимация</x:v>
      </x:c>
      <x:c r="E1621" t="str">
        <x:v>База для реанимации</x:v>
      </x:c>
      <x:c r="F1621" t="str">
        <x:v>Админ всея Belberry</x:v>
      </x:c>
      <x:c r="G1621" t="str">
        <x:v>нет</x:v>
      </x:c>
      <x:c r="H1621" t="str">
        <x:v>нет</x:v>
      </x:c>
    </x:row>
    <x:row r="1622">
      <x:c r="A1622" t="str">
        <x:v>13156</x:v>
      </x:c>
      <x:c r="B1622" t="str">
        <x:v>expertneuro.kz</x:v>
      </x:c>
      <x:c r="C1622" t="e">
        <x:f>HYPERLINK("https://belberrycrm.bitrix24.ru/crm/deal/details/13156/","https://belberrycrm.bitrix24.ru/crm/deal/details/13156/")</x:f>
      </x:c>
      <x:c r="D1622" t="str">
        <x:v>Реанимация</x:v>
      </x:c>
      <x:c r="E1622" t="str">
        <x:v>База для реанимации</x:v>
      </x:c>
      <x:c r="F1622" t="str">
        <x:v>Админ всея Belberry</x:v>
      </x:c>
      <x:c r="G1622" t="str">
        <x:v>нет</x:v>
      </x:c>
      <x:c r="H1622" t="str">
        <x:v>нет</x:v>
      </x:c>
    </x:row>
    <x:row r="1623">
      <x:c r="A1623" t="str">
        <x:v>13164</x:v>
      </x:c>
      <x:c r="B1623" t="str">
        <x:v>Стоматология Люкс на метро Новокосино</x:v>
      </x:c>
      <x:c r="C1623" t="e">
        <x:f>HYPERLINK("https://belberrycrm.bitrix24.ru/crm/deal/details/13164/","https://belberrycrm.bitrix24.ru/crm/deal/details/13164/")</x:f>
      </x:c>
      <x:c r="D1623" t="str">
        <x:v>Реанимация</x:v>
      </x:c>
      <x:c r="E1623" t="str">
        <x:v>База для реанимации</x:v>
      </x:c>
      <x:c r="F1623" t="str">
        <x:v>Админ всея Belberry</x:v>
      </x:c>
      <x:c r="G1623" t="str">
        <x:v>нет</x:v>
      </x:c>
      <x:c r="H1623" t="str">
        <x:v>нет</x:v>
      </x:c>
    </x:row>
    <x:row r="1624">
      <x:c r="A1624" t="str">
        <x:v>13174</x:v>
      </x:c>
      <x:c r="B1624" t="str">
        <x:v>Неврология +</x:v>
      </x:c>
      <x:c r="C1624" t="e">
        <x:f>HYPERLINK("https://belberrycrm.bitrix24.ru/crm/deal/details/13174/","https://belberrycrm.bitrix24.ru/crm/deal/details/13174/")</x:f>
      </x:c>
      <x:c r="D1624" t="str">
        <x:v>Реанимация</x:v>
      </x:c>
      <x:c r="E1624" t="str">
        <x:v>База для реанимации</x:v>
      </x:c>
      <x:c r="F1624" t="str">
        <x:v>Админ всея Belberry</x:v>
      </x:c>
      <x:c r="G1624" t="str">
        <x:v>нет</x:v>
      </x:c>
      <x:c r="H1624" t="str">
        <x:v>нет</x:v>
      </x:c>
    </x:row>
    <x:row r="1625">
      <x:c r="A1625" t="str">
        <x:v>13180</x:v>
      </x:c>
      <x:c r="B1625" t="str">
        <x:v>Марина</x:v>
      </x:c>
      <x:c r="C1625" t="e">
        <x:f>HYPERLINK("https://belberrycrm.bitrix24.ru/crm/deal/details/13180/","https://belberrycrm.bitrix24.ru/crm/deal/details/13180/")</x:f>
      </x:c>
      <x:c r="D1625" t="str">
        <x:v>Реанимация</x:v>
      </x:c>
      <x:c r="E1625" t="str">
        <x:v>База для реанимации</x:v>
      </x:c>
      <x:c r="F1625" t="str">
        <x:v>Админ всея Belberry</x:v>
      </x:c>
      <x:c r="G1625" t="str">
        <x:v>нет</x:v>
      </x:c>
      <x:c r="H1625" t="str">
        <x:v>нет</x:v>
      </x:c>
    </x:row>
    <x:row r="1626">
      <x:c r="A1626" t="str">
        <x:v>13186</x:v>
      </x:c>
      <x:c r="B1626" t="str">
        <x:v>dentalnew.ru</x:v>
      </x:c>
      <x:c r="C1626" t="e">
        <x:f>HYPERLINK("https://belberrycrm.bitrix24.ru/crm/deal/details/13186/","https://belberrycrm.bitrix24.ru/crm/deal/details/13186/")</x:f>
      </x:c>
      <x:c r="D1626" t="str">
        <x:v>Реанимация</x:v>
      </x:c>
      <x:c r="E1626" t="str">
        <x:v>База для реанимации</x:v>
      </x:c>
      <x:c r="F1626" t="str">
        <x:v>Админ всея Belberry</x:v>
      </x:c>
      <x:c r="G1626" t="str">
        <x:v>нет</x:v>
      </x:c>
      <x:c r="H1626" t="str">
        <x:v>нет</x:v>
      </x:c>
    </x:row>
    <x:row r="1627">
      <x:c r="A1627" t="str">
        <x:v>13190</x:v>
      </x:c>
      <x:c r="B1627" t="str">
        <x:v>altai-west.ru</x:v>
      </x:c>
      <x:c r="C1627" t="e">
        <x:f>HYPERLINK("https://belberrycrm.bitrix24.ru/crm/deal/details/13190/","https://belberrycrm.bitrix24.ru/crm/deal/details/13190/")</x:f>
      </x:c>
      <x:c r="D1627" t="str">
        <x:v>Реанимация</x:v>
      </x:c>
      <x:c r="E1627" t="str">
        <x:v>База для реанимации</x:v>
      </x:c>
      <x:c r="F1627" t="str">
        <x:v>Админ всея Belberry</x:v>
      </x:c>
      <x:c r="G1627" t="str">
        <x:v>да</x:v>
      </x:c>
      <x:c r="H1627" t="str">
        <x:v>нет</x:v>
      </x:c>
    </x:row>
    <x:row r="1628">
      <x:c r="A1628" t="str">
        <x:v>13192</x:v>
      </x:c>
      <x:c r="B1628" t="str">
        <x:v>laviani-clinic33.ru</x:v>
      </x:c>
      <x:c r="C1628" t="e">
        <x:f>HYPERLINK("https://belberrycrm.bitrix24.ru/crm/deal/details/13192/","https://belberrycrm.bitrix24.ru/crm/deal/details/13192/")</x:f>
      </x:c>
      <x:c r="D1628" t="str">
        <x:v>Реанимация</x:v>
      </x:c>
      <x:c r="E1628" t="str">
        <x:v>База для реанимации</x:v>
      </x:c>
      <x:c r="F1628" t="str">
        <x:v>Админ всея Belberry</x:v>
      </x:c>
      <x:c r="G1628" t="str">
        <x:v>нет</x:v>
      </x:c>
      <x:c r="H1628" t="str">
        <x:v>нет</x:v>
      </x:c>
    </x:row>
    <x:row r="1629">
      <x:c r="A1629" t="str">
        <x:v>13202</x:v>
      </x:c>
      <x:c r="B1629" t="str">
        <x:v>site.bestwaylife.ru</x:v>
      </x:c>
      <x:c r="C1629" t="e">
        <x:f>HYPERLINK("https://belberrycrm.bitrix24.ru/crm/deal/details/13202/","https://belberrycrm.bitrix24.ru/crm/deal/details/13202/")</x:f>
      </x:c>
      <x:c r="D1629" t="str">
        <x:v>Реанимация</x:v>
      </x:c>
      <x:c r="E1629" t="str">
        <x:v>База для реанимации</x:v>
      </x:c>
      <x:c r="F1629" t="str">
        <x:v>Админ всея Belberry</x:v>
      </x:c>
      <x:c r="G1629" t="str">
        <x:v>нет</x:v>
      </x:c>
      <x:c r="H1629" t="str">
        <x:v>нет</x:v>
      </x:c>
    </x:row>
    <x:row r="1630">
      <x:c r="A1630" t="str">
        <x:v>13204</x:v>
      </x:c>
      <x:c r="B1630" t="str">
        <x:v>astraclinic.ru</x:v>
      </x:c>
      <x:c r="C1630" t="e">
        <x:f>HYPERLINK("https://belberrycrm.bitrix24.ru/crm/deal/details/13204/","https://belberrycrm.bitrix24.ru/crm/deal/details/13204/")</x:f>
      </x:c>
      <x:c r="D1630" t="str">
        <x:v>Реанимация</x:v>
      </x:c>
      <x:c r="E1630" t="str">
        <x:v>База для реанимации</x:v>
      </x:c>
      <x:c r="F1630" t="str">
        <x:v>Админ всея Belberry</x:v>
      </x:c>
      <x:c r="G1630" t="str">
        <x:v>нет</x:v>
      </x:c>
      <x:c r="H1630" t="str">
        <x:v>нет</x:v>
      </x:c>
    </x:row>
    <x:row r="1631">
      <x:c r="A1631" t="str">
        <x:v>13206</x:v>
      </x:c>
      <x:c r="B1631" t="str">
        <x:v>amrita-lobnya.ru</x:v>
      </x:c>
      <x:c r="C1631" t="e">
        <x:f>HYPERLINK("https://belberrycrm.bitrix24.ru/crm/deal/details/13206/","https://belberrycrm.bitrix24.ru/crm/deal/details/13206/")</x:f>
      </x:c>
      <x:c r="D1631" t="str">
        <x:v>Реанимация</x:v>
      </x:c>
      <x:c r="E1631" t="str">
        <x:v>База для реанимации</x:v>
      </x:c>
      <x:c r="F1631" t="str">
        <x:v>Админ всея Belberry</x:v>
      </x:c>
      <x:c r="G1631" t="str">
        <x:v>нет</x:v>
      </x:c>
      <x:c r="H1631" t="str">
        <x:v>нет</x:v>
      </x:c>
    </x:row>
    <x:row r="1632">
      <x:c r="A1632" t="str">
        <x:v>13212</x:v>
      </x:c>
      <x:c r="B1632" t="str">
        <x:v>millionyablok.ru</x:v>
      </x:c>
      <x:c r="C1632" t="e">
        <x:f>HYPERLINK("https://belberrycrm.bitrix24.ru/crm/deal/details/13212/","https://belberrycrm.bitrix24.ru/crm/deal/details/13212/")</x:f>
      </x:c>
      <x:c r="D1632" t="str">
        <x:v>Реанимация</x:v>
      </x:c>
      <x:c r="E1632" t="str">
        <x:v>База для реанимации</x:v>
      </x:c>
      <x:c r="F1632" t="str">
        <x:v>Админ всея Belberry</x:v>
      </x:c>
      <x:c r="G1632" t="str">
        <x:v>нет</x:v>
      </x:c>
      <x:c r="H1632" t="str">
        <x:v>нет</x:v>
      </x:c>
    </x:row>
    <x:row r="1633">
      <x:c r="A1633" t="str">
        <x:v>13214</x:v>
      </x:c>
      <x:c r="B1633" t="str">
        <x:v>dentcraft.spb.ru</x:v>
      </x:c>
      <x:c r="C1633" t="e">
        <x:f>HYPERLINK("https://belberrycrm.bitrix24.ru/crm/deal/details/13214/","https://belberrycrm.bitrix24.ru/crm/deal/details/13214/")</x:f>
      </x:c>
      <x:c r="D1633" t="str">
        <x:v>Реанимация</x:v>
      </x:c>
      <x:c r="E1633" t="str">
        <x:v>База для реанимации</x:v>
      </x:c>
      <x:c r="F1633" t="str">
        <x:v>Админ всея Belberry</x:v>
      </x:c>
      <x:c r="G1633" t="str">
        <x:v>нет</x:v>
      </x:c>
      <x:c r="H1633" t="str">
        <x:v>нет</x:v>
      </x:c>
    </x:row>
    <x:row r="1634">
      <x:c r="A1634" t="str">
        <x:v>13216</x:v>
      </x:c>
      <x:c r="B1634" t="str">
        <x:v>medivspb.ru</x:v>
      </x:c>
      <x:c r="C1634" t="e">
        <x:f>HYPERLINK("https://belberrycrm.bitrix24.ru/crm/deal/details/13216/","https://belberrycrm.bitrix24.ru/crm/deal/details/13216/")</x:f>
      </x:c>
      <x:c r="D1634" t="str">
        <x:v>Реанимация</x:v>
      </x:c>
      <x:c r="E1634" t="str">
        <x:v>База для реанимации</x:v>
      </x:c>
      <x:c r="F1634" t="str">
        <x:v>Админ всея Belberry</x:v>
      </x:c>
      <x:c r="G1634" t="str">
        <x:v>нет</x:v>
      </x:c>
      <x:c r="H1634" t="str">
        <x:v>нет</x:v>
      </x:c>
    </x:row>
    <x:row r="1635">
      <x:c r="A1635" t="str">
        <x:v>13218</x:v>
      </x:c>
      <x:c r="B1635" t="str">
        <x:v>anle-dent.ru</x:v>
      </x:c>
      <x:c r="C1635" t="e">
        <x:f>HYPERLINK("https://belberrycrm.bitrix24.ru/crm/deal/details/13218/","https://belberrycrm.bitrix24.ru/crm/deal/details/13218/")</x:f>
      </x:c>
      <x:c r="D1635" t="str">
        <x:v>Реанимация</x:v>
      </x:c>
      <x:c r="E1635" t="str">
        <x:v>База для реанимации</x:v>
      </x:c>
      <x:c r="F1635" t="str">
        <x:v>Админ всея Belberry</x:v>
      </x:c>
      <x:c r="G1635" t="str">
        <x:v>нет</x:v>
      </x:c>
      <x:c r="H1635" t="str">
        <x:v>нет</x:v>
      </x:c>
    </x:row>
    <x:row r="1636">
      <x:c r="A1636" t="str">
        <x:v>13222</x:v>
      </x:c>
      <x:c r="B1636" t="str">
        <x:v>Центр подологии №1</x:v>
      </x:c>
      <x:c r="C1636" t="e">
        <x:f>HYPERLINK("https://belberrycrm.bitrix24.ru/crm/deal/details/13222/","https://belberrycrm.bitrix24.ru/crm/deal/details/13222/")</x:f>
      </x:c>
      <x:c r="D1636" t="str">
        <x:v>Реанимация</x:v>
      </x:c>
      <x:c r="E1636" t="str">
        <x:v>База для реанимации</x:v>
      </x:c>
      <x:c r="F1636" t="str">
        <x:v>Админ всея Belberry</x:v>
      </x:c>
      <x:c r="G1636" t="str">
        <x:v>нет</x:v>
      </x:c>
      <x:c r="H1636" t="str">
        <x:v>нет</x:v>
      </x:c>
    </x:row>
    <x:row r="1637">
      <x:c r="A1637" t="str">
        <x:v>13224</x:v>
      </x:c>
      <x:c r="B1637" t="str">
        <x:v>clinic.msmsu.ru</x:v>
      </x:c>
      <x:c r="C1637" t="e">
        <x:f>HYPERLINK("https://belberrycrm.bitrix24.ru/crm/deal/details/13224/","https://belberrycrm.bitrix24.ru/crm/deal/details/13224/")</x:f>
      </x:c>
      <x:c r="D1637" t="str">
        <x:v>Реанимация</x:v>
      </x:c>
      <x:c r="E1637" t="str">
        <x:v>База для реанимации</x:v>
      </x:c>
      <x:c r="F1637" t="str">
        <x:v>Админ всея Belberry</x:v>
      </x:c>
      <x:c r="G1637" t="str">
        <x:v>да</x:v>
      </x:c>
      <x:c r="H1637" t="str">
        <x:v>нет</x:v>
      </x:c>
    </x:row>
    <x:row r="1638">
      <x:c r="A1638" t="str">
        <x:v>13232</x:v>
      </x:c>
      <x:c r="B1638" t="str">
        <x:v>mission32.ru</x:v>
      </x:c>
      <x:c r="C1638" t="e">
        <x:f>HYPERLINK("https://belberrycrm.bitrix24.ru/crm/deal/details/13232/","https://belberrycrm.bitrix24.ru/crm/deal/details/13232/")</x:f>
      </x:c>
      <x:c r="D1638" t="str">
        <x:v>Реанимация</x:v>
      </x:c>
      <x:c r="E1638" t="str">
        <x:v>База для реанимации</x:v>
      </x:c>
      <x:c r="F1638" t="str">
        <x:v>Админ всея Belberry</x:v>
      </x:c>
      <x:c r="G1638" t="str">
        <x:v>нет</x:v>
      </x:c>
      <x:c r="H1638" t="str">
        <x:v>нет</x:v>
      </x:c>
    </x:row>
    <x:row r="1639">
      <x:c r="A1639" t="str">
        <x:v>13240</x:v>
      </x:c>
      <x:c r="B1639" t="str">
        <x:v>centersmt.ru</x:v>
      </x:c>
      <x:c r="C1639" t="e">
        <x:f>HYPERLINK("https://belberrycrm.bitrix24.ru/crm/deal/details/13240/","https://belberrycrm.bitrix24.ru/crm/deal/details/13240/")</x:f>
      </x:c>
      <x:c r="D1639" t="str">
        <x:v>Реанимация</x:v>
      </x:c>
      <x:c r="E1639" t="str">
        <x:v>База для реанимации</x:v>
      </x:c>
      <x:c r="F1639" t="str">
        <x:v>Админ всея Belberry</x:v>
      </x:c>
      <x:c r="G1639" t="str">
        <x:v>нет</x:v>
      </x:c>
      <x:c r="H1639" t="str">
        <x:v>нет</x:v>
      </x:c>
    </x:row>
    <x:row r="1640">
      <x:c r="A1640" t="str">
        <x:v>13242</x:v>
      </x:c>
      <x:c r="B1640" t="str">
        <x:v>wbdc.ru</x:v>
      </x:c>
      <x:c r="C1640" t="e">
        <x:f>HYPERLINK("https://belberrycrm.bitrix24.ru/crm/deal/details/13242/","https://belberrycrm.bitrix24.ru/crm/deal/details/13242/")</x:f>
      </x:c>
      <x:c r="D1640" t="str">
        <x:v>Реанимация</x:v>
      </x:c>
      <x:c r="E1640" t="str">
        <x:v>База для реанимации</x:v>
      </x:c>
      <x:c r="F1640" t="str">
        <x:v>Админ всея Belberry</x:v>
      </x:c>
      <x:c r="G1640" t="str">
        <x:v>нет</x:v>
      </x:c>
      <x:c r="H1640" t="str">
        <x:v>нет</x:v>
      </x:c>
    </x:row>
    <x:row r="1641">
      <x:c r="A1641" t="str">
        <x:v>13262</x:v>
      </x:c>
      <x:c r="B1641" t="str">
        <x:v>optimalmed.ru</x:v>
      </x:c>
      <x:c r="C1641" t="e">
        <x:f>HYPERLINK("https://belberrycrm.bitrix24.ru/crm/deal/details/13262/","https://belberrycrm.bitrix24.ru/crm/deal/details/13262/")</x:f>
      </x:c>
      <x:c r="D1641" t="str">
        <x:v>Реанимация</x:v>
      </x:c>
      <x:c r="E1641" t="str">
        <x:v>База для реанимации</x:v>
      </x:c>
      <x:c r="F1641" t="str">
        <x:v>Админ всея Belberry</x:v>
      </x:c>
      <x:c r="G1641" t="str">
        <x:v>нет</x:v>
      </x:c>
      <x:c r="H1641" t="str">
        <x:v>нет</x:v>
      </x:c>
    </x:row>
    <x:row r="1642">
      <x:c r="A1642" t="str">
        <x:v>13264</x:v>
      </x:c>
      <x:c r="B1642" t="str">
        <x:v>nora-dent.ru</x:v>
      </x:c>
      <x:c r="C1642" t="e">
        <x:f>HYPERLINK("https://belberrycrm.bitrix24.ru/crm/deal/details/13264/","https://belberrycrm.bitrix24.ru/crm/deal/details/13264/")</x:f>
      </x:c>
      <x:c r="D1642" t="str">
        <x:v>Реанимация</x:v>
      </x:c>
      <x:c r="E1642" t="str">
        <x:v>База для реанимации</x:v>
      </x:c>
      <x:c r="F1642" t="str">
        <x:v>Админ всея Belberry</x:v>
      </x:c>
      <x:c r="G1642" t="str">
        <x:v>да</x:v>
      </x:c>
      <x:c r="H1642" t="str">
        <x:v>нет</x:v>
      </x:c>
    </x:row>
    <x:row r="1643">
      <x:c r="A1643" t="str">
        <x:v>13266</x:v>
      </x:c>
      <x:c r="B1643" t="str">
        <x:v>Марат</x:v>
      </x:c>
      <x:c r="C1643" t="e">
        <x:f>HYPERLINK("https://belberrycrm.bitrix24.ru/crm/deal/details/13266/","https://belberrycrm.bitrix24.ru/crm/deal/details/13266/")</x:f>
      </x:c>
      <x:c r="D1643" t="str">
        <x:v>Реанимация</x:v>
      </x:c>
      <x:c r="E1643" t="str">
        <x:v>База для реанимации</x:v>
      </x:c>
      <x:c r="F1643" t="str">
        <x:v>Админ всея Belberry</x:v>
      </x:c>
      <x:c r="G1643" t="str">
        <x:v>нет</x:v>
      </x:c>
      <x:c r="H1643" t="str">
        <x:v>нет</x:v>
      </x:c>
    </x:row>
    <x:row r="1644">
      <x:c r="A1644" t="str">
        <x:v>13272</x:v>
      </x:c>
      <x:c r="B1644" t="str">
        <x:v>gynecolase.ru</x:v>
      </x:c>
      <x:c r="C1644" t="e">
        <x:f>HYPERLINK("https://belberrycrm.bitrix24.ru/crm/deal/details/13272/","https://belberrycrm.bitrix24.ru/crm/deal/details/13272/")</x:f>
      </x:c>
      <x:c r="D1644" t="str">
        <x:v>Реанимация</x:v>
      </x:c>
      <x:c r="E1644" t="str">
        <x:v>База для реанимации</x:v>
      </x:c>
      <x:c r="F1644" t="str">
        <x:v>Админ всея Belberry</x:v>
      </x:c>
      <x:c r="G1644" t="str">
        <x:v>нет</x:v>
      </x:c>
      <x:c r="H1644" t="str">
        <x:v>нет</x:v>
      </x:c>
    </x:row>
    <x:row r="1645">
      <x:c r="A1645" t="str">
        <x:v>13274</x:v>
      </x:c>
      <x:c r="B1645" t="str">
        <x:v>tvoedyhanie.ru</x:v>
      </x:c>
      <x:c r="C1645" t="e">
        <x:f>HYPERLINK("https://belberrycrm.bitrix24.ru/crm/deal/details/13274/","https://belberrycrm.bitrix24.ru/crm/deal/details/13274/")</x:f>
      </x:c>
      <x:c r="D1645" t="str">
        <x:v>Реанимация</x:v>
      </x:c>
      <x:c r="E1645" t="str">
        <x:v>База для реанимации</x:v>
      </x:c>
      <x:c r="F1645" t="str">
        <x:v>Админ всея Belberry</x:v>
      </x:c>
      <x:c r="G1645" t="str">
        <x:v>нет</x:v>
      </x:c>
      <x:c r="H1645" t="str">
        <x:v>нет</x:v>
      </x:c>
    </x:row>
    <x:row r="1646">
      <x:c r="A1646" t="str">
        <x:v>13280</x:v>
      </x:c>
      <x:c r="B1646" t="str">
        <x:v>denta-house.ru</x:v>
      </x:c>
      <x:c r="C1646" t="e">
        <x:f>HYPERLINK("https://belberrycrm.bitrix24.ru/crm/deal/details/13280/","https://belberrycrm.bitrix24.ru/crm/deal/details/13280/")</x:f>
      </x:c>
      <x:c r="D1646" t="str">
        <x:v>Реанимация</x:v>
      </x:c>
      <x:c r="E1646" t="str">
        <x:v>База для реанимации</x:v>
      </x:c>
      <x:c r="F1646" t="str">
        <x:v>Админ всея Belberry</x:v>
      </x:c>
      <x:c r="G1646" t="str">
        <x:v>нет</x:v>
      </x:c>
      <x:c r="H1646" t="str">
        <x:v>нет</x:v>
      </x:c>
    </x:row>
    <x:row r="1647">
      <x:c r="A1647" t="str">
        <x:v>13282</x:v>
      </x:c>
      <x:c r="B1647" t="str">
        <x:v>medicistom.ru</x:v>
      </x:c>
      <x:c r="C1647" t="e">
        <x:f>HYPERLINK("https://belberrycrm.bitrix24.ru/crm/deal/details/13282/","https://belberrycrm.bitrix24.ru/crm/deal/details/13282/")</x:f>
      </x:c>
      <x:c r="D1647" t="str">
        <x:v>Реанимация</x:v>
      </x:c>
      <x:c r="E1647" t="str">
        <x:v>База для реанимации</x:v>
      </x:c>
      <x:c r="F1647" t="str">
        <x:v>Админ всея Belberry</x:v>
      </x:c>
      <x:c r="G1647" t="str">
        <x:v>нет</x:v>
      </x:c>
      <x:c r="H1647" t="str">
        <x:v>нет</x:v>
      </x:c>
    </x:row>
    <x:row r="1648">
      <x:c r="A1648" t="str">
        <x:v>13286</x:v>
      </x:c>
      <x:c r="B1648" t="str">
        <x:v>g-george.ru</x:v>
      </x:c>
      <x:c r="C1648" t="e">
        <x:f>HYPERLINK("https://belberrycrm.bitrix24.ru/crm/deal/details/13286/","https://belberrycrm.bitrix24.ru/crm/deal/details/13286/")</x:f>
      </x:c>
      <x:c r="D1648" t="str">
        <x:v>Реанимация</x:v>
      </x:c>
      <x:c r="E1648" t="str">
        <x:v>База для реанимации</x:v>
      </x:c>
      <x:c r="F1648" t="str">
        <x:v>Админ всея Belberry</x:v>
      </x:c>
      <x:c r="G1648" t="str">
        <x:v>нет</x:v>
      </x:c>
      <x:c r="H1648" t="str">
        <x:v>нет</x:v>
      </x:c>
    </x:row>
    <x:row r="1649">
      <x:c r="A1649" t="str">
        <x:v>13288</x:v>
      </x:c>
      <x:c r="B1649" t="str">
        <x:v>amedaclinic.ru</x:v>
      </x:c>
      <x:c r="C1649" t="e">
        <x:f>HYPERLINK("https://belberrycrm.bitrix24.ru/crm/deal/details/13288/","https://belberrycrm.bitrix24.ru/crm/deal/details/13288/")</x:f>
      </x:c>
      <x:c r="D1649" t="str">
        <x:v>Реанимация</x:v>
      </x:c>
      <x:c r="E1649" t="str">
        <x:v>База для реанимации</x:v>
      </x:c>
      <x:c r="F1649" t="str">
        <x:v>Админ всея Belberry</x:v>
      </x:c>
      <x:c r="G1649" t="str">
        <x:v>нет</x:v>
      </x:c>
      <x:c r="H1649" t="str">
        <x:v>нет</x:v>
      </x:c>
    </x:row>
    <x:row r="1650">
      <x:c r="A1650" t="str">
        <x:v>13292</x:v>
      </x:c>
      <x:c r="B1650" t="str">
        <x:v>albusmed.ru</x:v>
      </x:c>
      <x:c r="C1650" t="e">
        <x:f>HYPERLINK("https://belberrycrm.bitrix24.ru/crm/deal/details/13292/","https://belberrycrm.bitrix24.ru/crm/deal/details/13292/")</x:f>
      </x:c>
      <x:c r="D1650" t="str">
        <x:v>Реанимация</x:v>
      </x:c>
      <x:c r="E1650" t="str">
        <x:v>База для реанимации</x:v>
      </x:c>
      <x:c r="F1650" t="str">
        <x:v>Админ всея Belberry</x:v>
      </x:c>
      <x:c r="G1650" t="str">
        <x:v>нет</x:v>
      </x:c>
      <x:c r="H1650" t="str">
        <x:v>нет</x:v>
      </x:c>
    </x:row>
    <x:row r="1651">
      <x:c r="A1651" t="str">
        <x:v>13294</x:v>
      </x:c>
      <x:c r="B1651" t="str">
        <x:v>effi-clinic.ru</x:v>
      </x:c>
      <x:c r="C1651" t="e">
        <x:f>HYPERLINK("https://belberrycrm.bitrix24.ru/crm/deal/details/13294/","https://belberrycrm.bitrix24.ru/crm/deal/details/13294/")</x:f>
      </x:c>
      <x:c r="D1651" t="str">
        <x:v>Реанимация</x:v>
      </x:c>
      <x:c r="E1651" t="str">
        <x:v>База для реанимации</x:v>
      </x:c>
      <x:c r="F1651" t="str">
        <x:v>Админ всея Belberry</x:v>
      </x:c>
      <x:c r="G1651" t="str">
        <x:v>нет</x:v>
      </x:c>
      <x:c r="H1651" t="str">
        <x:v>нет</x:v>
      </x:c>
    </x:row>
    <x:row r="1652">
      <x:c r="A1652" t="str">
        <x:v>13302</x:v>
      </x:c>
      <x:c r="B1652" t="str">
        <x:v>kdcgsh.mil.ru</x:v>
      </x:c>
      <x:c r="C1652" t="e">
        <x:f>HYPERLINK("https://belberrycrm.bitrix24.ru/crm/deal/details/13302/","https://belberrycrm.bitrix24.ru/crm/deal/details/13302/")</x:f>
      </x:c>
      <x:c r="D1652" t="str">
        <x:v>Реанимация</x:v>
      </x:c>
      <x:c r="E1652" t="str">
        <x:v>База для реанимации</x:v>
      </x:c>
      <x:c r="F1652" t="str">
        <x:v>Админ всея Belberry</x:v>
      </x:c>
      <x:c r="G1652" t="str">
        <x:v>да</x:v>
      </x:c>
      <x:c r="H1652" t="str">
        <x:v>нет</x:v>
      </x:c>
    </x:row>
    <x:row r="1653">
      <x:c r="A1653" t="str">
        <x:v>13308</x:v>
      </x:c>
      <x:c r="B1653" t="str">
        <x:v>planbaby.uz</x:v>
      </x:c>
      <x:c r="C1653" t="e">
        <x:f>HYPERLINK("https://belberrycrm.bitrix24.ru/crm/deal/details/13308/","https://belberrycrm.bitrix24.ru/crm/deal/details/13308/")</x:f>
      </x:c>
      <x:c r="D1653" t="str">
        <x:v>Реанимация</x:v>
      </x:c>
      <x:c r="E1653" t="str">
        <x:v>База для реанимации</x:v>
      </x:c>
      <x:c r="F1653" t="str">
        <x:v>Админ всея Belberry</x:v>
      </x:c>
      <x:c r="G1653" t="str">
        <x:v>нет</x:v>
      </x:c>
      <x:c r="H1653" t="str">
        <x:v>нет</x:v>
      </x:c>
    </x:row>
    <x:row r="1654">
      <x:c r="A1654" t="str">
        <x:v>13314</x:v>
      </x:c>
      <x:c r="B1654" t="str">
        <x:v>med-clin.ru</x:v>
      </x:c>
      <x:c r="C1654" t="e">
        <x:f>HYPERLINK("https://belberrycrm.bitrix24.ru/crm/deal/details/13314/","https://belberrycrm.bitrix24.ru/crm/deal/details/13314/")</x:f>
      </x:c>
      <x:c r="D1654" t="str">
        <x:v>Реанимация</x:v>
      </x:c>
      <x:c r="E1654" t="str">
        <x:v>База для реанимации</x:v>
      </x:c>
      <x:c r="F1654" t="str">
        <x:v>Админ всея Belberry</x:v>
      </x:c>
      <x:c r="G1654" t="str">
        <x:v>нет</x:v>
      </x:c>
      <x:c r="H1654" t="str">
        <x:v>нет</x:v>
      </x:c>
    </x:row>
    <x:row r="1655">
      <x:c r="A1655" t="str">
        <x:v>13320</x:v>
      </x:c>
      <x:c r="B1655" t="str">
        <x:v>Вероника Викторовна Ростов Новая Клиника</x:v>
      </x:c>
      <x:c r="C1655" t="e">
        <x:f>HYPERLINK("https://belberrycrm.bitrix24.ru/crm/deal/details/13320/","https://belberrycrm.bitrix24.ru/crm/deal/details/13320/")</x:f>
      </x:c>
      <x:c r="D1655" t="str">
        <x:v>Реанимация</x:v>
      </x:c>
      <x:c r="E1655" t="str">
        <x:v>База для реанимации</x:v>
      </x:c>
      <x:c r="F1655" t="str">
        <x:v>Админ всея Belberry</x:v>
      </x:c>
      <x:c r="G1655" t="str">
        <x:v>нет</x:v>
      </x:c>
      <x:c r="H1655" t="str">
        <x:v>нет</x:v>
      </x:c>
    </x:row>
    <x:row r="1656">
      <x:c r="A1656" t="str">
        <x:v>13328</x:v>
      </x:c>
      <x:c r="B1656" t="str">
        <x:v>arbat25.ru</x:v>
      </x:c>
      <x:c r="C1656" t="e">
        <x:f>HYPERLINK("https://belberrycrm.bitrix24.ru/crm/deal/details/13328/","https://belberrycrm.bitrix24.ru/crm/deal/details/13328/")</x:f>
      </x:c>
      <x:c r="D1656" t="str">
        <x:v>Реанимация</x:v>
      </x:c>
      <x:c r="E1656" t="str">
        <x:v>База для реанимации</x:v>
      </x:c>
      <x:c r="F1656" t="str">
        <x:v>Админ всея Belberry</x:v>
      </x:c>
      <x:c r="G1656" t="str">
        <x:v>нет</x:v>
      </x:c>
      <x:c r="H1656" t="str">
        <x:v>нет</x:v>
      </x:c>
    </x:row>
    <x:row r="1657">
      <x:c r="A1657" t="str">
        <x:v>13330</x:v>
      </x:c>
      <x:c r="B1657" t="str">
        <x:v>omnicare.clinic</x:v>
      </x:c>
      <x:c r="C1657" t="e">
        <x:f>HYPERLINK("https://belberrycrm.bitrix24.ru/crm/deal/details/13330/","https://belberrycrm.bitrix24.ru/crm/deal/details/13330/")</x:f>
      </x:c>
      <x:c r="D1657" t="str">
        <x:v>Реанимация</x:v>
      </x:c>
      <x:c r="E1657" t="str">
        <x:v>База для реанимации</x:v>
      </x:c>
      <x:c r="F1657" t="str">
        <x:v>Админ всея Belberry</x:v>
      </x:c>
      <x:c r="G1657" t="str">
        <x:v>нет</x:v>
      </x:c>
      <x:c r="H1657" t="str">
        <x:v>нет</x:v>
      </x:c>
    </x:row>
    <x:row r="1658">
      <x:c r="A1658" t="str">
        <x:v>13332</x:v>
      </x:c>
      <x:c r="B1658" t="str">
        <x:v>mogvv.ru</x:v>
      </x:c>
      <x:c r="C1658" t="e">
        <x:f>HYPERLINK("https://belberrycrm.bitrix24.ru/crm/deal/details/13332/","https://belberrycrm.bitrix24.ru/crm/deal/details/13332/")</x:f>
      </x:c>
      <x:c r="D1658" t="str">
        <x:v>Реанимация</x:v>
      </x:c>
      <x:c r="E1658" t="str">
        <x:v>База для реанимации</x:v>
      </x:c>
      <x:c r="F1658" t="str">
        <x:v>Админ всея Belberry</x:v>
      </x:c>
      <x:c r="G1658" t="str">
        <x:v>да</x:v>
      </x:c>
      <x:c r="H1658" t="str">
        <x:v>нет</x:v>
      </x:c>
    </x:row>
    <x:row r="1659">
      <x:c r="A1659" t="str">
        <x:v>13334</x:v>
      </x:c>
      <x:c r="B1659" t="str">
        <x:v>gumanik.com</x:v>
      </x:c>
      <x:c r="C1659" t="e">
        <x:f>HYPERLINK("https://belberrycrm.bitrix24.ru/crm/deal/details/13334/","https://belberrycrm.bitrix24.ru/crm/deal/details/13334/")</x:f>
      </x:c>
      <x:c r="D1659" t="str">
        <x:v>Реанимация</x:v>
      </x:c>
      <x:c r="E1659" t="str">
        <x:v>База для реанимации</x:v>
      </x:c>
      <x:c r="F1659" t="str">
        <x:v>Админ всея Belberry</x:v>
      </x:c>
      <x:c r="G1659" t="str">
        <x:v>нет</x:v>
      </x:c>
      <x:c r="H1659" t="str">
        <x:v>нет</x:v>
      </x:c>
    </x:row>
    <x:row r="1660">
      <x:c r="A1660" t="str">
        <x:v>13336</x:v>
      </x:c>
      <x:c r="B1660" t="str">
        <x:v>ihtis-clinic.ru</x:v>
      </x:c>
      <x:c r="C1660" t="e">
        <x:f>HYPERLINK("https://belberrycrm.bitrix24.ru/crm/deal/details/13336/","https://belberrycrm.bitrix24.ru/crm/deal/details/13336/")</x:f>
      </x:c>
      <x:c r="D1660" t="str">
        <x:v>Реанимация</x:v>
      </x:c>
      <x:c r="E1660" t="str">
        <x:v>База для реанимации</x:v>
      </x:c>
      <x:c r="F1660" t="str">
        <x:v>Админ всея Belberry</x:v>
      </x:c>
      <x:c r="G1660" t="str">
        <x:v>нет</x:v>
      </x:c>
      <x:c r="H1660" t="str">
        <x:v>нет</x:v>
      </x:c>
    </x:row>
    <x:row r="1661">
      <x:c r="A1661" t="str">
        <x:v>13342</x:v>
      </x:c>
      <x:c r="B1661" t="str">
        <x:v>profmed64.ru</x:v>
      </x:c>
      <x:c r="C1661" t="e">
        <x:f>HYPERLINK("https://belberrycrm.bitrix24.ru/crm/deal/details/13342/","https://belberrycrm.bitrix24.ru/crm/deal/details/13342/")</x:f>
      </x:c>
      <x:c r="D1661" t="str">
        <x:v>Реанимация</x:v>
      </x:c>
      <x:c r="E1661" t="str">
        <x:v>База для реанимации</x:v>
      </x:c>
      <x:c r="F1661" t="str">
        <x:v>Админ всея Belberry</x:v>
      </x:c>
      <x:c r="G1661" t="str">
        <x:v>нет</x:v>
      </x:c>
      <x:c r="H1661" t="str">
        <x:v>нет</x:v>
      </x:c>
    </x:row>
    <x:row r="1662">
      <x:c r="A1662" t="str">
        <x:v>13344</x:v>
      </x:c>
      <x:c r="B1662" t="str">
        <x:v>dostoma.ru</x:v>
      </x:c>
      <x:c r="C1662" t="e">
        <x:f>HYPERLINK("https://belberrycrm.bitrix24.ru/crm/deal/details/13344/","https://belberrycrm.bitrix24.ru/crm/deal/details/13344/")</x:f>
      </x:c>
      <x:c r="D1662" t="str">
        <x:v>Реанимация</x:v>
      </x:c>
      <x:c r="E1662" t="str">
        <x:v>База для реанимации</x:v>
      </x:c>
      <x:c r="F1662" t="str">
        <x:v>Админ всея Belberry</x:v>
      </x:c>
      <x:c r="G1662" t="str">
        <x:v>нет</x:v>
      </x:c>
      <x:c r="H1662" t="str">
        <x:v>нет</x:v>
      </x:c>
    </x:row>
    <x:row r="1663">
      <x:c r="A1663" t="str">
        <x:v>13346</x:v>
      </x:c>
      <x:c r="B1663" t="str">
        <x:v>artgarant-dent.ru</x:v>
      </x:c>
      <x:c r="C1663" t="e">
        <x:f>HYPERLINK("https://belberrycrm.bitrix24.ru/crm/deal/details/13346/","https://belberrycrm.bitrix24.ru/crm/deal/details/13346/")</x:f>
      </x:c>
      <x:c r="D1663" t="str">
        <x:v>Реанимация</x:v>
      </x:c>
      <x:c r="E1663" t="str">
        <x:v>База для реанимации</x:v>
      </x:c>
      <x:c r="F1663" t="str">
        <x:v>Админ всея Belberry</x:v>
      </x:c>
      <x:c r="G1663" t="str">
        <x:v>нет</x:v>
      </x:c>
      <x:c r="H1663" t="str">
        <x:v>нет</x:v>
      </x:c>
    </x:row>
    <x:row r="1664">
      <x:c r="A1664" t="str">
        <x:v>13348</x:v>
      </x:c>
      <x:c r="B1664" t="str">
        <x:v>onismed.ru</x:v>
      </x:c>
      <x:c r="C1664" t="e">
        <x:f>HYPERLINK("https://belberrycrm.bitrix24.ru/crm/deal/details/13348/","https://belberrycrm.bitrix24.ru/crm/deal/details/13348/")</x:f>
      </x:c>
      <x:c r="D1664" t="str">
        <x:v>Реанимация</x:v>
      </x:c>
      <x:c r="E1664" t="str">
        <x:v>База для реанимации</x:v>
      </x:c>
      <x:c r="F1664" t="str">
        <x:v>Админ всея Belberry</x:v>
      </x:c>
      <x:c r="G1664" t="str">
        <x:v>нет</x:v>
      </x:c>
      <x:c r="H1664" t="str">
        <x:v>нет</x:v>
      </x:c>
    </x:row>
    <x:row r="1665">
      <x:c r="A1665" t="str">
        <x:v>13350</x:v>
      </x:c>
      <x:c r="B1665" t="str">
        <x:v>rumdent.ru</x:v>
      </x:c>
      <x:c r="C1665" t="e">
        <x:f>HYPERLINK("https://belberrycrm.bitrix24.ru/crm/deal/details/13350/","https://belberrycrm.bitrix24.ru/crm/deal/details/13350/")</x:f>
      </x:c>
      <x:c r="D1665" t="str">
        <x:v>Реанимация</x:v>
      </x:c>
      <x:c r="E1665" t="str">
        <x:v>База для реанимации</x:v>
      </x:c>
      <x:c r="F1665" t="str">
        <x:v>Админ всея Belberry</x:v>
      </x:c>
      <x:c r="G1665" t="str">
        <x:v>нет</x:v>
      </x:c>
      <x:c r="H1665" t="str">
        <x:v>нет</x:v>
      </x:c>
    </x:row>
    <x:row r="1666">
      <x:c r="A1666" t="str">
        <x:v>13354</x:v>
      </x:c>
      <x:c r="B1666" t="str">
        <x:v>Youcanfly.ru</x:v>
      </x:c>
      <x:c r="C1666" t="e">
        <x:f>HYPERLINK("https://belberrycrm.bitrix24.ru/crm/deal/details/13354/","https://belberrycrm.bitrix24.ru/crm/deal/details/13354/")</x:f>
      </x:c>
      <x:c r="D1666" t="str">
        <x:v>Реанимация</x:v>
      </x:c>
      <x:c r="E1666" t="str">
        <x:v>База для реанимации</x:v>
      </x:c>
      <x:c r="F1666" t="str">
        <x:v>Админ всея Belberry</x:v>
      </x:c>
      <x:c r="G1666" t="str">
        <x:v>нет</x:v>
      </x:c>
      <x:c r="H1666" t="str">
        <x:v>нет</x:v>
      </x:c>
    </x:row>
    <x:row r="1667">
      <x:c r="A1667" t="str">
        <x:v>13362</x:v>
      </x:c>
      <x:c r="B1667" t="str">
        <x:v>Alif dent стоматологическая клиника</x:v>
      </x:c>
      <x:c r="C1667" t="e">
        <x:f>HYPERLINK("https://belberrycrm.bitrix24.ru/crm/deal/details/13362/","https://belberrycrm.bitrix24.ru/crm/deal/details/13362/")</x:f>
      </x:c>
      <x:c r="D1667" t="str">
        <x:v>Реанимация</x:v>
      </x:c>
      <x:c r="E1667" t="str">
        <x:v>База для реанимации</x:v>
      </x:c>
      <x:c r="F1667" t="str">
        <x:v>Админ всея Belberry</x:v>
      </x:c>
      <x:c r="G1667" t="str">
        <x:v>нет</x:v>
      </x:c>
      <x:c r="H1667" t="str">
        <x:v>нет</x:v>
      </x:c>
    </x:row>
    <x:row r="1668">
      <x:c r="A1668" t="str">
        <x:v>13364</x:v>
      </x:c>
      <x:c r="B1668" t="str">
        <x:v>implant-ivory.ru</x:v>
      </x:c>
      <x:c r="C1668" t="e">
        <x:f>HYPERLINK("https://belberrycrm.bitrix24.ru/crm/deal/details/13364/","https://belberrycrm.bitrix24.ru/crm/deal/details/13364/")</x:f>
      </x:c>
      <x:c r="D1668" t="str">
        <x:v>Реанимация</x:v>
      </x:c>
      <x:c r="E1668" t="str">
        <x:v>База для реанимации</x:v>
      </x:c>
      <x:c r="F1668" t="str">
        <x:v>Админ всея Belberry</x:v>
      </x:c>
      <x:c r="G1668" t="str">
        <x:v>нет</x:v>
      </x:c>
      <x:c r="H1668" t="str">
        <x:v>нет</x:v>
      </x:c>
    </x:row>
    <x:row r="1669">
      <x:c r="A1669" t="str">
        <x:v>13372</x:v>
      </x:c>
      <x:c r="B1669" t="str">
        <x:v>vidimed.ru</x:v>
      </x:c>
      <x:c r="C1669" t="e">
        <x:f>HYPERLINK("https://belberrycrm.bitrix24.ru/crm/deal/details/13372/","https://belberrycrm.bitrix24.ru/crm/deal/details/13372/")</x:f>
      </x:c>
      <x:c r="D1669" t="str">
        <x:v>Реанимация</x:v>
      </x:c>
      <x:c r="E1669" t="str">
        <x:v>База для реанимации</x:v>
      </x:c>
      <x:c r="F1669" t="str">
        <x:v>Админ всея Belberry</x:v>
      </x:c>
      <x:c r="G1669" t="str">
        <x:v>нет</x:v>
      </x:c>
      <x:c r="H1669" t="str">
        <x:v>нет</x:v>
      </x:c>
    </x:row>
    <x:row r="1670">
      <x:c r="A1670" t="str">
        <x:v>13374</x:v>
      </x:c>
      <x:c r="B1670" t="str">
        <x:v>WestStom стоматологическая клиника</x:v>
      </x:c>
      <x:c r="C1670" t="e">
        <x:f>HYPERLINK("https://belberrycrm.bitrix24.ru/crm/deal/details/13374/","https://belberrycrm.bitrix24.ru/crm/deal/details/13374/")</x:f>
      </x:c>
      <x:c r="D1670" t="str">
        <x:v>Реанимация</x:v>
      </x:c>
      <x:c r="E1670" t="str">
        <x:v>База для реанимации</x:v>
      </x:c>
      <x:c r="F1670" t="str">
        <x:v>Админ всея Belberry</x:v>
      </x:c>
      <x:c r="G1670" t="str">
        <x:v>нет</x:v>
      </x:c>
      <x:c r="H1670" t="str">
        <x:v>нет</x:v>
      </x:c>
    </x:row>
    <x:row r="1671">
      <x:c r="A1671" t="str">
        <x:v>13376</x:v>
      </x:c>
      <x:c r="B1671" t="str">
        <x:v>dentist78.ru</x:v>
      </x:c>
      <x:c r="C1671" t="e">
        <x:f>HYPERLINK("https://belberrycrm.bitrix24.ru/crm/deal/details/13376/","https://belberrycrm.bitrix24.ru/crm/deal/details/13376/")</x:f>
      </x:c>
      <x:c r="D1671" t="str">
        <x:v>Реанимация</x:v>
      </x:c>
      <x:c r="E1671" t="str">
        <x:v>База для реанимации</x:v>
      </x:c>
      <x:c r="F1671" t="str">
        <x:v>Админ всея Belberry</x:v>
      </x:c>
      <x:c r="G1671" t="str">
        <x:v>нет</x:v>
      </x:c>
      <x:c r="H1671" t="str">
        <x:v>нет</x:v>
      </x:c>
    </x:row>
    <x:row r="1672">
      <x:c r="A1672" t="str">
        <x:v>13378</x:v>
      </x:c>
      <x:c r="B1672" t="str">
        <x:v>gkdc1.ru</x:v>
      </x:c>
      <x:c r="C1672" t="e">
        <x:f>HYPERLINK("https://belberrycrm.bitrix24.ru/crm/deal/details/13378/","https://belberrycrm.bitrix24.ru/crm/deal/details/13378/")</x:f>
      </x:c>
      <x:c r="D1672" t="str">
        <x:v>Реанимация</x:v>
      </x:c>
      <x:c r="E1672" t="str">
        <x:v>База для реанимации</x:v>
      </x:c>
      <x:c r="F1672" t="str">
        <x:v>Админ всея Belberry</x:v>
      </x:c>
      <x:c r="G1672" t="str">
        <x:v>нет</x:v>
      </x:c>
      <x:c r="H1672" t="str">
        <x:v>нет</x:v>
      </x:c>
    </x:row>
    <x:row r="1673">
      <x:c r="A1673" t="str">
        <x:v>13382</x:v>
      </x:c>
      <x:c r="B1673" t="str">
        <x:v>Medicaldent стоматологическая клиника</x:v>
      </x:c>
      <x:c r="C1673" t="e">
        <x:f>HYPERLINK("https://belberrycrm.bitrix24.ru/crm/deal/details/13382/","https://belberrycrm.bitrix24.ru/crm/deal/details/13382/")</x:f>
      </x:c>
      <x:c r="D1673" t="str">
        <x:v>Реанимация</x:v>
      </x:c>
      <x:c r="E1673" t="str">
        <x:v>База для реанимации</x:v>
      </x:c>
      <x:c r="F1673" t="str">
        <x:v>Админ всея Belberry</x:v>
      </x:c>
      <x:c r="G1673" t="str">
        <x:v>нет</x:v>
      </x:c>
      <x:c r="H1673" t="str">
        <x:v>нет</x:v>
      </x:c>
    </x:row>
    <x:row r="1674">
      <x:c r="A1674" t="str">
        <x:v>13386</x:v>
      </x:c>
      <x:c r="B1674" t="str">
        <x:v>ottoclinic.ru</x:v>
      </x:c>
      <x:c r="C1674" t="e">
        <x:f>HYPERLINK("https://belberrycrm.bitrix24.ru/crm/deal/details/13386/","https://belberrycrm.bitrix24.ru/crm/deal/details/13386/")</x:f>
      </x:c>
      <x:c r="D1674" t="str">
        <x:v>Реанимация</x:v>
      </x:c>
      <x:c r="E1674" t="str">
        <x:v>База для реанимации</x:v>
      </x:c>
      <x:c r="F1674" t="str">
        <x:v>Админ всея Belberry</x:v>
      </x:c>
      <x:c r="G1674" t="str">
        <x:v>нет</x:v>
      </x:c>
      <x:c r="H1674" t="str">
        <x:v>нет</x:v>
      </x:c>
    </x:row>
    <x:row r="1675">
      <x:c r="A1675" t="str">
        <x:v>13390</x:v>
      </x:c>
      <x:c r="B1675" t="str">
        <x:v>денткрафт.рф</x:v>
      </x:c>
      <x:c r="C1675" t="e">
        <x:f>HYPERLINK("https://belberrycrm.bitrix24.ru/crm/deal/details/13390/","https://belberrycrm.bitrix24.ru/crm/deal/details/13390/")</x:f>
      </x:c>
      <x:c r="D1675" t="str">
        <x:v>Реанимация</x:v>
      </x:c>
      <x:c r="E1675" t="str">
        <x:v>База для реанимации</x:v>
      </x:c>
      <x:c r="F1675" t="str">
        <x:v>Админ всея Belberry</x:v>
      </x:c>
      <x:c r="G1675" t="str">
        <x:v>нет</x:v>
      </x:c>
      <x:c r="H1675" t="str">
        <x:v>нет</x:v>
      </x:c>
    </x:row>
    <x:row r="1676">
      <x:c r="A1676" t="str">
        <x:v>13392</x:v>
      </x:c>
      <x:c r="B1676" t="str">
        <x:v>all-dental.me</x:v>
      </x:c>
      <x:c r="C1676" t="e">
        <x:f>HYPERLINK("https://belberrycrm.bitrix24.ru/crm/deal/details/13392/","https://belberrycrm.bitrix24.ru/crm/deal/details/13392/")</x:f>
      </x:c>
      <x:c r="D1676" t="str">
        <x:v>Реанимация</x:v>
      </x:c>
      <x:c r="E1676" t="str">
        <x:v>База для реанимации</x:v>
      </x:c>
      <x:c r="F1676" t="str">
        <x:v>Админ всея Belberry</x:v>
      </x:c>
      <x:c r="G1676" t="str">
        <x:v>нет</x:v>
      </x:c>
      <x:c r="H1676" t="str">
        <x:v>нет</x:v>
      </x:c>
    </x:row>
    <x:row r="1677">
      <x:c r="A1677" t="str">
        <x:v>13394</x:v>
      </x:c>
      <x:c r="B1677" t="str">
        <x:v>cryocliniq.ru</x:v>
      </x:c>
      <x:c r="C1677" t="e">
        <x:f>HYPERLINK("https://belberrycrm.bitrix24.ru/crm/deal/details/13394/","https://belberrycrm.bitrix24.ru/crm/deal/details/13394/")</x:f>
      </x:c>
      <x:c r="D1677" t="str">
        <x:v>Реанимация</x:v>
      </x:c>
      <x:c r="E1677" t="str">
        <x:v>База для реанимации</x:v>
      </x:c>
      <x:c r="F1677" t="str">
        <x:v>Админ всея Belberry</x:v>
      </x:c>
      <x:c r="G1677" t="str">
        <x:v>нет</x:v>
      </x:c>
      <x:c r="H1677" t="str">
        <x:v>нет</x:v>
      </x:c>
    </x:row>
    <x:row r="1678">
      <x:c r="A1678" t="str">
        <x:v>13396</x:v>
      </x:c>
      <x:c r="B1678" t="str">
        <x:v>cpark-stomatologiya-himki.ru</x:v>
      </x:c>
      <x:c r="C1678" t="e">
        <x:f>HYPERLINK("https://belberrycrm.bitrix24.ru/crm/deal/details/13396/","https://belberrycrm.bitrix24.ru/crm/deal/details/13396/")</x:f>
      </x:c>
      <x:c r="D1678" t="str">
        <x:v>Реанимация</x:v>
      </x:c>
      <x:c r="E1678" t="str">
        <x:v>База для реанимации</x:v>
      </x:c>
      <x:c r="F1678" t="str">
        <x:v>Админ всея Belberry</x:v>
      </x:c>
      <x:c r="G1678" t="str">
        <x:v>нет</x:v>
      </x:c>
      <x:c r="H1678" t="str">
        <x:v>нет</x:v>
      </x:c>
    </x:row>
    <x:row r="1679">
      <x:c r="A1679" t="str">
        <x:v>13398</x:v>
      </x:c>
      <x:c r="B1679" t="str">
        <x:v>remstom.ru</x:v>
      </x:c>
      <x:c r="C1679" t="e">
        <x:f>HYPERLINK("https://belberrycrm.bitrix24.ru/crm/deal/details/13398/","https://belberrycrm.bitrix24.ru/crm/deal/details/13398/")</x:f>
      </x:c>
      <x:c r="D1679" t="str">
        <x:v>Реанимация</x:v>
      </x:c>
      <x:c r="E1679" t="str">
        <x:v>База для реанимации</x:v>
      </x:c>
      <x:c r="F1679" t="str">
        <x:v>Админ всея Belberry</x:v>
      </x:c>
      <x:c r="G1679" t="str">
        <x:v>нет</x:v>
      </x:c>
      <x:c r="H1679" t="str">
        <x:v>нет</x:v>
      </x:c>
    </x:row>
    <x:row r="1680">
      <x:c r="A1680" t="str">
        <x:v>13406</x:v>
      </x:c>
      <x:c r="B1680" t="str">
        <x:v>imedclin.ru</x:v>
      </x:c>
      <x:c r="C1680" t="e">
        <x:f>HYPERLINK("https://belberrycrm.bitrix24.ru/crm/deal/details/13406/","https://belberrycrm.bitrix24.ru/crm/deal/details/13406/")</x:f>
      </x:c>
      <x:c r="D1680" t="str">
        <x:v>Реанимация</x:v>
      </x:c>
      <x:c r="E1680" t="str">
        <x:v>База для реанимации</x:v>
      </x:c>
      <x:c r="F1680" t="str">
        <x:v>Админ всея Belberry</x:v>
      </x:c>
      <x:c r="G1680" t="str">
        <x:v>нет</x:v>
      </x:c>
      <x:c r="H1680" t="str">
        <x:v>нет</x:v>
      </x:c>
    </x:row>
    <x:row r="1681">
      <x:c r="A1681" t="str">
        <x:v>13408</x:v>
      </x:c>
      <x:c r="B1681" t="str">
        <x:v>Татьяна Юрьевна Романова</x:v>
      </x:c>
      <x:c r="C1681" t="e">
        <x:f>HYPERLINK("https://belberrycrm.bitrix24.ru/crm/deal/details/13408/","https://belberrycrm.bitrix24.ru/crm/deal/details/13408/")</x:f>
      </x:c>
      <x:c r="D1681" t="str">
        <x:v>Реанимация</x:v>
      </x:c>
      <x:c r="E1681" t="str">
        <x:v>База для реанимации</x:v>
      </x:c>
      <x:c r="F1681" t="str">
        <x:v>Админ всея Belberry</x:v>
      </x:c>
      <x:c r="G1681" t="str">
        <x:v>нет</x:v>
      </x:c>
      <x:c r="H1681" t="str">
        <x:v>нет</x:v>
      </x:c>
    </x:row>
    <x:row r="1682">
      <x:c r="A1682" t="str">
        <x:v>13410</x:v>
      </x:c>
      <x:c r="B1682" t="str">
        <x:v>arkadiya-med.ru</x:v>
      </x:c>
      <x:c r="C1682" t="e">
        <x:f>HYPERLINK("https://belberrycrm.bitrix24.ru/crm/deal/details/13410/","https://belberrycrm.bitrix24.ru/crm/deal/details/13410/")</x:f>
      </x:c>
      <x:c r="D1682" t="str">
        <x:v>Реанимация</x:v>
      </x:c>
      <x:c r="E1682" t="str">
        <x:v>База для реанимации</x:v>
      </x:c>
      <x:c r="F1682" t="str">
        <x:v>Админ всея Belberry</x:v>
      </x:c>
      <x:c r="G1682" t="str">
        <x:v>нет</x:v>
      </x:c>
      <x:c r="H1682" t="str">
        <x:v>нет</x:v>
      </x:c>
    </x:row>
    <x:row r="1683">
      <x:c r="A1683" t="str">
        <x:v>13412</x:v>
      </x:c>
      <x:c r="B1683" t="str">
        <x:v>Trixybeauty.ru</x:v>
      </x:c>
      <x:c r="C1683" t="e">
        <x:f>HYPERLINK("https://belberrycrm.bitrix24.ru/crm/deal/details/13412/","https://belberrycrm.bitrix24.ru/crm/deal/details/13412/")</x:f>
      </x:c>
      <x:c r="D1683" t="str">
        <x:v>Реанимация</x:v>
      </x:c>
      <x:c r="E1683" t="str">
        <x:v>База для реанимации</x:v>
      </x:c>
      <x:c r="F1683" t="str">
        <x:v>Админ всея Belberry</x:v>
      </x:c>
      <x:c r="G1683" t="str">
        <x:v>нет</x:v>
      </x:c>
      <x:c r="H1683" t="str">
        <x:v>нет</x:v>
      </x:c>
    </x:row>
    <x:row r="1684">
      <x:c r="A1684" t="str">
        <x:v>13416</x:v>
      </x:c>
      <x:c r="B1684" t="str">
        <x:v>Адентис стоматологическая клиника</x:v>
      </x:c>
      <x:c r="C1684" t="e">
        <x:f>HYPERLINK("https://belberrycrm.bitrix24.ru/crm/deal/details/13416/","https://belberrycrm.bitrix24.ru/crm/deal/details/13416/")</x:f>
      </x:c>
      <x:c r="D1684" t="str">
        <x:v>Реанимация</x:v>
      </x:c>
      <x:c r="E1684" t="str">
        <x:v>База для реанимации</x:v>
      </x:c>
      <x:c r="F1684" t="str">
        <x:v>Админ всея Belberry</x:v>
      </x:c>
      <x:c r="G1684" t="str">
        <x:v>нет</x:v>
      </x:c>
      <x:c r="H1684" t="str">
        <x:v>нет</x:v>
      </x:c>
    </x:row>
    <x:row r="1685">
      <x:c r="A1685" t="str">
        <x:v>13420</x:v>
      </x:c>
      <x:c r="B1685" t="str">
        <x:v>demokrat67.com</x:v>
      </x:c>
      <x:c r="C1685" t="e">
        <x:f>HYPERLINK("https://belberrycrm.bitrix24.ru/crm/deal/details/13420/","https://belberrycrm.bitrix24.ru/crm/deal/details/13420/")</x:f>
      </x:c>
      <x:c r="D1685" t="str">
        <x:v>Реанимация</x:v>
      </x:c>
      <x:c r="E1685" t="str">
        <x:v>База для реанимации</x:v>
      </x:c>
      <x:c r="F1685" t="str">
        <x:v>Админ всея Belberry</x:v>
      </x:c>
      <x:c r="G1685" t="str">
        <x:v>нет</x:v>
      </x:c>
      <x:c r="H1685" t="str">
        <x:v>нет</x:v>
      </x:c>
    </x:row>
    <x:row r="1686">
      <x:c r="A1686" t="str">
        <x:v>13422</x:v>
      </x:c>
      <x:c r="B1686" t="str">
        <x:v>demokrat-nvrsk.ru</x:v>
      </x:c>
      <x:c r="C1686" t="e">
        <x:f>HYPERLINK("https://belberrycrm.bitrix24.ru/crm/deal/details/13422/","https://belberrycrm.bitrix24.ru/crm/deal/details/13422/")</x:f>
      </x:c>
      <x:c r="D1686" t="str">
        <x:v>Реанимация</x:v>
      </x:c>
      <x:c r="E1686" t="str">
        <x:v>База для реанимации</x:v>
      </x:c>
      <x:c r="F1686" t="str">
        <x:v>Админ всея Belberry</x:v>
      </x:c>
      <x:c r="G1686" t="str">
        <x:v>нет</x:v>
      </x:c>
      <x:c r="H1686" t="str">
        <x:v>нет</x:v>
      </x:c>
    </x:row>
    <x:row r="1687">
      <x:c r="A1687" t="str">
        <x:v>13424</x:v>
      </x:c>
      <x:c r="B1687" t="str">
        <x:v>Your Day beauty</x:v>
      </x:c>
      <x:c r="C1687" t="e">
        <x:f>HYPERLINK("https://belberrycrm.bitrix24.ru/crm/deal/details/13424/","https://belberrycrm.bitrix24.ru/crm/deal/details/13424/")</x:f>
      </x:c>
      <x:c r="D1687" t="str">
        <x:v>Реанимация</x:v>
      </x:c>
      <x:c r="E1687" t="str">
        <x:v>База для реанимации</x:v>
      </x:c>
      <x:c r="F1687" t="str">
        <x:v>Админ всея Belberry</x:v>
      </x:c>
      <x:c r="G1687" t="str">
        <x:v>нет</x:v>
      </x:c>
      <x:c r="H1687" t="str">
        <x:v>нет</x:v>
      </x:c>
    </x:row>
    <x:row r="1688">
      <x:c r="A1688" t="str">
        <x:v>13428</x:v>
      </x:c>
      <x:c r="B1688" t="str">
        <x:v>mdcs.ru</x:v>
      </x:c>
      <x:c r="C1688" t="e">
        <x:f>HYPERLINK("https://belberrycrm.bitrix24.ru/crm/deal/details/13428/","https://belberrycrm.bitrix24.ru/crm/deal/details/13428/")</x:f>
      </x:c>
      <x:c r="D1688" t="str">
        <x:v>Реанимация</x:v>
      </x:c>
      <x:c r="E1688" t="str">
        <x:v>База для реанимации</x:v>
      </x:c>
      <x:c r="F1688" t="str">
        <x:v>Админ всея Belberry</x:v>
      </x:c>
      <x:c r="G1688" t="str">
        <x:v>нет</x:v>
      </x:c>
      <x:c r="H1688" t="str">
        <x:v>нет</x:v>
      </x:c>
    </x:row>
    <x:row r="1689">
      <x:c r="A1689" t="str">
        <x:v>13430</x:v>
      </x:c>
      <x:c r="B1689" t="str">
        <x:v>Queensmile студия безопасного отбеливания зубов</x:v>
      </x:c>
      <x:c r="C1689" t="e">
        <x:f>HYPERLINK("https://belberrycrm.bitrix24.ru/crm/deal/details/13430/","https://belberrycrm.bitrix24.ru/crm/deal/details/13430/")</x:f>
      </x:c>
      <x:c r="D1689" t="str">
        <x:v>Реанимация</x:v>
      </x:c>
      <x:c r="E1689" t="str">
        <x:v>База для реанимации</x:v>
      </x:c>
      <x:c r="F1689" t="str">
        <x:v>Админ всея Belberry</x:v>
      </x:c>
      <x:c r="G1689" t="str">
        <x:v>нет</x:v>
      </x:c>
      <x:c r="H1689" t="str">
        <x:v>нет</x:v>
      </x:c>
    </x:row>
    <x:row r="1690">
      <x:c r="A1690" t="str">
        <x:v>13432</x:v>
      </x:c>
      <x:c r="B1690" t="str">
        <x:v>immunohealth-clinic.ru</x:v>
      </x:c>
      <x:c r="C1690" t="e">
        <x:f>HYPERLINK("https://belberrycrm.bitrix24.ru/crm/deal/details/13432/","https://belberrycrm.bitrix24.ru/crm/deal/details/13432/")</x:f>
      </x:c>
      <x:c r="D1690" t="str">
        <x:v>Реанимация</x:v>
      </x:c>
      <x:c r="E1690" t="str">
        <x:v>База для реанимации</x:v>
      </x:c>
      <x:c r="F1690" t="str">
        <x:v>Админ всея Belberry</x:v>
      </x:c>
      <x:c r="G1690" t="str">
        <x:v>нет</x:v>
      </x:c>
      <x:c r="H1690" t="str">
        <x:v>нет</x:v>
      </x:c>
    </x:row>
    <x:row r="1691">
      <x:c r="A1691" t="str">
        <x:v>13434</x:v>
      </x:c>
      <x:c r="B1691" t="str">
        <x:v>vetdom.ru</x:v>
      </x:c>
      <x:c r="C1691" t="e">
        <x:f>HYPERLINK("https://belberrycrm.bitrix24.ru/crm/deal/details/13434/","https://belberrycrm.bitrix24.ru/crm/deal/details/13434/")</x:f>
      </x:c>
      <x:c r="D1691" t="str">
        <x:v>Реанимация</x:v>
      </x:c>
      <x:c r="E1691" t="str">
        <x:v>База для реанимации</x:v>
      </x:c>
      <x:c r="F1691" t="str">
        <x:v>Админ всея Belberry</x:v>
      </x:c>
      <x:c r="G1691" t="str">
        <x:v>нет</x:v>
      </x:c>
      <x:c r="H1691" t="str">
        <x:v>нет</x:v>
      </x:c>
    </x:row>
    <x:row r="1692">
      <x:c r="A1692" t="str">
        <x:v>13436</x:v>
      </x:c>
      <x:c r="B1692" t="str">
        <x:v>vitest-clinic.ru</x:v>
      </x:c>
      <x:c r="C1692" t="e">
        <x:f>HYPERLINK("https://belberrycrm.bitrix24.ru/crm/deal/details/13436/","https://belberrycrm.bitrix24.ru/crm/deal/details/13436/")</x:f>
      </x:c>
      <x:c r="D1692" t="str">
        <x:v>Реанимация</x:v>
      </x:c>
      <x:c r="E1692" t="str">
        <x:v>База для реанимации</x:v>
      </x:c>
      <x:c r="F1692" t="str">
        <x:v>Админ всея Belberry</x:v>
      </x:c>
      <x:c r="G1692" t="str">
        <x:v>нет</x:v>
      </x:c>
      <x:c r="H1692" t="str">
        <x:v>нет</x:v>
      </x:c>
    </x:row>
    <x:row r="1693">
      <x:c r="A1693" t="str">
        <x:v>13446</x:v>
      </x:c>
      <x:c r="B1693" t="str">
        <x:v>elki-eli.com</x:v>
      </x:c>
      <x:c r="C1693" t="e">
        <x:f>HYPERLINK("https://belberrycrm.bitrix24.ru/crm/deal/details/13446/","https://belberrycrm.bitrix24.ru/crm/deal/details/13446/")</x:f>
      </x:c>
      <x:c r="D1693" t="str">
        <x:v>Реанимация</x:v>
      </x:c>
      <x:c r="E1693" t="str">
        <x:v>База для реанимации</x:v>
      </x:c>
      <x:c r="F1693" t="str">
        <x:v>Админ всея Belberry</x:v>
      </x:c>
      <x:c r="G1693" t="str">
        <x:v>нет</x:v>
      </x:c>
      <x:c r="H1693" t="str">
        <x:v>нет</x:v>
      </x:c>
    </x:row>
    <x:row r="1694">
      <x:c r="A1694" t="str">
        <x:v>13448</x:v>
      </x:c>
      <x:c r="B1694" t="str">
        <x:v>doctorprofy.ru</x:v>
      </x:c>
      <x:c r="C1694" t="e">
        <x:f>HYPERLINK("https://belberrycrm.bitrix24.ru/crm/deal/details/13448/","https://belberrycrm.bitrix24.ru/crm/deal/details/13448/")</x:f>
      </x:c>
      <x:c r="D1694" t="str">
        <x:v>Реанимация</x:v>
      </x:c>
      <x:c r="E1694" t="str">
        <x:v>База для реанимации</x:v>
      </x:c>
      <x:c r="F1694" t="str">
        <x:v>Админ всея Belberry</x:v>
      </x:c>
      <x:c r="G1694" t="str">
        <x:v>нет</x:v>
      </x:c>
      <x:c r="H1694" t="str">
        <x:v>нет</x:v>
      </x:c>
    </x:row>
    <x:row r="1695">
      <x:c r="A1695" t="str">
        <x:v>13450</x:v>
      </x:c>
      <x:c r="B1695" t="str">
        <x:v>emsclinic.ru</x:v>
      </x:c>
      <x:c r="C1695" t="e">
        <x:f>HYPERLINK("https://belberrycrm.bitrix24.ru/crm/deal/details/13450/","https://belberrycrm.bitrix24.ru/crm/deal/details/13450/")</x:f>
      </x:c>
      <x:c r="D1695" t="str">
        <x:v>Реанимация</x:v>
      </x:c>
      <x:c r="E1695" t="str">
        <x:v>База для реанимации</x:v>
      </x:c>
      <x:c r="F1695" t="str">
        <x:v>Админ всея Belberry</x:v>
      </x:c>
      <x:c r="G1695" t="str">
        <x:v>нет</x:v>
      </x:c>
      <x:c r="H1695" t="str">
        <x:v>нет</x:v>
      </x:c>
    </x:row>
    <x:row r="1696">
      <x:c r="A1696" t="str">
        <x:v>13452</x:v>
      </x:c>
      <x:c r="B1696" t="str">
        <x:v>tochkazreniainfo.ru</x:v>
      </x:c>
      <x:c r="C1696" t="e">
        <x:f>HYPERLINK("https://belberrycrm.bitrix24.ru/crm/deal/details/13452/","https://belberrycrm.bitrix24.ru/crm/deal/details/13452/")</x:f>
      </x:c>
      <x:c r="D1696" t="str">
        <x:v>Реанимация</x:v>
      </x:c>
      <x:c r="E1696" t="str">
        <x:v>База для реанимации</x:v>
      </x:c>
      <x:c r="F1696" t="str">
        <x:v>Админ всея Belberry</x:v>
      </x:c>
      <x:c r="G1696" t="str">
        <x:v>нет</x:v>
      </x:c>
      <x:c r="H1696" t="str">
        <x:v>нет</x:v>
      </x:c>
    </x:row>
    <x:row r="1697">
      <x:c r="A1697" t="str">
        <x:v>13456</x:v>
      </x:c>
      <x:c r="B1697" t="str">
        <x:v>Айболит + стоматологическая клиника</x:v>
      </x:c>
      <x:c r="C1697" t="e">
        <x:f>HYPERLINK("https://belberrycrm.bitrix24.ru/crm/deal/details/13456/","https://belberrycrm.bitrix24.ru/crm/deal/details/13456/")</x:f>
      </x:c>
      <x:c r="D1697" t="str">
        <x:v>Реанимация</x:v>
      </x:c>
      <x:c r="E1697" t="str">
        <x:v>База для реанимации</x:v>
      </x:c>
      <x:c r="F1697" t="str">
        <x:v>Админ всея Belberry</x:v>
      </x:c>
      <x:c r="G1697" t="str">
        <x:v>нет</x:v>
      </x:c>
      <x:c r="H1697" t="str">
        <x:v>нет</x:v>
      </x:c>
    </x:row>
    <x:row r="1698">
      <x:c r="A1698" t="str">
        <x:v>13460</x:v>
      </x:c>
      <x:c r="B1698" t="str">
        <x:v>angel-dent.ru</x:v>
      </x:c>
      <x:c r="C1698" t="e">
        <x:f>HYPERLINK("https://belberrycrm.bitrix24.ru/crm/deal/details/13460/","https://belberrycrm.bitrix24.ru/crm/deal/details/13460/")</x:f>
      </x:c>
      <x:c r="D1698" t="str">
        <x:v>Реанимация</x:v>
      </x:c>
      <x:c r="E1698" t="str">
        <x:v>База для реанимации</x:v>
      </x:c>
      <x:c r="F1698" t="str">
        <x:v>Админ всея Belberry</x:v>
      </x:c>
      <x:c r="G1698" t="str">
        <x:v>нет</x:v>
      </x:c>
      <x:c r="H1698" t="str">
        <x:v>нет</x:v>
      </x:c>
    </x:row>
    <x:row r="1699">
      <x:c r="A1699" t="str">
        <x:v>13464</x:v>
      </x:c>
      <x:c r="B1699" t="str">
        <x:v>gerold.su</x:v>
      </x:c>
      <x:c r="C1699" t="e">
        <x:f>HYPERLINK("https://belberrycrm.bitrix24.ru/crm/deal/details/13464/","https://belberrycrm.bitrix24.ru/crm/deal/details/13464/")</x:f>
      </x:c>
      <x:c r="D1699" t="str">
        <x:v>Реанимация</x:v>
      </x:c>
      <x:c r="E1699" t="str">
        <x:v>База для реанимации</x:v>
      </x:c>
      <x:c r="F1699" t="str">
        <x:v>Админ всея Belberry</x:v>
      </x:c>
      <x:c r="G1699" t="str">
        <x:v>да</x:v>
      </x:c>
      <x:c r="H1699" t="str">
        <x:v>нет</x:v>
      </x:c>
    </x:row>
    <x:row r="1700">
      <x:c r="A1700" t="str">
        <x:v>13468</x:v>
      </x:c>
      <x:c r="B1700" t="str">
        <x:v>apresport.ru</x:v>
      </x:c>
      <x:c r="C1700" t="e">
        <x:f>HYPERLINK("https://belberrycrm.bitrix24.ru/crm/deal/details/13468/","https://belberrycrm.bitrix24.ru/crm/deal/details/13468/")</x:f>
      </x:c>
      <x:c r="D1700" t="str">
        <x:v>Реанимация</x:v>
      </x:c>
      <x:c r="E1700" t="str">
        <x:v>База для реанимации</x:v>
      </x:c>
      <x:c r="F1700" t="str">
        <x:v>Админ всея Belberry</x:v>
      </x:c>
      <x:c r="G1700" t="str">
        <x:v>нет</x:v>
      </x:c>
      <x:c r="H1700" t="str">
        <x:v>нет</x:v>
      </x:c>
    </x:row>
    <x:row r="1701">
      <x:c r="A1701" t="str">
        <x:v>13470</x:v>
      </x:c>
      <x:c r="B1701" t="str">
        <x:v>snabeauty.com</x:v>
      </x:c>
      <x:c r="C1701" t="e">
        <x:f>HYPERLINK("https://belberrycrm.bitrix24.ru/crm/deal/details/13470/","https://belberrycrm.bitrix24.ru/crm/deal/details/13470/")</x:f>
      </x:c>
      <x:c r="D1701" t="str">
        <x:v>Реанимация</x:v>
      </x:c>
      <x:c r="E1701" t="str">
        <x:v>База для реанимации</x:v>
      </x:c>
      <x:c r="F1701" t="str">
        <x:v>Админ всея Belberry</x:v>
      </x:c>
      <x:c r="G1701" t="str">
        <x:v>нет</x:v>
      </x:c>
      <x:c r="H1701" t="str">
        <x:v>нет</x:v>
      </x:c>
    </x:row>
    <x:row r="1702">
      <x:c r="A1702" t="str">
        <x:v>13472</x:v>
      </x:c>
      <x:c r="B1702" t="str">
        <x:v>terapiakrasoty.ru</x:v>
      </x:c>
      <x:c r="C1702" t="e">
        <x:f>HYPERLINK("https://belberrycrm.bitrix24.ru/crm/deal/details/13472/","https://belberrycrm.bitrix24.ru/crm/deal/details/13472/")</x:f>
      </x:c>
      <x:c r="D1702" t="str">
        <x:v>Реанимация</x:v>
      </x:c>
      <x:c r="E1702" t="str">
        <x:v>База для реанимации</x:v>
      </x:c>
      <x:c r="F1702" t="str">
        <x:v>Админ всея Belberry</x:v>
      </x:c>
      <x:c r="G1702" t="str">
        <x:v>нет</x:v>
      </x:c>
      <x:c r="H1702" t="str">
        <x:v>нет</x:v>
      </x:c>
    </x:row>
    <x:row r="1703">
      <x:c r="A1703" t="str">
        <x:v>13476</x:v>
      </x:c>
      <x:c r="B1703" t="str">
        <x:v>demokrat-nn.ru</x:v>
      </x:c>
      <x:c r="C1703" t="e">
        <x:f>HYPERLINK("https://belberrycrm.bitrix24.ru/crm/deal/details/13476/","https://belberrycrm.bitrix24.ru/crm/deal/details/13476/")</x:f>
      </x:c>
      <x:c r="D1703" t="str">
        <x:v>Реанимация</x:v>
      </x:c>
      <x:c r="E1703" t="str">
        <x:v>База для реанимации</x:v>
      </x:c>
      <x:c r="F1703" t="str">
        <x:v>Админ всея Belberry</x:v>
      </x:c>
      <x:c r="G1703" t="str">
        <x:v>нет</x:v>
      </x:c>
      <x:c r="H1703" t="str">
        <x:v>нет</x:v>
      </x:c>
    </x:row>
    <x:row r="1704">
      <x:c r="A1704" t="str">
        <x:v>13482</x:v>
      </x:c>
      <x:c r="B1704" t="str">
        <x:v>Олег новая Клиника Казань</x:v>
      </x:c>
      <x:c r="C1704" t="e">
        <x:f>HYPERLINK("https://belberrycrm.bitrix24.ru/crm/deal/details/13482/","https://belberrycrm.bitrix24.ru/crm/deal/details/13482/")</x:f>
      </x:c>
      <x:c r="D1704" t="str">
        <x:v>Реанимация</x:v>
      </x:c>
      <x:c r="E1704" t="str">
        <x:v>База для реанимации</x:v>
      </x:c>
      <x:c r="F1704" t="str">
        <x:v>Админ всея Belberry</x:v>
      </x:c>
      <x:c r="G1704" t="str">
        <x:v>нет</x:v>
      </x:c>
      <x:c r="H1704" t="str">
        <x:v>нет</x:v>
      </x:c>
    </x:row>
    <x:row r="1705">
      <x:c r="A1705" t="str">
        <x:v>13486</x:v>
      </x:c>
      <x:c r="B1705" t="str">
        <x:v>translux.ru</x:v>
      </x:c>
      <x:c r="C1705" t="e">
        <x:f>HYPERLINK("https://belberrycrm.bitrix24.ru/crm/deal/details/13486/","https://belberrycrm.bitrix24.ru/crm/deal/details/13486/")</x:f>
      </x:c>
      <x:c r="D1705" t="str">
        <x:v>Реанимация</x:v>
      </x:c>
      <x:c r="E1705" t="str">
        <x:v>База для реанимации</x:v>
      </x:c>
      <x:c r="F1705" t="str">
        <x:v>Админ всея Belberry</x:v>
      </x:c>
      <x:c r="G1705" t="str">
        <x:v>нет</x:v>
      </x:c>
      <x:c r="H1705" t="str">
        <x:v>нет</x:v>
      </x:c>
    </x:row>
    <x:row r="1706">
      <x:c r="A1706" t="str">
        <x:v>13490</x:v>
      </x:c>
      <x:c r="B1706" t="str">
        <x:v>real-clinic.com</x:v>
      </x:c>
      <x:c r="C1706" t="e">
        <x:f>HYPERLINK("https://belberrycrm.bitrix24.ru/crm/deal/details/13490/","https://belberrycrm.bitrix24.ru/crm/deal/details/13490/")</x:f>
      </x:c>
      <x:c r="D1706" t="str">
        <x:v>Реанимация</x:v>
      </x:c>
      <x:c r="E1706" t="str">
        <x:v>База для реанимации</x:v>
      </x:c>
      <x:c r="F1706" t="str">
        <x:v>Админ всея Belberry</x:v>
      </x:c>
      <x:c r="G1706" t="str">
        <x:v>нет</x:v>
      </x:c>
      <x:c r="H1706" t="str">
        <x:v>нет</x:v>
      </x:c>
    </x:row>
    <x:row r="1707">
      <x:c r="A1707" t="str">
        <x:v>13492</x:v>
      </x:c>
      <x:c r="B1707" t="str">
        <x:v>Юлия - врач онколог</x:v>
      </x:c>
      <x:c r="C1707" t="e">
        <x:f>HYPERLINK("https://belberrycrm.bitrix24.ru/crm/deal/details/13492/","https://belberrycrm.bitrix24.ru/crm/deal/details/13492/")</x:f>
      </x:c>
      <x:c r="D1707" t="str">
        <x:v>Реанимация</x:v>
      </x:c>
      <x:c r="E1707" t="str">
        <x:v>База для реанимации</x:v>
      </x:c>
      <x:c r="F1707" t="str">
        <x:v>Админ всея Belberry</x:v>
      </x:c>
      <x:c r="G1707" t="str">
        <x:v>нет</x:v>
      </x:c>
      <x:c r="H1707" t="str">
        <x:v>нет</x:v>
      </x:c>
    </x:row>
    <x:row r="1708">
      <x:c r="A1708" t="str">
        <x:v>13496</x:v>
      </x:c>
      <x:c r="B1708" t="str">
        <x:v>Анастасия Третьякова</x:v>
      </x:c>
      <x:c r="C1708" t="e">
        <x:f>HYPERLINK("https://belberrycrm.bitrix24.ru/crm/deal/details/13496/","https://belberrycrm.bitrix24.ru/crm/deal/details/13496/")</x:f>
      </x:c>
      <x:c r="D1708" t="str">
        <x:v>Реанимация</x:v>
      </x:c>
      <x:c r="E1708" t="str">
        <x:v>База для реанимации</x:v>
      </x:c>
      <x:c r="F1708" t="str">
        <x:v>Админ всея Belberry</x:v>
      </x:c>
      <x:c r="G1708" t="str">
        <x:v>нет</x:v>
      </x:c>
      <x:c r="H1708" t="str">
        <x:v>нет</x:v>
      </x:c>
    </x:row>
    <x:row r="1709">
      <x:c r="A1709" t="str">
        <x:v>13498</x:v>
      </x:c>
      <x:c r="B1709" t="str">
        <x:v>selmedline.ru</x:v>
      </x:c>
      <x:c r="C1709" t="e">
        <x:f>HYPERLINK("https://belberrycrm.bitrix24.ru/crm/deal/details/13498/","https://belberrycrm.bitrix24.ru/crm/deal/details/13498/")</x:f>
      </x:c>
      <x:c r="D1709" t="str">
        <x:v>Реанимация</x:v>
      </x:c>
      <x:c r="E1709" t="str">
        <x:v>База для реанимации</x:v>
      </x:c>
      <x:c r="F1709" t="str">
        <x:v>Админ всея Belberry</x:v>
      </x:c>
      <x:c r="G1709" t="str">
        <x:v>нет</x:v>
      </x:c>
      <x:c r="H1709" t="str">
        <x:v>нет</x:v>
      </x:c>
    </x:row>
    <x:row r="1710">
      <x:c r="A1710" t="str">
        <x:v>13500</x:v>
      </x:c>
      <x:c r="B1710" t="str">
        <x:v>lumident24.ru</x:v>
      </x:c>
      <x:c r="C1710" t="e">
        <x:f>HYPERLINK("https://belberrycrm.bitrix24.ru/crm/deal/details/13500/","https://belberrycrm.bitrix24.ru/crm/deal/details/13500/")</x:f>
      </x:c>
      <x:c r="D1710" t="str">
        <x:v>Реанимация</x:v>
      </x:c>
      <x:c r="E1710" t="str">
        <x:v>База для реанимации</x:v>
      </x:c>
      <x:c r="F1710" t="str">
        <x:v>Админ всея Belberry</x:v>
      </x:c>
      <x:c r="G1710" t="str">
        <x:v>нет</x:v>
      </x:c>
      <x:c r="H1710" t="str">
        <x:v>нет</x:v>
      </x:c>
    </x:row>
    <x:row r="1711">
      <x:c r="A1711" t="str">
        <x:v>13502</x:v>
      </x:c>
      <x:c r="B1711" t="str">
        <x:v>valdent.ru</x:v>
      </x:c>
      <x:c r="C1711" t="e">
        <x:f>HYPERLINK("https://belberrycrm.bitrix24.ru/crm/deal/details/13502/","https://belberrycrm.bitrix24.ru/crm/deal/details/13502/")</x:f>
      </x:c>
      <x:c r="D1711" t="str">
        <x:v>Реанимация</x:v>
      </x:c>
      <x:c r="E1711" t="str">
        <x:v>База для реанимации</x:v>
      </x:c>
      <x:c r="F1711" t="str">
        <x:v>Админ всея Belberry</x:v>
      </x:c>
      <x:c r="G1711" t="str">
        <x:v>нет</x:v>
      </x:c>
      <x:c r="H1711" t="str">
        <x:v>нет</x:v>
      </x:c>
    </x:row>
    <x:row r="1712">
      <x:c r="A1712" t="str">
        <x:v>13504</x:v>
      </x:c>
      <x:c r="B1712" t="str">
        <x:v>rusonar.ru</x:v>
      </x:c>
      <x:c r="C1712" t="e">
        <x:f>HYPERLINK("https://belberrycrm.bitrix24.ru/crm/deal/details/13504/","https://belberrycrm.bitrix24.ru/crm/deal/details/13504/")</x:f>
      </x:c>
      <x:c r="D1712" t="str">
        <x:v>Реанимация</x:v>
      </x:c>
      <x:c r="E1712" t="str">
        <x:v>База для реанимации</x:v>
      </x:c>
      <x:c r="F1712" t="str">
        <x:v>Админ всея Belberry</x:v>
      </x:c>
      <x:c r="G1712" t="str">
        <x:v>да</x:v>
      </x:c>
      <x:c r="H1712" t="str">
        <x:v>нет</x:v>
      </x:c>
    </x:row>
    <x:row r="1713">
      <x:c r="A1713" t="str">
        <x:v>13506</x:v>
      </x:c>
      <x:c r="B1713" t="str">
        <x:v>подолограевская.рф</x:v>
      </x:c>
      <x:c r="C1713" t="e">
        <x:f>HYPERLINK("https://belberrycrm.bitrix24.ru/crm/deal/details/13506/","https://belberrycrm.bitrix24.ru/crm/deal/details/13506/")</x:f>
      </x:c>
      <x:c r="D1713" t="str">
        <x:v>Реанимация</x:v>
      </x:c>
      <x:c r="E1713" t="str">
        <x:v>База для реанимации</x:v>
      </x:c>
      <x:c r="F1713" t="str">
        <x:v>Админ всея Belberry</x:v>
      </x:c>
      <x:c r="G1713" t="str">
        <x:v>нет</x:v>
      </x:c>
      <x:c r="H1713" t="str">
        <x:v>нет</x:v>
      </x:c>
    </x:row>
    <x:row r="1714">
      <x:c r="A1714" t="str">
        <x:v>13510</x:v>
      </x:c>
      <x:c r="B1714" t="str">
        <x:v>avtor-stom.ru</x:v>
      </x:c>
      <x:c r="C1714" t="e">
        <x:f>HYPERLINK("https://belberrycrm.bitrix24.ru/crm/deal/details/13510/","https://belberrycrm.bitrix24.ru/crm/deal/details/13510/")</x:f>
      </x:c>
      <x:c r="D1714" t="str">
        <x:v>Реанимация</x:v>
      </x:c>
      <x:c r="E1714" t="str">
        <x:v>База для реанимации</x:v>
      </x:c>
      <x:c r="F1714" t="str">
        <x:v>Админ всея Belberry</x:v>
      </x:c>
      <x:c r="G1714" t="str">
        <x:v>да</x:v>
      </x:c>
      <x:c r="H1714" t="str">
        <x:v>нет</x:v>
      </x:c>
    </x:row>
    <x:row r="1715">
      <x:c r="A1715" t="str">
        <x:v>13516</x:v>
      </x:c>
      <x:c r="B1715" t="str">
        <x:v>amoriya.ru</x:v>
      </x:c>
      <x:c r="C1715" t="e">
        <x:f>HYPERLINK("https://belberrycrm.bitrix24.ru/crm/deal/details/13516/","https://belberrycrm.bitrix24.ru/crm/deal/details/13516/")</x:f>
      </x:c>
      <x:c r="D1715" t="str">
        <x:v>Реанимация</x:v>
      </x:c>
      <x:c r="E1715" t="str">
        <x:v>База для реанимации</x:v>
      </x:c>
      <x:c r="F1715" t="str">
        <x:v>Админ всея Belberry</x:v>
      </x:c>
      <x:c r="G1715" t="str">
        <x:v>да</x:v>
      </x:c>
      <x:c r="H1715" t="str">
        <x:v>нет</x:v>
      </x:c>
    </x:row>
    <x:row r="1716">
      <x:c r="A1716" t="str">
        <x:v>13518</x:v>
      </x:c>
      <x:c r="B1716" t="str">
        <x:v>westmed-st.ru</x:v>
      </x:c>
      <x:c r="C1716" t="e">
        <x:f>HYPERLINK("https://belberrycrm.bitrix24.ru/crm/deal/details/13518/","https://belberrycrm.bitrix24.ru/crm/deal/details/13518/")</x:f>
      </x:c>
      <x:c r="D1716" t="str">
        <x:v>Реанимация</x:v>
      </x:c>
      <x:c r="E1716" t="str">
        <x:v>База для реанимации</x:v>
      </x:c>
      <x:c r="F1716" t="str">
        <x:v>Админ всея Belberry</x:v>
      </x:c>
      <x:c r="G1716" t="str">
        <x:v>нет</x:v>
      </x:c>
      <x:c r="H1716" t="str">
        <x:v>нет</x:v>
      </x:c>
    </x:row>
    <x:row r="1717">
      <x:c r="A1717" t="str">
        <x:v>13520</x:v>
      </x:c>
      <x:c r="B1717" t="str">
        <x:v>Dental Studio Dynasty</x:v>
      </x:c>
      <x:c r="C1717" t="e">
        <x:f>HYPERLINK("https://belberrycrm.bitrix24.ru/crm/deal/details/13520/","https://belberrycrm.bitrix24.ru/crm/deal/details/13520/")</x:f>
      </x:c>
      <x:c r="D1717" t="str">
        <x:v>Реанимация</x:v>
      </x:c>
      <x:c r="E1717" t="str">
        <x:v>База для реанимации</x:v>
      </x:c>
      <x:c r="F1717" t="str">
        <x:v>Админ всея Belberry</x:v>
      </x:c>
      <x:c r="G1717" t="str">
        <x:v>нет</x:v>
      </x:c>
      <x:c r="H1717" t="str">
        <x:v>нет</x:v>
      </x:c>
    </x:row>
    <x:row r="1718">
      <x:c r="A1718" t="str">
        <x:v>13522</x:v>
      </x:c>
      <x:c r="B1718" t="str">
        <x:v>Стоматологиятула.рф</x:v>
      </x:c>
      <x:c r="C1718" t="e">
        <x:f>HYPERLINK("https://belberrycrm.bitrix24.ru/crm/deal/details/13522/","https://belberrycrm.bitrix24.ru/crm/deal/details/13522/")</x:f>
      </x:c>
      <x:c r="D1718" t="str">
        <x:v>Реанимация</x:v>
      </x:c>
      <x:c r="E1718" t="str">
        <x:v>База для реанимации</x:v>
      </x:c>
      <x:c r="F1718" t="str">
        <x:v>Админ всея Belberry</x:v>
      </x:c>
      <x:c r="G1718" t="str">
        <x:v>нет</x:v>
      </x:c>
      <x:c r="H1718" t="str">
        <x:v>нет</x:v>
      </x:c>
    </x:row>
    <x:row r="1719">
      <x:c r="A1719" t="str">
        <x:v>13524</x:v>
      </x:c>
      <x:c r="B1719" t="str">
        <x:v>sharnele.ru</x:v>
      </x:c>
      <x:c r="C1719" t="e">
        <x:f>HYPERLINK("https://belberrycrm.bitrix24.ru/crm/deal/details/13524/","https://belberrycrm.bitrix24.ru/crm/deal/details/13524/")</x:f>
      </x:c>
      <x:c r="D1719" t="str">
        <x:v>Реанимация</x:v>
      </x:c>
      <x:c r="E1719" t="str">
        <x:v>База для реанимации</x:v>
      </x:c>
      <x:c r="F1719" t="str">
        <x:v>Админ всея Belberry</x:v>
      </x:c>
      <x:c r="G1719" t="str">
        <x:v>нет</x:v>
      </x:c>
      <x:c r="H1719" t="str">
        <x:v>нет</x:v>
      </x:c>
    </x:row>
    <x:row r="1720">
      <x:c r="A1720" t="str">
        <x:v>13530</x:v>
      </x:c>
      <x:c r="B1720" t="str">
        <x:v>ЛиДи Центр Здоровья Зубов</x:v>
      </x:c>
      <x:c r="C1720" t="e">
        <x:f>HYPERLINK("https://belberrycrm.bitrix24.ru/crm/deal/details/13530/","https://belberrycrm.bitrix24.ru/crm/deal/details/13530/")</x:f>
      </x:c>
      <x:c r="D1720" t="str">
        <x:v>Реанимация</x:v>
      </x:c>
      <x:c r="E1720" t="str">
        <x:v>База для реанимации</x:v>
      </x:c>
      <x:c r="F1720" t="str">
        <x:v>Админ всея Belberry</x:v>
      </x:c>
      <x:c r="G1720" t="str">
        <x:v>нет</x:v>
      </x:c>
      <x:c r="H1720" t="str">
        <x:v>нет</x:v>
      </x:c>
    </x:row>
    <x:row r="1721">
      <x:c r="A1721" t="str">
        <x:v>13540</x:v>
      </x:c>
      <x:c r="B1721" t="str">
        <x:v>aquatoria2003.ru</x:v>
      </x:c>
      <x:c r="C1721" t="e">
        <x:f>HYPERLINK("https://belberrycrm.bitrix24.ru/crm/deal/details/13540/","https://belberrycrm.bitrix24.ru/crm/deal/details/13540/")</x:f>
      </x:c>
      <x:c r="D1721" t="str">
        <x:v>Реанимация</x:v>
      </x:c>
      <x:c r="E1721" t="str">
        <x:v>База для реанимации</x:v>
      </x:c>
      <x:c r="F1721" t="str">
        <x:v>Админ всея Belberry</x:v>
      </x:c>
      <x:c r="G1721" t="str">
        <x:v>нет</x:v>
      </x:c>
      <x:c r="H1721" t="str">
        <x:v>нет</x:v>
      </x:c>
    </x:row>
    <x:row r="1722">
      <x:c r="A1722" t="str">
        <x:v>13548</x:v>
      </x:c>
      <x:c r="B1722" t="str">
        <x:v>prima-dentale-salon.ru</x:v>
      </x:c>
      <x:c r="C1722" t="e">
        <x:f>HYPERLINK("https://belberrycrm.bitrix24.ru/crm/deal/details/13548/","https://belberrycrm.bitrix24.ru/crm/deal/details/13548/")</x:f>
      </x:c>
      <x:c r="D1722" t="str">
        <x:v>Реанимация</x:v>
      </x:c>
      <x:c r="E1722" t="str">
        <x:v>База для реанимации</x:v>
      </x:c>
      <x:c r="F1722" t="str">
        <x:v>Админ всея Belberry</x:v>
      </x:c>
      <x:c r="G1722" t="str">
        <x:v>нет</x:v>
      </x:c>
      <x:c r="H1722" t="str">
        <x:v>нет</x:v>
      </x:c>
    </x:row>
    <x:row r="1723">
      <x:c r="A1723" t="str">
        <x:v>13554</x:v>
      </x:c>
      <x:c r="B1723" t="str">
        <x:v>selenamedkor.ru</x:v>
      </x:c>
      <x:c r="C1723" t="e">
        <x:f>HYPERLINK("https://belberrycrm.bitrix24.ru/crm/deal/details/13554/","https://belberrycrm.bitrix24.ru/crm/deal/details/13554/")</x:f>
      </x:c>
      <x:c r="D1723" t="str">
        <x:v>Реанимация</x:v>
      </x:c>
      <x:c r="E1723" t="str">
        <x:v>База для реанимации</x:v>
      </x:c>
      <x:c r="F1723" t="str">
        <x:v>Админ всея Belberry</x:v>
      </x:c>
      <x:c r="G1723" t="str">
        <x:v>нет</x:v>
      </x:c>
      <x:c r="H1723" t="str">
        <x:v>нет</x:v>
      </x:c>
    </x:row>
    <x:row r="1724">
      <x:c r="A1724" t="str">
        <x:v>13560</x:v>
      </x:c>
      <x:c r="B1724" t="str">
        <x:v>Лор дент медицинский центр</x:v>
      </x:c>
      <x:c r="C1724" t="e">
        <x:f>HYPERLINK("https://belberrycrm.bitrix24.ru/crm/deal/details/13560/","https://belberrycrm.bitrix24.ru/crm/deal/details/13560/")</x:f>
      </x:c>
      <x:c r="D1724" t="str">
        <x:v>Реанимация</x:v>
      </x:c>
      <x:c r="E1724" t="str">
        <x:v>База для реанимации</x:v>
      </x:c>
      <x:c r="F1724" t="str">
        <x:v>Админ всея Belberry</x:v>
      </x:c>
      <x:c r="G1724" t="str">
        <x:v>нет</x:v>
      </x:c>
      <x:c r="H1724" t="str">
        <x:v>нет</x:v>
      </x:c>
    </x:row>
    <x:row r="1725">
      <x:c r="A1725" t="str">
        <x:v>13564</x:v>
      </x:c>
      <x:c r="B1725" t="str">
        <x:v>laserp.ru</x:v>
      </x:c>
      <x:c r="C1725" t="e">
        <x:f>HYPERLINK("https://belberrycrm.bitrix24.ru/crm/deal/details/13564/","https://belberrycrm.bitrix24.ru/crm/deal/details/13564/")</x:f>
      </x:c>
      <x:c r="D1725" t="str">
        <x:v>Реанимация</x:v>
      </x:c>
      <x:c r="E1725" t="str">
        <x:v>База для реанимации</x:v>
      </x:c>
      <x:c r="F1725" t="str">
        <x:v>Админ всея Belberry</x:v>
      </x:c>
      <x:c r="G1725" t="str">
        <x:v>нет</x:v>
      </x:c>
      <x:c r="H1725" t="str">
        <x:v>нет</x:v>
      </x:c>
    </x:row>
    <x:row r="1726">
      <x:c r="A1726" t="str">
        <x:v>13572</x:v>
      </x:c>
      <x:c r="B1726" t="str">
        <x:v>VitalDent</x:v>
      </x:c>
      <x:c r="C1726" t="e">
        <x:f>HYPERLINK("https://belberrycrm.bitrix24.ru/crm/deal/details/13572/","https://belberrycrm.bitrix24.ru/crm/deal/details/13572/")</x:f>
      </x:c>
      <x:c r="D1726" t="str">
        <x:v>Реанимация</x:v>
      </x:c>
      <x:c r="E1726" t="str">
        <x:v>База для реанимации</x:v>
      </x:c>
      <x:c r="F1726" t="str">
        <x:v>Админ всея Belberry</x:v>
      </x:c>
      <x:c r="G1726" t="str">
        <x:v>нет</x:v>
      </x:c>
      <x:c r="H1726" t="str">
        <x:v>нет</x:v>
      </x:c>
    </x:row>
    <x:row r="1727">
      <x:c r="A1727" t="str">
        <x:v>13574</x:v>
      </x:c>
      <x:c r="B1727" t="str">
        <x:v>weonefamily.ru</x:v>
      </x:c>
      <x:c r="C1727" t="e">
        <x:f>HYPERLINK("https://belberrycrm.bitrix24.ru/crm/deal/details/13574/","https://belberrycrm.bitrix24.ru/crm/deal/details/13574/")</x:f>
      </x:c>
      <x:c r="D1727" t="str">
        <x:v>Реанимация</x:v>
      </x:c>
      <x:c r="E1727" t="str">
        <x:v>База для реанимации</x:v>
      </x:c>
      <x:c r="F1727" t="str">
        <x:v>Админ всея Belberry</x:v>
      </x:c>
      <x:c r="G1727" t="str">
        <x:v>да</x:v>
      </x:c>
      <x:c r="H1727" t="str">
        <x:v>нет</x:v>
      </x:c>
    </x:row>
    <x:row r="1728">
      <x:c r="A1728" t="str">
        <x:v>13576</x:v>
      </x:c>
      <x:c r="B1728" t="str">
        <x:v>o-estestvenno.ru</x:v>
      </x:c>
      <x:c r="C1728" t="e">
        <x:f>HYPERLINK("https://belberrycrm.bitrix24.ru/crm/deal/details/13576/","https://belberrycrm.bitrix24.ru/crm/deal/details/13576/")</x:f>
      </x:c>
      <x:c r="D1728" t="str">
        <x:v>Реанимация</x:v>
      </x:c>
      <x:c r="E1728" t="str">
        <x:v>База для реанимации</x:v>
      </x:c>
      <x:c r="F1728" t="str">
        <x:v>Админ всея Belberry</x:v>
      </x:c>
      <x:c r="G1728" t="str">
        <x:v>нет</x:v>
      </x:c>
      <x:c r="H1728" t="str">
        <x:v>нет</x:v>
      </x:c>
    </x:row>
    <x:row r="1729">
      <x:c r="A1729" t="str">
        <x:v>13578</x:v>
      </x:c>
      <x:c r="B1729" t="str">
        <x:v>cls-clinic.ru</x:v>
      </x:c>
      <x:c r="C1729" t="e">
        <x:f>HYPERLINK("https://belberrycrm.bitrix24.ru/crm/deal/details/13578/","https://belberrycrm.bitrix24.ru/crm/deal/details/13578/")</x:f>
      </x:c>
      <x:c r="D1729" t="str">
        <x:v>Реанимация</x:v>
      </x:c>
      <x:c r="E1729" t="str">
        <x:v>База для реанимации</x:v>
      </x:c>
      <x:c r="F1729" t="str">
        <x:v>Админ всея Belberry</x:v>
      </x:c>
      <x:c r="G1729" t="str">
        <x:v>нет</x:v>
      </x:c>
      <x:c r="H1729" t="str">
        <x:v>нет</x:v>
      </x:c>
    </x:row>
    <x:row r="1730">
      <x:c r="A1730" t="str">
        <x:v>13582</x:v>
      </x:c>
      <x:c r="B1730" t="str">
        <x:v>cimripm.ru</x:v>
      </x:c>
      <x:c r="C1730" t="e">
        <x:f>HYPERLINK("https://belberrycrm.bitrix24.ru/crm/deal/details/13582/","https://belberrycrm.bitrix24.ru/crm/deal/details/13582/")</x:f>
      </x:c>
      <x:c r="D1730" t="str">
        <x:v>Реанимация</x:v>
      </x:c>
      <x:c r="E1730" t="str">
        <x:v>База для реанимации</x:v>
      </x:c>
      <x:c r="F1730" t="str">
        <x:v>Админ всея Belberry</x:v>
      </x:c>
      <x:c r="G1730" t="str">
        <x:v>нет</x:v>
      </x:c>
      <x:c r="H1730" t="str">
        <x:v>нет</x:v>
      </x:c>
    </x:row>
    <x:row r="1731">
      <x:c r="A1731" t="str">
        <x:v>13586</x:v>
      </x:c>
      <x:c r="B1731" t="str">
        <x:v>Сеть клиник НЕ БОЛЬНО</x:v>
      </x:c>
      <x:c r="C1731" t="e">
        <x:f>HYPERLINK("https://belberrycrm.bitrix24.ru/crm/deal/details/13586/","https://belberrycrm.bitrix24.ru/crm/deal/details/13586/")</x:f>
      </x:c>
      <x:c r="D1731" t="str">
        <x:v>Реанимация</x:v>
      </x:c>
      <x:c r="E1731" t="str">
        <x:v>База для реанимации</x:v>
      </x:c>
      <x:c r="F1731" t="str">
        <x:v>Админ всея Belberry</x:v>
      </x:c>
      <x:c r="G1731" t="str">
        <x:v>нет</x:v>
      </x:c>
      <x:c r="H1731" t="str">
        <x:v>нет</x:v>
      </x:c>
    </x:row>
    <x:row r="1732">
      <x:c r="A1732" t="str">
        <x:v>13588</x:v>
      </x:c>
      <x:c r="B1732" t="str">
        <x:v>pl-sfera.ru</x:v>
      </x:c>
      <x:c r="C1732" t="e">
        <x:f>HYPERLINK("https://belberrycrm.bitrix24.ru/crm/deal/details/13588/","https://belberrycrm.bitrix24.ru/crm/deal/details/13588/")</x:f>
      </x:c>
      <x:c r="D1732" t="str">
        <x:v>Реанимация</x:v>
      </x:c>
      <x:c r="E1732" t="str">
        <x:v>База для реанимации</x:v>
      </x:c>
      <x:c r="F1732" t="str">
        <x:v>Админ всея Belberry</x:v>
      </x:c>
      <x:c r="G1732" t="str">
        <x:v>да</x:v>
      </x:c>
      <x:c r="H1732" t="str">
        <x:v>нет</x:v>
      </x:c>
    </x:row>
    <x:row r="1733">
      <x:c r="A1733" t="str">
        <x:v>13592</x:v>
      </x:c>
      <x:c r="B1733" t="str">
        <x:v>glazy.ru</x:v>
      </x:c>
      <x:c r="C1733" t="e">
        <x:f>HYPERLINK("https://belberrycrm.bitrix24.ru/crm/deal/details/13592/","https://belberrycrm.bitrix24.ru/crm/deal/details/13592/")</x:f>
      </x:c>
      <x:c r="D1733" t="str">
        <x:v>Реанимация</x:v>
      </x:c>
      <x:c r="E1733" t="str">
        <x:v>База для реанимации</x:v>
      </x:c>
      <x:c r="F1733" t="str">
        <x:v>Админ всея Belberry</x:v>
      </x:c>
      <x:c r="G1733" t="str">
        <x:v>нет</x:v>
      </x:c>
      <x:c r="H1733" t="str">
        <x:v>нет</x:v>
      </x:c>
    </x:row>
    <x:row r="1734">
      <x:c r="A1734" t="str">
        <x:v>13600</x:v>
      </x:c>
      <x:c r="B1734" t="str">
        <x:v>ec-line.ru</x:v>
      </x:c>
      <x:c r="C1734" t="e">
        <x:f>HYPERLINK("https://belberrycrm.bitrix24.ru/crm/deal/details/13600/","https://belberrycrm.bitrix24.ru/crm/deal/details/13600/")</x:f>
      </x:c>
      <x:c r="D1734" t="str">
        <x:v>Реанимация</x:v>
      </x:c>
      <x:c r="E1734" t="str">
        <x:v>База для реанимации</x:v>
      </x:c>
      <x:c r="F1734" t="str">
        <x:v>Админ всея Belberry</x:v>
      </x:c>
      <x:c r="G1734" t="str">
        <x:v>нет</x:v>
      </x:c>
      <x:c r="H1734" t="str">
        <x:v>нет</x:v>
      </x:c>
    </x:row>
    <x:row r="1735">
      <x:c r="A1735" t="str">
        <x:v>13602</x:v>
      </x:c>
      <x:c r="B1735" t="str">
        <x:v>gmmedical.ru</x:v>
      </x:c>
      <x:c r="C1735" t="e">
        <x:f>HYPERLINK("https://belberrycrm.bitrix24.ru/crm/deal/details/13602/","https://belberrycrm.bitrix24.ru/crm/deal/details/13602/")</x:f>
      </x:c>
      <x:c r="D1735" t="str">
        <x:v>Реанимация</x:v>
      </x:c>
      <x:c r="E1735" t="str">
        <x:v>База для реанимации</x:v>
      </x:c>
      <x:c r="F1735" t="str">
        <x:v>Админ всея Belberry</x:v>
      </x:c>
      <x:c r="G1735" t="str">
        <x:v>нет</x:v>
      </x:c>
      <x:c r="H1735" t="str">
        <x:v>нет</x:v>
      </x:c>
    </x:row>
    <x:row r="1736">
      <x:c r="A1736" t="str">
        <x:v>13606</x:v>
      </x:c>
      <x:c r="B1736" t="str">
        <x:v>charm-dental.ru</x:v>
      </x:c>
      <x:c r="C1736" t="e">
        <x:f>HYPERLINK("https://belberrycrm.bitrix24.ru/crm/deal/details/13606/","https://belberrycrm.bitrix24.ru/crm/deal/details/13606/")</x:f>
      </x:c>
      <x:c r="D1736" t="str">
        <x:v>Реанимация</x:v>
      </x:c>
      <x:c r="E1736" t="str">
        <x:v>База для реанимации</x:v>
      </x:c>
      <x:c r="F1736" t="str">
        <x:v>Админ всея Belberry</x:v>
      </x:c>
      <x:c r="G1736" t="str">
        <x:v>нет</x:v>
      </x:c>
      <x:c r="H1736" t="str">
        <x:v>нет</x:v>
      </x:c>
    </x:row>
    <x:row r="1737">
      <x:c r="A1737" t="str">
        <x:v>13610</x:v>
      </x:c>
      <x:c r="B1737" t="str">
        <x:v>akrs.ru</x:v>
      </x:c>
      <x:c r="C1737" t="e">
        <x:f>HYPERLINK("https://belberrycrm.bitrix24.ru/crm/deal/details/13610/","https://belberrycrm.bitrix24.ru/crm/deal/details/13610/")</x:f>
      </x:c>
      <x:c r="D1737" t="str">
        <x:v>Реанимация</x:v>
      </x:c>
      <x:c r="E1737" t="str">
        <x:v>База для реанимации</x:v>
      </x:c>
      <x:c r="F1737" t="str">
        <x:v>Админ всея Belberry</x:v>
      </x:c>
      <x:c r="G1737" t="str">
        <x:v>нет</x:v>
      </x:c>
      <x:c r="H1737" t="str">
        <x:v>нет</x:v>
      </x:c>
    </x:row>
    <x:row r="1738">
      <x:c r="A1738" t="str">
        <x:v>13612</x:v>
      </x:c>
      <x:c r="B1738" t="str">
        <x:v>onixstom.ru</x:v>
      </x:c>
      <x:c r="C1738" t="e">
        <x:f>HYPERLINK("https://belberrycrm.bitrix24.ru/crm/deal/details/13612/","https://belberrycrm.bitrix24.ru/crm/deal/details/13612/")</x:f>
      </x:c>
      <x:c r="D1738" t="str">
        <x:v>Реанимация</x:v>
      </x:c>
      <x:c r="E1738" t="str">
        <x:v>База для реанимации</x:v>
      </x:c>
      <x:c r="F1738" t="str">
        <x:v>Админ всея Belberry</x:v>
      </x:c>
      <x:c r="G1738" t="str">
        <x:v>нет</x:v>
      </x:c>
      <x:c r="H1738" t="str">
        <x:v>нет</x:v>
      </x:c>
    </x:row>
    <x:row r="1739">
      <x:c r="A1739" t="str">
        <x:v>13616</x:v>
      </x:c>
      <x:c r="B1739" t="str">
        <x:v>Евгения Солопенкова (личный бренд врача косметолога)</x:v>
      </x:c>
      <x:c r="C1739" t="e">
        <x:f>HYPERLINK("https://belberrycrm.bitrix24.ru/crm/deal/details/13616/","https://belberrycrm.bitrix24.ru/crm/deal/details/13616/")</x:f>
      </x:c>
      <x:c r="D1739" t="str">
        <x:v>Реанимация</x:v>
      </x:c>
      <x:c r="E1739" t="str">
        <x:v>База для реанимации</x:v>
      </x:c>
      <x:c r="F1739" t="str">
        <x:v>Админ всея Belberry</x:v>
      </x:c>
      <x:c r="G1739" t="str">
        <x:v>нет</x:v>
      </x:c>
      <x:c r="H1739" t="str">
        <x:v>нет</x:v>
      </x:c>
    </x:row>
    <x:row r="1740">
      <x:c r="A1740" t="str">
        <x:v>13620</x:v>
      </x:c>
      <x:c r="B1740" t="str">
        <x:v>Кирилл Вход Акула</x:v>
      </x:c>
      <x:c r="C1740" t="e">
        <x:f>HYPERLINK("https://belberrycrm.bitrix24.ru/crm/deal/details/13620/","https://belberrycrm.bitrix24.ru/crm/deal/details/13620/")</x:f>
      </x:c>
      <x:c r="D1740" t="str">
        <x:v>Реанимация</x:v>
      </x:c>
      <x:c r="E1740" t="str">
        <x:v>База для реанимации</x:v>
      </x:c>
      <x:c r="F1740" t="str">
        <x:v>Админ всея Belberry</x:v>
      </x:c>
      <x:c r="G1740" t="str">
        <x:v>нет</x:v>
      </x:c>
      <x:c r="H1740" t="str">
        <x:v>нет</x:v>
      </x:c>
    </x:row>
    <x:row r="1741">
      <x:c r="A1741" t="str">
        <x:v>13624</x:v>
      </x:c>
      <x:c r="B1741" t="str">
        <x:v>articon-clinic.ru</x:v>
      </x:c>
      <x:c r="C1741" t="e">
        <x:f>HYPERLINK("https://belberrycrm.bitrix24.ru/crm/deal/details/13624/","https://belberrycrm.bitrix24.ru/crm/deal/details/13624/")</x:f>
      </x:c>
      <x:c r="D1741" t="str">
        <x:v>Реанимация</x:v>
      </x:c>
      <x:c r="E1741" t="str">
        <x:v>База для реанимации</x:v>
      </x:c>
      <x:c r="F1741" t="str">
        <x:v>Админ всея Belberry</x:v>
      </x:c>
      <x:c r="G1741" t="str">
        <x:v>нет</x:v>
      </x:c>
      <x:c r="H1741" t="str">
        <x:v>нет</x:v>
      </x:c>
    </x:row>
    <x:row r="1742">
      <x:c r="A1742" t="str">
        <x:v>13628</x:v>
      </x:c>
      <x:c r="B1742" t="str">
        <x:v>narcologos.ru</x:v>
      </x:c>
      <x:c r="C1742" t="e">
        <x:f>HYPERLINK("https://belberrycrm.bitrix24.ru/crm/deal/details/13628/","https://belberrycrm.bitrix24.ru/crm/deal/details/13628/")</x:f>
      </x:c>
      <x:c r="D1742" t="str">
        <x:v>Реанимация</x:v>
      </x:c>
      <x:c r="E1742" t="str">
        <x:v>База для реанимации</x:v>
      </x:c>
      <x:c r="F1742" t="str">
        <x:v>Админ всея Belberry</x:v>
      </x:c>
      <x:c r="G1742" t="str">
        <x:v>да</x:v>
      </x:c>
      <x:c r="H1742" t="str">
        <x:v>нет</x:v>
      </x:c>
    </x:row>
    <x:row r="1743">
      <x:c r="A1743" t="str">
        <x:v>13630</x:v>
      </x:c>
      <x:c r="B1743" t="str">
        <x:v>agrisale.ru</x:v>
      </x:c>
      <x:c r="C1743" t="e">
        <x:f>HYPERLINK("https://belberrycrm.bitrix24.ru/crm/deal/details/13630/","https://belberrycrm.bitrix24.ru/crm/deal/details/13630/")</x:f>
      </x:c>
      <x:c r="D1743" t="str">
        <x:v>Реанимация</x:v>
      </x:c>
      <x:c r="E1743" t="str">
        <x:v>База для реанимации</x:v>
      </x:c>
      <x:c r="F1743" t="str">
        <x:v>Админ всея Belberry</x:v>
      </x:c>
      <x:c r="G1743" t="str">
        <x:v>нет</x:v>
      </x:c>
      <x:c r="H1743" t="str">
        <x:v>нет</x:v>
      </x:c>
    </x:row>
    <x:row r="1744">
      <x:c r="A1744" t="str">
        <x:v>13634</x:v>
      </x:c>
      <x:c r="B1744" t="str">
        <x:v>Dr kosachenko</x:v>
      </x:c>
      <x:c r="C1744" t="e">
        <x:f>HYPERLINK("https://belberrycrm.bitrix24.ru/crm/deal/details/13634/","https://belberrycrm.bitrix24.ru/crm/deal/details/13634/")</x:f>
      </x:c>
      <x:c r="D1744" t="str">
        <x:v>Реанимация</x:v>
      </x:c>
      <x:c r="E1744" t="str">
        <x:v>База для реанимации</x:v>
      </x:c>
      <x:c r="F1744" t="str">
        <x:v>Админ всея Belberry</x:v>
      </x:c>
      <x:c r="G1744" t="str">
        <x:v>нет</x:v>
      </x:c>
      <x:c r="H1744" t="str">
        <x:v>нет</x:v>
      </x:c>
    </x:row>
    <x:row r="1745">
      <x:c r="A1745" t="str">
        <x:v>13636</x:v>
      </x:c>
      <x:c r="B1745" t="str">
        <x:v>zvktools.ru</x:v>
      </x:c>
      <x:c r="C1745" t="e">
        <x:f>HYPERLINK("https://belberrycrm.bitrix24.ru/crm/deal/details/13636/","https://belberrycrm.bitrix24.ru/crm/deal/details/13636/")</x:f>
      </x:c>
      <x:c r="D1745" t="str">
        <x:v>Реанимация</x:v>
      </x:c>
      <x:c r="E1745" t="str">
        <x:v>База для реанимации</x:v>
      </x:c>
      <x:c r="F1745" t="str">
        <x:v>Админ всея Belberry</x:v>
      </x:c>
      <x:c r="G1745" t="str">
        <x:v>нет</x:v>
      </x:c>
      <x:c r="H1745" t="str">
        <x:v>нет</x:v>
      </x:c>
    </x:row>
    <x:row r="1746">
      <x:c r="A1746" t="str">
        <x:v>13640</x:v>
      </x:c>
      <x:c r="B1746" t="str">
        <x:v>evrodent15.ru</x:v>
      </x:c>
      <x:c r="C1746" t="e">
        <x:f>HYPERLINK("https://belberrycrm.bitrix24.ru/crm/deal/details/13640/","https://belberrycrm.bitrix24.ru/crm/deal/details/13640/")</x:f>
      </x:c>
      <x:c r="D1746" t="str">
        <x:v>Реанимация</x:v>
      </x:c>
      <x:c r="E1746" t="str">
        <x:v>База для реанимации</x:v>
      </x:c>
      <x:c r="F1746" t="str">
        <x:v>Админ всея Belberry</x:v>
      </x:c>
      <x:c r="G1746" t="str">
        <x:v>нет</x:v>
      </x:c>
      <x:c r="H1746" t="str">
        <x:v>нет</x:v>
      </x:c>
    </x:row>
    <x:row r="1747">
      <x:c r="A1747" t="str">
        <x:v>13646</x:v>
      </x:c>
      <x:c r="B1747" t="str">
        <x:v>dentamir2000.ru</x:v>
      </x:c>
      <x:c r="C1747" t="e">
        <x:f>HYPERLINK("https://belberrycrm.bitrix24.ru/crm/deal/details/13646/","https://belberrycrm.bitrix24.ru/crm/deal/details/13646/")</x:f>
      </x:c>
      <x:c r="D1747" t="str">
        <x:v>Реанимация</x:v>
      </x:c>
      <x:c r="E1747" t="str">
        <x:v>База для реанимации</x:v>
      </x:c>
      <x:c r="F1747" t="str">
        <x:v>Админ всея Belberry</x:v>
      </x:c>
      <x:c r="G1747" t="str">
        <x:v>нет</x:v>
      </x:c>
      <x:c r="H1747" t="str">
        <x:v>нет</x:v>
      </x:c>
    </x:row>
    <x:row r="1748">
      <x:c r="A1748" t="str">
        <x:v>13648</x:v>
      </x:c>
      <x:c r="B1748" t="str">
        <x:v>zubnoy-doktor.ru</x:v>
      </x:c>
      <x:c r="C1748" t="e">
        <x:f>HYPERLINK("https://belberrycrm.bitrix24.ru/crm/deal/details/13648/","https://belberrycrm.bitrix24.ru/crm/deal/details/13648/")</x:f>
      </x:c>
      <x:c r="D1748" t="str">
        <x:v>Реанимация</x:v>
      </x:c>
      <x:c r="E1748" t="str">
        <x:v>База для реанимации</x:v>
      </x:c>
      <x:c r="F1748" t="str">
        <x:v>Админ всея Belberry</x:v>
      </x:c>
      <x:c r="G1748" t="str">
        <x:v>нет</x:v>
      </x:c>
      <x:c r="H1748" t="str">
        <x:v>нет</x:v>
      </x:c>
    </x:row>
    <x:row r="1749">
      <x:c r="A1749" t="str">
        <x:v>13650</x:v>
      </x:c>
      <x:c r="B1749" t="str">
        <x:v>underson.clinic</x:v>
      </x:c>
      <x:c r="C1749" t="e">
        <x:f>HYPERLINK("https://belberrycrm.bitrix24.ru/crm/deal/details/13650/","https://belberrycrm.bitrix24.ru/crm/deal/details/13650/")</x:f>
      </x:c>
      <x:c r="D1749" t="str">
        <x:v>Реанимация</x:v>
      </x:c>
      <x:c r="E1749" t="str">
        <x:v>База для реанимации</x:v>
      </x:c>
      <x:c r="F1749" t="str">
        <x:v>Админ всея Belberry</x:v>
      </x:c>
      <x:c r="G1749" t="str">
        <x:v>нет</x:v>
      </x:c>
      <x:c r="H1749" t="str">
        <x:v>нет</x:v>
      </x:c>
    </x:row>
    <x:row r="1750">
      <x:c r="A1750" t="str">
        <x:v>13652</x:v>
      </x:c>
      <x:c r="B1750" t="str">
        <x:v>mobreb.ru</x:v>
      </x:c>
      <x:c r="C1750" t="e">
        <x:f>HYPERLINK("https://belberrycrm.bitrix24.ru/crm/deal/details/13652/","https://belberrycrm.bitrix24.ru/crm/deal/details/13652/")</x:f>
      </x:c>
      <x:c r="D1750" t="str">
        <x:v>Реанимация</x:v>
      </x:c>
      <x:c r="E1750" t="str">
        <x:v>База для реанимации</x:v>
      </x:c>
      <x:c r="F1750" t="str">
        <x:v>Админ всея Belberry</x:v>
      </x:c>
      <x:c r="G1750" t="str">
        <x:v>нет</x:v>
      </x:c>
      <x:c r="H1750" t="str">
        <x:v>нет</x:v>
      </x:c>
    </x:row>
    <x:row r="1751">
      <x:c r="A1751" t="str">
        <x:v>13658</x:v>
      </x:c>
      <x:c r="B1751" t="str">
        <x:v>st-louise.com</x:v>
      </x:c>
      <x:c r="C1751" t="e">
        <x:f>HYPERLINK("https://belberrycrm.bitrix24.ru/crm/deal/details/13658/","https://belberrycrm.bitrix24.ru/crm/deal/details/13658/")</x:f>
      </x:c>
      <x:c r="D1751" t="str">
        <x:v>Реанимация</x:v>
      </x:c>
      <x:c r="E1751" t="str">
        <x:v>База для реанимации</x:v>
      </x:c>
      <x:c r="F1751" t="str">
        <x:v>Админ всея Belberry</x:v>
      </x:c>
      <x:c r="G1751" t="str">
        <x:v>нет</x:v>
      </x:c>
      <x:c r="H1751" t="str">
        <x:v>нет</x:v>
      </x:c>
    </x:row>
    <x:row r="1752">
      <x:c r="A1752" t="str">
        <x:v>13662</x:v>
      </x:c>
      <x:c r="B1752" t="str">
        <x:v>stepmedicals.com</x:v>
      </x:c>
      <x:c r="C1752" t="e">
        <x:f>HYPERLINK("https://belberrycrm.bitrix24.ru/crm/deal/details/13662/","https://belberrycrm.bitrix24.ru/crm/deal/details/13662/")</x:f>
      </x:c>
      <x:c r="D1752" t="str">
        <x:v>Реанимация</x:v>
      </x:c>
      <x:c r="E1752" t="str">
        <x:v>База для реанимации</x:v>
      </x:c>
      <x:c r="F1752" t="str">
        <x:v>Админ всея Belberry</x:v>
      </x:c>
      <x:c r="G1752" t="str">
        <x:v>нет</x:v>
      </x:c>
      <x:c r="H1752" t="str">
        <x:v>нет</x:v>
      </x:c>
    </x:row>
    <x:row r="1753">
      <x:c r="A1753" t="str">
        <x:v>13668</x:v>
      </x:c>
      <x:c r="B1753" t="str">
        <x:v>andreevawedding.ru</x:v>
      </x:c>
      <x:c r="C1753" t="e">
        <x:f>HYPERLINK("https://belberrycrm.bitrix24.ru/crm/deal/details/13668/","https://belberrycrm.bitrix24.ru/crm/deal/details/13668/")</x:f>
      </x:c>
      <x:c r="D1753" t="str">
        <x:v>Реанимация</x:v>
      </x:c>
      <x:c r="E1753" t="str">
        <x:v>База для реанимации</x:v>
      </x:c>
      <x:c r="F1753" t="str">
        <x:v>Админ всея Belberry</x:v>
      </x:c>
      <x:c r="G1753" t="str">
        <x:v>нет</x:v>
      </x:c>
      <x:c r="H1753" t="str">
        <x:v>нет</x:v>
      </x:c>
    </x:row>
    <x:row r="1754">
      <x:c r="A1754" t="str">
        <x:v>13670</x:v>
      </x:c>
      <x:c r="B1754" t="str">
        <x:v>agent-v-kitae.com</x:v>
      </x:c>
      <x:c r="C1754" t="e">
        <x:f>HYPERLINK("https://belberrycrm.bitrix24.ru/crm/deal/details/13670/","https://belberrycrm.bitrix24.ru/crm/deal/details/13670/")</x:f>
      </x:c>
      <x:c r="D1754" t="str">
        <x:v>Реанимация</x:v>
      </x:c>
      <x:c r="E1754" t="str">
        <x:v>База для реанимации</x:v>
      </x:c>
      <x:c r="F1754" t="str">
        <x:v>Админ всея Belberry</x:v>
      </x:c>
      <x:c r="G1754" t="str">
        <x:v>нет</x:v>
      </x:c>
      <x:c r="H1754" t="str">
        <x:v>нет</x:v>
      </x:c>
    </x:row>
    <x:row r="1755">
      <x:c r="A1755" t="str">
        <x:v>13676</x:v>
      </x:c>
      <x:c r="B1755" t="str">
        <x:v>svo.aero</x:v>
      </x:c>
      <x:c r="C1755" t="e">
        <x:f>HYPERLINK("https://belberrycrm.bitrix24.ru/crm/deal/details/13676/","https://belberrycrm.bitrix24.ru/crm/deal/details/13676/")</x:f>
      </x:c>
      <x:c r="D1755" t="str">
        <x:v>Реанимация</x:v>
      </x:c>
      <x:c r="E1755" t="str">
        <x:v>База для реанимации</x:v>
      </x:c>
      <x:c r="F1755" t="str">
        <x:v>Админ всея Belberry</x:v>
      </x:c>
      <x:c r="G1755" t="str">
        <x:v>нет</x:v>
      </x:c>
      <x:c r="H1755" t="str">
        <x:v>нет</x:v>
      </x:c>
    </x:row>
    <x:row r="1756">
      <x:c r="A1756" t="str">
        <x:v>13678</x:v>
      </x:c>
      <x:c r="B1756" t="str">
        <x:v>t-med.kz</x:v>
      </x:c>
      <x:c r="C1756" t="e">
        <x:f>HYPERLINK("https://belberrycrm.bitrix24.ru/crm/deal/details/13678/","https://belberrycrm.bitrix24.ru/crm/deal/details/13678/")</x:f>
      </x:c>
      <x:c r="D1756" t="str">
        <x:v>Реанимация</x:v>
      </x:c>
      <x:c r="E1756" t="str">
        <x:v>База для реанимации</x:v>
      </x:c>
      <x:c r="F1756" t="str">
        <x:v>Админ всея Belberry</x:v>
      </x:c>
      <x:c r="G1756" t="str">
        <x:v>нет</x:v>
      </x:c>
      <x:c r="H1756" t="str">
        <x:v>нет</x:v>
      </x:c>
    </x:row>
    <x:row r="1757">
      <x:c r="A1757" t="str">
        <x:v>13682</x:v>
      </x:c>
      <x:c r="B1757" t="str">
        <x:v>lenarclinic.com</x:v>
      </x:c>
      <x:c r="C1757" t="e">
        <x:f>HYPERLINK("https://belberrycrm.bitrix24.ru/crm/deal/details/13682/","https://belberrycrm.bitrix24.ru/crm/deal/details/13682/")</x:f>
      </x:c>
      <x:c r="D1757" t="str">
        <x:v>Реанимация</x:v>
      </x:c>
      <x:c r="E1757" t="str">
        <x:v>База для реанимации</x:v>
      </x:c>
      <x:c r="F1757" t="str">
        <x:v>Админ всея Belberry</x:v>
      </x:c>
      <x:c r="G1757" t="str">
        <x:v>нет</x:v>
      </x:c>
      <x:c r="H1757" t="str">
        <x:v>нет</x:v>
      </x:c>
    </x:row>
    <x:row r="1758">
      <x:c r="A1758" t="str">
        <x:v>13684</x:v>
      </x:c>
      <x:c r="B1758" t="str">
        <x:v>BABYBU</x:v>
      </x:c>
      <x:c r="C1758" t="e">
        <x:f>HYPERLINK("https://belberrycrm.bitrix24.ru/crm/deal/details/13684/","https://belberrycrm.bitrix24.ru/crm/deal/details/13684/")</x:f>
      </x:c>
      <x:c r="D1758" t="str">
        <x:v>Реанимация</x:v>
      </x:c>
      <x:c r="E1758" t="str">
        <x:v>База для реанимации</x:v>
      </x:c>
      <x:c r="F1758" t="str">
        <x:v>Админ всея Belberry</x:v>
      </x:c>
      <x:c r="G1758" t="str">
        <x:v>нет</x:v>
      </x:c>
      <x:c r="H1758" t="str">
        <x:v>нет</x:v>
      </x:c>
    </x:row>
    <x:row r="1759">
      <x:c r="A1759" t="str">
        <x:v>13690</x:v>
      </x:c>
      <x:c r="B1759" t="str">
        <x:v>Новая клиника Екатерина вход</x:v>
      </x:c>
      <x:c r="C1759" t="e">
        <x:f>HYPERLINK("https://belberrycrm.bitrix24.ru/crm/deal/details/13690/","https://belberrycrm.bitrix24.ru/crm/deal/details/13690/")</x:f>
      </x:c>
      <x:c r="D1759" t="str">
        <x:v>Реанимация</x:v>
      </x:c>
      <x:c r="E1759" t="str">
        <x:v>База для реанимации</x:v>
      </x:c>
      <x:c r="F1759" t="str">
        <x:v>Админ всея Belberry</x:v>
      </x:c>
      <x:c r="G1759" t="str">
        <x:v>нет</x:v>
      </x:c>
      <x:c r="H1759" t="str">
        <x:v>нет</x:v>
      </x:c>
    </x:row>
    <x:row r="1760">
      <x:c r="A1760" t="str">
        <x:v>13694</x:v>
      </x:c>
      <x:c r="B1760" t="str">
        <x:v>v3me.ru</x:v>
      </x:c>
      <x:c r="C1760" t="e">
        <x:f>HYPERLINK("https://belberrycrm.bitrix24.ru/crm/deal/details/13694/","https://belberrycrm.bitrix24.ru/crm/deal/details/13694/")</x:f>
      </x:c>
      <x:c r="D1760" t="str">
        <x:v>Реанимация</x:v>
      </x:c>
      <x:c r="E1760" t="str">
        <x:v>База для реанимации</x:v>
      </x:c>
      <x:c r="F1760" t="str">
        <x:v>Админ всея Belberry</x:v>
      </x:c>
      <x:c r="G1760" t="str">
        <x:v>нет</x:v>
      </x:c>
      <x:c r="H1760" t="str">
        <x:v>нет</x:v>
      </x:c>
    </x:row>
    <x:row r="1761">
      <x:c r="A1761" t="str">
        <x:v>13696</x:v>
      </x:c>
      <x:c r="B1761" t="str">
        <x:v>gloria-centr.ru</x:v>
      </x:c>
      <x:c r="C1761" t="e">
        <x:f>HYPERLINK("https://belberrycrm.bitrix24.ru/crm/deal/details/13696/","https://belberrycrm.bitrix24.ru/crm/deal/details/13696/")</x:f>
      </x:c>
      <x:c r="D1761" t="str">
        <x:v>Реанимация</x:v>
      </x:c>
      <x:c r="E1761" t="str">
        <x:v>База для реанимации</x:v>
      </x:c>
      <x:c r="F1761" t="str">
        <x:v>Админ всея Belberry</x:v>
      </x:c>
      <x:c r="G1761" t="str">
        <x:v>нет</x:v>
      </x:c>
      <x:c r="H1761" t="str">
        <x:v>нет</x:v>
      </x:c>
    </x:row>
    <x:row r="1762">
      <x:c r="A1762" t="str">
        <x:v>13698</x:v>
      </x:c>
      <x:c r="B1762" t="str">
        <x:v>formulavision.ru</x:v>
      </x:c>
      <x:c r="C1762" t="e">
        <x:f>HYPERLINK("https://belberrycrm.bitrix24.ru/crm/deal/details/13698/","https://belberrycrm.bitrix24.ru/crm/deal/details/13698/")</x:f>
      </x:c>
      <x:c r="D1762" t="str">
        <x:v>Реанимация</x:v>
      </x:c>
      <x:c r="E1762" t="str">
        <x:v>База для реанимации</x:v>
      </x:c>
      <x:c r="F1762" t="str">
        <x:v>Админ всея Belberry</x:v>
      </x:c>
      <x:c r="G1762" t="str">
        <x:v>нет</x:v>
      </x:c>
      <x:c r="H1762" t="str">
        <x:v>нет</x:v>
      </x:c>
    </x:row>
    <x:row r="1763">
      <x:c r="A1763" t="str">
        <x:v>13700</x:v>
      </x:c>
      <x:c r="B1763" t="str">
        <x:v>cambridgejunior.ru</x:v>
      </x:c>
      <x:c r="C1763" t="e">
        <x:f>HYPERLINK("https://belberrycrm.bitrix24.ru/crm/deal/details/13700/","https://belberrycrm.bitrix24.ru/crm/deal/details/13700/")</x:f>
      </x:c>
      <x:c r="D1763" t="str">
        <x:v>Реанимация</x:v>
      </x:c>
      <x:c r="E1763" t="str">
        <x:v>База для реанимации</x:v>
      </x:c>
      <x:c r="F1763" t="str">
        <x:v>Админ всея Belberry</x:v>
      </x:c>
      <x:c r="G1763" t="str">
        <x:v>нет</x:v>
      </x:c>
      <x:c r="H1763" t="str">
        <x:v>нет</x:v>
      </x:c>
    </x:row>
    <x:row r="1764">
      <x:c r="A1764" t="str">
        <x:v>13702</x:v>
      </x:c>
      <x:c r="B1764" t="str">
        <x:v>postium.ru</x:v>
      </x:c>
      <x:c r="C1764" t="e">
        <x:f>HYPERLINK("https://belberrycrm.bitrix24.ru/crm/deal/details/13702/","https://belberrycrm.bitrix24.ru/crm/deal/details/13702/")</x:f>
      </x:c>
      <x:c r="D1764" t="str">
        <x:v>Реанимация</x:v>
      </x:c>
      <x:c r="E1764" t="str">
        <x:v>База для реанимации</x:v>
      </x:c>
      <x:c r="F1764" t="str">
        <x:v>Админ всея Belberry</x:v>
      </x:c>
      <x:c r="G1764" t="str">
        <x:v>нет</x:v>
      </x:c>
      <x:c r="H1764" t="str">
        <x:v>нет</x:v>
      </x:c>
    </x:row>
    <x:row r="1765">
      <x:c r="A1765" t="str">
        <x:v>13706</x:v>
      </x:c>
      <x:c r="B1765" t="str">
        <x:v>1deva.ru</x:v>
      </x:c>
      <x:c r="C1765" t="e">
        <x:f>HYPERLINK("https://belberrycrm.bitrix24.ru/crm/deal/details/13706/","https://belberrycrm.bitrix24.ru/crm/deal/details/13706/")</x:f>
      </x:c>
      <x:c r="D1765" t="str">
        <x:v>Реанимация</x:v>
      </x:c>
      <x:c r="E1765" t="str">
        <x:v>База для реанимации</x:v>
      </x:c>
      <x:c r="F1765" t="str">
        <x:v>Админ всея Belberry</x:v>
      </x:c>
      <x:c r="G1765" t="str">
        <x:v>да</x:v>
      </x:c>
      <x:c r="H1765" t="str">
        <x:v>нет</x:v>
      </x:c>
    </x:row>
    <x:row r="1766">
      <x:c r="A1766" t="str">
        <x:v>13714</x:v>
      </x:c>
      <x:c r="B1766" t="str">
        <x:v>Заявка на покупку лицензии</x:v>
      </x:c>
      <x:c r="C1766" t="e">
        <x:f>HYPERLINK("https://belberrycrm.bitrix24.ru/crm/deal/details/13714/","https://belberrycrm.bitrix24.ru/crm/deal/details/13714/")</x:f>
      </x:c>
      <x:c r="D1766" t="str">
        <x:v>Реанимация</x:v>
      </x:c>
      <x:c r="E1766" t="str">
        <x:v>База для реанимации</x:v>
      </x:c>
      <x:c r="F1766" t="str">
        <x:v>Админ всея Belberry</x:v>
      </x:c>
      <x:c r="G1766" t="str">
        <x:v>нет</x:v>
      </x:c>
      <x:c r="H1766" t="str">
        <x:v>нет</x:v>
      </x:c>
    </x:row>
    <x:row r="1767">
      <x:c r="A1767" t="str">
        <x:v>13716</x:v>
      </x:c>
      <x:c r="B1767" t="str">
        <x:v>altamedplus.ru</x:v>
      </x:c>
      <x:c r="C1767" t="e">
        <x:f>HYPERLINK("https://belberrycrm.bitrix24.ru/crm/deal/details/13716/","https://belberrycrm.bitrix24.ru/crm/deal/details/13716/")</x:f>
      </x:c>
      <x:c r="D1767" t="str">
        <x:v>Реанимация</x:v>
      </x:c>
      <x:c r="E1767" t="str">
        <x:v>База для реанимации</x:v>
      </x:c>
      <x:c r="F1767" t="str">
        <x:v>Админ всея Belberry</x:v>
      </x:c>
      <x:c r="G1767" t="str">
        <x:v>нет</x:v>
      </x:c>
      <x:c r="H1767" t="str">
        <x:v>нет</x:v>
      </x:c>
    </x:row>
    <x:row r="1768">
      <x:c r="A1768" t="str">
        <x:v>13718</x:v>
      </x:c>
      <x:c r="B1768" t="str">
        <x:v>kimhouse.rest.tilda.ws</x:v>
      </x:c>
      <x:c r="C1768" t="e">
        <x:f>HYPERLINK("https://belberrycrm.bitrix24.ru/crm/deal/details/13718/","https://belberrycrm.bitrix24.ru/crm/deal/details/13718/")</x:f>
      </x:c>
      <x:c r="D1768" t="str">
        <x:v>Реанимация</x:v>
      </x:c>
      <x:c r="E1768" t="str">
        <x:v>База для реанимации</x:v>
      </x:c>
      <x:c r="F1768" t="str">
        <x:v>Админ всея Belberry</x:v>
      </x:c>
      <x:c r="G1768" t="str">
        <x:v>нет</x:v>
      </x:c>
      <x:c r="H1768" t="str">
        <x:v>нет</x:v>
      </x:c>
    </x:row>
    <x:row r="1769">
      <x:c r="A1769" t="str">
        <x:v>13730</x:v>
      </x:c>
      <x:c r="B1769" t="str">
        <x:v>Симаков Александр Юрьевич (Клиника Травматология и Подология)</x:v>
      </x:c>
      <x:c r="C1769" t="e">
        <x:f>HYPERLINK("https://belberrycrm.bitrix24.ru/crm/deal/details/13730/","https://belberrycrm.bitrix24.ru/crm/deal/details/13730/")</x:f>
      </x:c>
      <x:c r="D1769" t="str">
        <x:v>Реанимация</x:v>
      </x:c>
      <x:c r="E1769" t="str">
        <x:v>База для реанимации</x:v>
      </x:c>
      <x:c r="F1769" t="str">
        <x:v>Админ всея Belberry</x:v>
      </x:c>
      <x:c r="G1769" t="str">
        <x:v>нет</x:v>
      </x:c>
      <x:c r="H1769" t="str">
        <x:v>нет</x:v>
      </x:c>
    </x:row>
    <x:row r="1770">
      <x:c r="A1770" t="str">
        <x:v>13732</x:v>
      </x:c>
      <x:c r="B1770" t="str">
        <x:v>Анна (врач косметолог, открывает собственную клинику)</x:v>
      </x:c>
      <x:c r="C1770" t="e">
        <x:f>HYPERLINK("https://belberrycrm.bitrix24.ru/crm/deal/details/13732/","https://belberrycrm.bitrix24.ru/crm/deal/details/13732/")</x:f>
      </x:c>
      <x:c r="D1770" t="str">
        <x:v>Реанимация</x:v>
      </x:c>
      <x:c r="E1770" t="str">
        <x:v>База для реанимации</x:v>
      </x:c>
      <x:c r="F1770" t="str">
        <x:v>Админ всея Belberry</x:v>
      </x:c>
      <x:c r="G1770" t="str">
        <x:v>нет</x:v>
      </x:c>
      <x:c r="H1770" t="str">
        <x:v>нет</x:v>
      </x:c>
    </x:row>
    <x:row r="1771">
      <x:c r="A1771" t="str">
        <x:v>13740</x:v>
      </x:c>
      <x:c r="B1771" t="str">
        <x:v>bcarparts.ru</x:v>
      </x:c>
      <x:c r="C1771" t="e">
        <x:f>HYPERLINK("https://belberrycrm.bitrix24.ru/crm/deal/details/13740/","https://belberrycrm.bitrix24.ru/crm/deal/details/13740/")</x:f>
      </x:c>
      <x:c r="D1771" t="str">
        <x:v>Реанимация</x:v>
      </x:c>
      <x:c r="E1771" t="str">
        <x:v>База для реанимации</x:v>
      </x:c>
      <x:c r="F1771" t="str">
        <x:v>Админ всея Belberry</x:v>
      </x:c>
      <x:c r="G1771" t="str">
        <x:v>нет</x:v>
      </x:c>
      <x:c r="H1771" t="str">
        <x:v>нет</x:v>
      </x:c>
    </x:row>
    <x:row r="1772">
      <x:c r="A1772" t="str">
        <x:v>13742</x:v>
      </x:c>
      <x:c r="B1772" t="str">
        <x:v>oncocareclinic.ru</x:v>
      </x:c>
      <x:c r="C1772" t="e">
        <x:f>HYPERLINK("https://belberrycrm.bitrix24.ru/crm/deal/details/13742/","https://belberrycrm.bitrix24.ru/crm/deal/details/13742/")</x:f>
      </x:c>
      <x:c r="D1772" t="str">
        <x:v>Реанимация</x:v>
      </x:c>
      <x:c r="E1772" t="str">
        <x:v>База для реанимации</x:v>
      </x:c>
      <x:c r="F1772" t="str">
        <x:v>Админ всея Belberry</x:v>
      </x:c>
      <x:c r="G1772" t="str">
        <x:v>нет</x:v>
      </x:c>
      <x:c r="H1772" t="str">
        <x:v>нет</x:v>
      </x:c>
    </x:row>
    <x:row r="1773">
      <x:c r="A1773" t="str">
        <x:v>13750</x:v>
      </x:c>
      <x:c r="B1773" t="str">
        <x:v>Элит.москва</x:v>
      </x:c>
      <x:c r="C1773" t="e">
        <x:f>HYPERLINK("https://belberrycrm.bitrix24.ru/crm/deal/details/13750/","https://belberrycrm.bitrix24.ru/crm/deal/details/13750/")</x:f>
      </x:c>
      <x:c r="D1773" t="str">
        <x:v>Реанимация</x:v>
      </x:c>
      <x:c r="E1773" t="str">
        <x:v>База для реанимации</x:v>
      </x:c>
      <x:c r="F1773" t="str">
        <x:v>Админ всея Belberry</x:v>
      </x:c>
      <x:c r="G1773" t="str">
        <x:v>нет</x:v>
      </x:c>
      <x:c r="H1773" t="str">
        <x:v>нет</x:v>
      </x:c>
    </x:row>
    <x:row r="1774">
      <x:c r="A1774" t="str">
        <x:v>13752</x:v>
      </x:c>
      <x:c r="B1774" t="str">
        <x:v>Георгий (разработка однастраничного сайта) для салона красоты</x:v>
      </x:c>
      <x:c r="C1774" t="e">
        <x:f>HYPERLINK("https://belberrycrm.bitrix24.ru/crm/deal/details/13752/","https://belberrycrm.bitrix24.ru/crm/deal/details/13752/")</x:f>
      </x:c>
      <x:c r="D1774" t="str">
        <x:v>Реанимация</x:v>
      </x:c>
      <x:c r="E1774" t="str">
        <x:v>База для реанимации</x:v>
      </x:c>
      <x:c r="F1774" t="str">
        <x:v>Админ всея Belberry</x:v>
      </x:c>
      <x:c r="G1774" t="str">
        <x:v>нет</x:v>
      </x:c>
      <x:c r="H1774" t="str">
        <x:v>нет</x:v>
      </x:c>
    </x:row>
    <x:row r="1775">
      <x:c r="A1775" t="str">
        <x:v>13754</x:v>
      </x:c>
      <x:c r="B1775" t="str">
        <x:v>Цифровая Зубная Лаборатория</x:v>
      </x:c>
      <x:c r="C1775" t="e">
        <x:f>HYPERLINK("https://belberrycrm.bitrix24.ru/crm/deal/details/13754/","https://belberrycrm.bitrix24.ru/crm/deal/details/13754/")</x:f>
      </x:c>
      <x:c r="D1775" t="str">
        <x:v>Реанимация</x:v>
      </x:c>
      <x:c r="E1775" t="str">
        <x:v>База для реанимации</x:v>
      </x:c>
      <x:c r="F1775" t="str">
        <x:v>Админ всея Belberry</x:v>
      </x:c>
      <x:c r="G1775" t="str">
        <x:v>нет</x:v>
      </x:c>
      <x:c r="H1775" t="str">
        <x:v>нет</x:v>
      </x:c>
    </x:row>
    <x:row r="1776">
      <x:c r="A1776" t="str">
        <x:v>13756</x:v>
      </x:c>
      <x:c r="B1776" t="str">
        <x:v>masterdent36.ru</x:v>
      </x:c>
      <x:c r="C1776" t="e">
        <x:f>HYPERLINK("https://belberrycrm.bitrix24.ru/crm/deal/details/13756/","https://belberrycrm.bitrix24.ru/crm/deal/details/13756/")</x:f>
      </x:c>
      <x:c r="D1776" t="str">
        <x:v>Реанимация</x:v>
      </x:c>
      <x:c r="E1776" t="str">
        <x:v>База для реанимации</x:v>
      </x:c>
      <x:c r="F1776" t="str">
        <x:v>Админ всея Belberry</x:v>
      </x:c>
      <x:c r="G1776" t="str">
        <x:v>нет</x:v>
      </x:c>
      <x:c r="H1776" t="str">
        <x:v>нет</x:v>
      </x:c>
    </x:row>
    <x:row r="1777">
      <x:c r="A1777" t="str">
        <x:v>13762</x:v>
      </x:c>
      <x:c r="B1777" t="str">
        <x:v>vtsgroup.com</x:v>
      </x:c>
      <x:c r="C1777" t="e">
        <x:f>HYPERLINK("https://belberrycrm.bitrix24.ru/crm/deal/details/13762/","https://belberrycrm.bitrix24.ru/crm/deal/details/13762/")</x:f>
      </x:c>
      <x:c r="D1777" t="str">
        <x:v>Реанимация</x:v>
      </x:c>
      <x:c r="E1777" t="str">
        <x:v>База для реанимации</x:v>
      </x:c>
      <x:c r="F1777" t="str">
        <x:v>Админ всея Belberry</x:v>
      </x:c>
      <x:c r="G1777" t="str">
        <x:v>да</x:v>
      </x:c>
      <x:c r="H1777" t="str">
        <x:v>нет</x:v>
      </x:c>
    </x:row>
    <x:row r="1778">
      <x:c r="A1778" t="str">
        <x:v>13764</x:v>
      </x:c>
      <x:c r="B1778" t="str">
        <x:v>biotekfarm-m.ru</x:v>
      </x:c>
      <x:c r="C1778" t="e">
        <x:f>HYPERLINK("https://belberrycrm.bitrix24.ru/crm/deal/details/13764/","https://belberrycrm.bitrix24.ru/crm/deal/details/13764/")</x:f>
      </x:c>
      <x:c r="D1778" t="str">
        <x:v>Реанимация</x:v>
      </x:c>
      <x:c r="E1778" t="str">
        <x:v>База для реанимации</x:v>
      </x:c>
      <x:c r="F1778" t="str">
        <x:v>Админ всея Belberry</x:v>
      </x:c>
      <x:c r="G1778" t="str">
        <x:v>нет</x:v>
      </x:c>
      <x:c r="H1778" t="str">
        <x:v>нет</x:v>
      </x:c>
    </x:row>
    <x:row r="1779">
      <x:c r="A1779" t="str">
        <x:v>13766</x:v>
      </x:c>
      <x:c r="B1779" t="str">
        <x:v>clinican.ru</x:v>
      </x:c>
      <x:c r="C1779" t="e">
        <x:f>HYPERLINK("https://belberrycrm.bitrix24.ru/crm/deal/details/13766/","https://belberrycrm.bitrix24.ru/crm/deal/details/13766/")</x:f>
      </x:c>
      <x:c r="D1779" t="str">
        <x:v>Реанимация</x:v>
      </x:c>
      <x:c r="E1779" t="str">
        <x:v>База для реанимации</x:v>
      </x:c>
      <x:c r="F1779" t="str">
        <x:v>Админ всея Belberry</x:v>
      </x:c>
      <x:c r="G1779" t="str">
        <x:v>нет</x:v>
      </x:c>
      <x:c r="H1779" t="str">
        <x:v>нет</x:v>
      </x:c>
    </x:row>
    <x:row r="1780">
      <x:c r="A1780" t="str">
        <x:v>13768</x:v>
      </x:c>
      <x:c r="B1780" t="str">
        <x:v>lemarkllc.ru</x:v>
      </x:c>
      <x:c r="C1780" t="e">
        <x:f>HYPERLINK("https://belberrycrm.bitrix24.ru/crm/deal/details/13768/","https://belberrycrm.bitrix24.ru/crm/deal/details/13768/")</x:f>
      </x:c>
      <x:c r="D1780" t="str">
        <x:v>Реанимация</x:v>
      </x:c>
      <x:c r="E1780" t="str">
        <x:v>База для реанимации</x:v>
      </x:c>
      <x:c r="F1780" t="str">
        <x:v>Админ всея Belberry</x:v>
      </x:c>
      <x:c r="G1780" t="str">
        <x:v>нет</x:v>
      </x:c>
      <x:c r="H1780" t="str">
        <x:v>нет</x:v>
      </x:c>
    </x:row>
    <x:row r="1781">
      <x:c r="A1781" t="str">
        <x:v>13776</x:v>
      </x:c>
      <x:c r="B1781" t="str">
        <x:v>ascreengroup.ru</x:v>
      </x:c>
      <x:c r="C1781" t="e">
        <x:f>HYPERLINK("https://belberrycrm.bitrix24.ru/crm/deal/details/13776/","https://belberrycrm.bitrix24.ru/crm/deal/details/13776/")</x:f>
      </x:c>
      <x:c r="D1781" t="str">
        <x:v>Реанимация</x:v>
      </x:c>
      <x:c r="E1781" t="str">
        <x:v>База для реанимации</x:v>
      </x:c>
      <x:c r="F1781" t="str">
        <x:v>Админ всея Belberry</x:v>
      </x:c>
      <x:c r="G1781" t="str">
        <x:v>нет</x:v>
      </x:c>
      <x:c r="H1781" t="str">
        <x:v>нет</x:v>
      </x:c>
    </x:row>
    <x:row r="1782">
      <x:c r="A1782" t="str">
        <x:v>13780</x:v>
      </x:c>
      <x:c r="B1782" t="str">
        <x:v>Александр (врач кардиолог)</x:v>
      </x:c>
      <x:c r="C1782" t="e">
        <x:f>HYPERLINK("https://belberrycrm.bitrix24.ru/crm/deal/details/13780/","https://belberrycrm.bitrix24.ru/crm/deal/details/13780/")</x:f>
      </x:c>
      <x:c r="D1782" t="str">
        <x:v>Реанимация</x:v>
      </x:c>
      <x:c r="E1782" t="str">
        <x:v>База для реанимации</x:v>
      </x:c>
      <x:c r="F1782" t="str">
        <x:v>Админ всея Belberry</x:v>
      </x:c>
      <x:c r="G1782" t="str">
        <x:v>нет</x:v>
      </x:c>
      <x:c r="H1782" t="str">
        <x:v>нет</x:v>
      </x:c>
    </x:row>
    <x:row r="1783">
      <x:c r="A1783" t="str">
        <x:v>13782</x:v>
      </x:c>
      <x:c r="B1783" t="str">
        <x:v>Елена (Новая клиника, мед центр)</x:v>
      </x:c>
      <x:c r="C1783" t="e">
        <x:f>HYPERLINK("https://belberrycrm.bitrix24.ru/crm/deal/details/13782/","https://belberrycrm.bitrix24.ru/crm/deal/details/13782/")</x:f>
      </x:c>
      <x:c r="D1783" t="str">
        <x:v>Реанимация</x:v>
      </x:c>
      <x:c r="E1783" t="str">
        <x:v>База для реанимации</x:v>
      </x:c>
      <x:c r="F1783" t="str">
        <x:v>Админ всея Belberry</x:v>
      </x:c>
      <x:c r="G1783" t="str">
        <x:v>нет</x:v>
      </x:c>
      <x:c r="H1783" t="str">
        <x:v>нет</x:v>
      </x:c>
    </x:row>
    <x:row r="1784">
      <x:c r="A1784" t="str">
        <x:v>13786</x:v>
      </x:c>
      <x:c r="B1784" t="str">
        <x:v>Екатерина (входящая заявка)</x:v>
      </x:c>
      <x:c r="C1784" t="e">
        <x:f>HYPERLINK("https://belberrycrm.bitrix24.ru/crm/deal/details/13786/","https://belberrycrm.bitrix24.ru/crm/deal/details/13786/")</x:f>
      </x:c>
      <x:c r="D1784" t="str">
        <x:v>Реанимация</x:v>
      </x:c>
      <x:c r="E1784" t="str">
        <x:v>База для реанимации</x:v>
      </x:c>
      <x:c r="F1784" t="str">
        <x:v>Админ всея Belberry</x:v>
      </x:c>
      <x:c r="G1784" t="str">
        <x:v>нет</x:v>
      </x:c>
      <x:c r="H1784" t="str">
        <x:v>нет</x:v>
      </x:c>
    </x:row>
    <x:row r="1785">
      <x:c r="A1785" t="str">
        <x:v>13794</x:v>
      </x:c>
      <x:c r="B1785" t="str">
        <x:v>vizhuvse.ru</x:v>
      </x:c>
      <x:c r="C1785" t="e">
        <x:f>HYPERLINK("https://belberrycrm.bitrix24.ru/crm/deal/details/13794/","https://belberrycrm.bitrix24.ru/crm/deal/details/13794/")</x:f>
      </x:c>
      <x:c r="D1785" t="str">
        <x:v>Реанимация</x:v>
      </x:c>
      <x:c r="E1785" t="str">
        <x:v>База для реанимации</x:v>
      </x:c>
      <x:c r="F1785" t="str">
        <x:v>Админ всея Belberry</x:v>
      </x:c>
      <x:c r="G1785" t="str">
        <x:v>нет</x:v>
      </x:c>
      <x:c r="H1785" t="str">
        <x:v>нет</x:v>
      </x:c>
    </x:row>
    <x:row r="1786">
      <x:c r="A1786" t="str">
        <x:v>13796</x:v>
      </x:c>
      <x:c r="B1786" t="str">
        <x:v>Tkanix.Ru</x:v>
      </x:c>
      <x:c r="C1786" t="e">
        <x:f>HYPERLINK("https://belberrycrm.bitrix24.ru/crm/deal/details/13796/","https://belberrycrm.bitrix24.ru/crm/deal/details/13796/")</x:f>
      </x:c>
      <x:c r="D1786" t="str">
        <x:v>Реанимация</x:v>
      </x:c>
      <x:c r="E1786" t="str">
        <x:v>База для реанимации</x:v>
      </x:c>
      <x:c r="F1786" t="str">
        <x:v>Админ всея Belberry</x:v>
      </x:c>
      <x:c r="G1786" t="str">
        <x:v>нет</x:v>
      </x:c>
      <x:c r="H1786" t="str">
        <x:v>нет</x:v>
      </x:c>
    </x:row>
    <x:row r="1787">
      <x:c r="A1787" t="str">
        <x:v>13798</x:v>
      </x:c>
      <x:c r="B1787" t="str">
        <x:v>Дмитрий Алтунин (роды в Аргентине)</x:v>
      </x:c>
      <x:c r="C1787" t="e">
        <x:f>HYPERLINK("https://belberrycrm.bitrix24.ru/crm/deal/details/13798/","https://belberrycrm.bitrix24.ru/crm/deal/details/13798/")</x:f>
      </x:c>
      <x:c r="D1787" t="str">
        <x:v>Реанимация</x:v>
      </x:c>
      <x:c r="E1787" t="str">
        <x:v>База для реанимации</x:v>
      </x:c>
      <x:c r="F1787" t="str">
        <x:v>Админ всея Belberry</x:v>
      </x:c>
      <x:c r="G1787" t="str">
        <x:v>нет</x:v>
      </x:c>
      <x:c r="H1787" t="str">
        <x:v>нет</x:v>
      </x:c>
    </x:row>
    <x:row r="1788">
      <x:c r="A1788" t="str">
        <x:v>13800</x:v>
      </x:c>
      <x:c r="B1788" t="str">
        <x:v>Андрей Иващенко (разработка сайта для подологии)</x:v>
      </x:c>
      <x:c r="C1788" t="e">
        <x:f>HYPERLINK("https://belberrycrm.bitrix24.ru/crm/deal/details/13800/","https://belberrycrm.bitrix24.ru/crm/deal/details/13800/")</x:f>
      </x:c>
      <x:c r="D1788" t="str">
        <x:v>Реанимация</x:v>
      </x:c>
      <x:c r="E1788" t="str">
        <x:v>База для реанимации</x:v>
      </x:c>
      <x:c r="F1788" t="str">
        <x:v>Админ всея Belberry</x:v>
      </x:c>
      <x:c r="G1788" t="str">
        <x:v>нет</x:v>
      </x:c>
      <x:c r="H1788" t="str">
        <x:v>нет</x:v>
      </x:c>
    </x:row>
    <x:row r="1789">
      <x:c r="A1789" t="str">
        <x:v>13804</x:v>
      </x:c>
      <x:c r="B1789" t="str">
        <x:v>Новая клиника в Балашихе Сергей</x:v>
      </x:c>
      <x:c r="C1789" t="e">
        <x:f>HYPERLINK("https://belberrycrm.bitrix24.ru/crm/deal/details/13804/","https://belberrycrm.bitrix24.ru/crm/deal/details/13804/")</x:f>
      </x:c>
      <x:c r="D1789" t="str">
        <x:v>Реанимация</x:v>
      </x:c>
      <x:c r="E1789" t="str">
        <x:v>База для реанимации</x:v>
      </x:c>
      <x:c r="F1789" t="str">
        <x:v>Админ всея Belberry</x:v>
      </x:c>
      <x:c r="G1789" t="str">
        <x:v>нет</x:v>
      </x:c>
      <x:c r="H1789" t="str">
        <x:v>нет</x:v>
      </x:c>
    </x:row>
    <x:row r="1790">
      <x:c r="A1790" t="str">
        <x:v>13812</x:v>
      </x:c>
      <x:c r="B1790" t="str">
        <x:v>gorclinica.ru</x:v>
      </x:c>
      <x:c r="C1790" t="e">
        <x:f>HYPERLINK("https://belberrycrm.bitrix24.ru/crm/deal/details/13812/","https://belberrycrm.bitrix24.ru/crm/deal/details/13812/")</x:f>
      </x:c>
      <x:c r="D1790" t="str">
        <x:v>Реанимация</x:v>
      </x:c>
      <x:c r="E1790" t="str">
        <x:v>База для реанимации</x:v>
      </x:c>
      <x:c r="F1790" t="str">
        <x:v>Админ всея Belberry</x:v>
      </x:c>
      <x:c r="G1790" t="str">
        <x:v>нет</x:v>
      </x:c>
      <x:c r="H1790" t="str">
        <x:v>нет</x:v>
      </x:c>
    </x:row>
    <x:row r="1791">
      <x:c r="A1791" t="str">
        <x:v>13816</x:v>
      </x:c>
      <x:c r="B1791" t="str">
        <x:v>arte-spb.ru</x:v>
      </x:c>
      <x:c r="C1791" t="e">
        <x:f>HYPERLINK("https://belberrycrm.bitrix24.ru/crm/deal/details/13816/","https://belberrycrm.bitrix24.ru/crm/deal/details/13816/")</x:f>
      </x:c>
      <x:c r="D1791" t="str">
        <x:v>Реанимация</x:v>
      </x:c>
      <x:c r="E1791" t="str">
        <x:v>База для реанимации</x:v>
      </x:c>
      <x:c r="F1791" t="str">
        <x:v>Админ всея Belberry</x:v>
      </x:c>
      <x:c r="G1791" t="str">
        <x:v>нет</x:v>
      </x:c>
      <x:c r="H1791" t="str">
        <x:v>нет</x:v>
      </x:c>
    </x:row>
    <x:row r="1792">
      <x:c r="A1792" t="str">
        <x:v>13820</x:v>
      </x:c>
      <x:c r="B1792" t="str">
        <x:v>Salta.moscow</x:v>
      </x:c>
      <x:c r="C1792" t="e">
        <x:f>HYPERLINK("https://belberrycrm.bitrix24.ru/crm/deal/details/13820/","https://belberrycrm.bitrix24.ru/crm/deal/details/13820/")</x:f>
      </x:c>
      <x:c r="D1792" t="str">
        <x:v>Реанимация</x:v>
      </x:c>
      <x:c r="E1792" t="str">
        <x:v>База для реанимации</x:v>
      </x:c>
      <x:c r="F1792" t="str">
        <x:v>Админ всея Belberry</x:v>
      </x:c>
      <x:c r="G1792" t="str">
        <x:v>нет</x:v>
      </x:c>
      <x:c r="H1792" t="str">
        <x:v>нет</x:v>
      </x:c>
    </x:row>
    <x:row r="1793">
      <x:c r="A1793" t="str">
        <x:v>13822</x:v>
      </x:c>
      <x:c r="B1793" t="str">
        <x:v>vitamir.ru</x:v>
      </x:c>
      <x:c r="C1793" t="e">
        <x:f>HYPERLINK("https://belberrycrm.bitrix24.ru/crm/deal/details/13822/","https://belberrycrm.bitrix24.ru/crm/deal/details/13822/")</x:f>
      </x:c>
      <x:c r="D1793" t="str">
        <x:v>Реанимация</x:v>
      </x:c>
      <x:c r="E1793" t="str">
        <x:v>База для реанимации</x:v>
      </x:c>
      <x:c r="F1793" t="str">
        <x:v>Админ всея Belberry</x:v>
      </x:c>
      <x:c r="G1793" t="str">
        <x:v>нет</x:v>
      </x:c>
      <x:c r="H1793" t="str">
        <x:v>нет</x:v>
      </x:c>
    </x:row>
    <x:row r="1794">
      <x:c r="A1794" t="str">
        <x:v>13824</x:v>
      </x:c>
      <x:c r="B1794" t="str">
        <x:v>gkb-31.ru</x:v>
      </x:c>
      <x:c r="C1794" t="e">
        <x:f>HYPERLINK("https://belberrycrm.bitrix24.ru/crm/deal/details/13824/","https://belberrycrm.bitrix24.ru/crm/deal/details/13824/")</x:f>
      </x:c>
      <x:c r="D1794" t="str">
        <x:v>Реанимация</x:v>
      </x:c>
      <x:c r="E1794" t="str">
        <x:v>База для реанимации</x:v>
      </x:c>
      <x:c r="F1794" t="str">
        <x:v>Админ всея Belberry</x:v>
      </x:c>
      <x:c r="G1794" t="str">
        <x:v>да</x:v>
      </x:c>
      <x:c r="H1794" t="str">
        <x:v>нет</x:v>
      </x:c>
    </x:row>
    <x:row r="1795">
      <x:c r="A1795" t="str">
        <x:v>13826</x:v>
      </x:c>
      <x:c r="B1795" t="str">
        <x:v>sculpturesmile.ru</x:v>
      </x:c>
      <x:c r="C1795" t="e">
        <x:f>HYPERLINK("https://belberrycrm.bitrix24.ru/crm/deal/details/13826/","https://belberrycrm.bitrix24.ru/crm/deal/details/13826/")</x:f>
      </x:c>
      <x:c r="D1795" t="str">
        <x:v>Реанимация</x:v>
      </x:c>
      <x:c r="E1795" t="str">
        <x:v>База для реанимации</x:v>
      </x:c>
      <x:c r="F1795" t="str">
        <x:v>Админ всея Belberry</x:v>
      </x:c>
      <x:c r="G1795" t="str">
        <x:v>нет</x:v>
      </x:c>
      <x:c r="H1795" t="str">
        <x:v>нет</x:v>
      </x:c>
    </x:row>
    <x:row r="1796">
      <x:c r="A1796" t="str">
        <x:v>13832</x:v>
      </x:c>
      <x:c r="B1796" t="str">
        <x:v>karat-smr.ru</x:v>
      </x:c>
      <x:c r="C1796" t="e">
        <x:f>HYPERLINK("https://belberrycrm.bitrix24.ru/crm/deal/details/13832/","https://belberrycrm.bitrix24.ru/crm/deal/details/13832/")</x:f>
      </x:c>
      <x:c r="D1796" t="str">
        <x:v>Реанимация</x:v>
      </x:c>
      <x:c r="E1796" t="str">
        <x:v>База для реанимации</x:v>
      </x:c>
      <x:c r="F1796" t="str">
        <x:v>Админ всея Belberry</x:v>
      </x:c>
      <x:c r="G1796" t="str">
        <x:v>нет</x:v>
      </x:c>
      <x:c r="H1796" t="str">
        <x:v>нет</x:v>
      </x:c>
    </x:row>
    <x:row r="1797">
      <x:c r="A1797" t="str">
        <x:v>13834</x:v>
      </x:c>
      <x:c r="B1797" t="str">
        <x:v>mayakmc.ru</x:v>
      </x:c>
      <x:c r="C1797" t="e">
        <x:f>HYPERLINK("https://belberrycrm.bitrix24.ru/crm/deal/details/13834/","https://belberrycrm.bitrix24.ru/crm/deal/details/13834/")</x:f>
      </x:c>
      <x:c r="D1797" t="str">
        <x:v>Реанимация</x:v>
      </x:c>
      <x:c r="E1797" t="str">
        <x:v>База для реанимации</x:v>
      </x:c>
      <x:c r="F1797" t="str">
        <x:v>Админ всея Belberry</x:v>
      </x:c>
      <x:c r="G1797" t="str">
        <x:v>нет</x:v>
      </x:c>
      <x:c r="H1797" t="str">
        <x:v>нет</x:v>
      </x:c>
    </x:row>
    <x:row r="1798">
      <x:c r="A1798" t="str">
        <x:v>13842</x:v>
      </x:c>
      <x:c r="B1798" t="str">
        <x:v>dentaleclinic.ru</x:v>
      </x:c>
      <x:c r="C1798" t="e">
        <x:f>HYPERLINK("https://belberrycrm.bitrix24.ru/crm/deal/details/13842/","https://belberrycrm.bitrix24.ru/crm/deal/details/13842/")</x:f>
      </x:c>
      <x:c r="D1798" t="str">
        <x:v>Реанимация</x:v>
      </x:c>
      <x:c r="E1798" t="str">
        <x:v>База для реанимации</x:v>
      </x:c>
      <x:c r="F1798" t="str">
        <x:v>Админ всея Belberry</x:v>
      </x:c>
      <x:c r="G1798" t="str">
        <x:v>нет</x:v>
      </x:c>
      <x:c r="H1798" t="str">
        <x:v>нет</x:v>
      </x:c>
    </x:row>
    <x:row r="1799">
      <x:c r="A1799" t="str">
        <x:v>13846</x:v>
      </x:c>
      <x:c r="B1799" t="str">
        <x:v>olimpic.ru</x:v>
      </x:c>
      <x:c r="C1799" t="e">
        <x:f>HYPERLINK("https://belberrycrm.bitrix24.ru/crm/deal/details/13846/","https://belberrycrm.bitrix24.ru/crm/deal/details/13846/")</x:f>
      </x:c>
      <x:c r="D1799" t="str">
        <x:v>Реанимация</x:v>
      </x:c>
      <x:c r="E1799" t="str">
        <x:v>База для реанимации</x:v>
      </x:c>
      <x:c r="F1799" t="str">
        <x:v>Админ всея Belberry</x:v>
      </x:c>
      <x:c r="G1799" t="str">
        <x:v>нет</x:v>
      </x:c>
      <x:c r="H1799" t="str">
        <x:v>нет</x:v>
      </x:c>
    </x:row>
    <x:row r="1800">
      <x:c r="A1800" t="str">
        <x:v>13850</x:v>
      </x:c>
      <x:c r="B1800" t="str">
        <x:v>a-mediya.ru</x:v>
      </x:c>
      <x:c r="C1800" t="e">
        <x:f>HYPERLINK("https://belberrycrm.bitrix24.ru/crm/deal/details/13850/","https://belberrycrm.bitrix24.ru/crm/deal/details/13850/")</x:f>
      </x:c>
      <x:c r="D1800" t="str">
        <x:v>Реанимация</x:v>
      </x:c>
      <x:c r="E1800" t="str">
        <x:v>База для реанимации</x:v>
      </x:c>
      <x:c r="F1800" t="str">
        <x:v>Админ всея Belberry</x:v>
      </x:c>
      <x:c r="G1800" t="str">
        <x:v>нет</x:v>
      </x:c>
      <x:c r="H1800" t="str">
        <x:v>нет</x:v>
      </x:c>
    </x:row>
    <x:row r="1801">
      <x:c r="A1801" t="str">
        <x:v>13852</x:v>
      </x:c>
      <x:c r="B1801" t="str">
        <x:v>blagoclinic.ru</x:v>
      </x:c>
      <x:c r="C1801" t="e">
        <x:f>HYPERLINK("https://belberrycrm.bitrix24.ru/crm/deal/details/13852/","https://belberrycrm.bitrix24.ru/crm/deal/details/13852/")</x:f>
      </x:c>
      <x:c r="D1801" t="str">
        <x:v>Реанимация</x:v>
      </x:c>
      <x:c r="E1801" t="str">
        <x:v>База для реанимации</x:v>
      </x:c>
      <x:c r="F1801" t="str">
        <x:v>Админ всея Belberry</x:v>
      </x:c>
      <x:c r="G1801" t="str">
        <x:v>нет</x:v>
      </x:c>
      <x:c r="H1801" t="str">
        <x:v>нет</x:v>
      </x:c>
    </x:row>
    <x:row r="1802">
      <x:c r="A1802" t="str">
        <x:v>13854</x:v>
      </x:c>
      <x:c r="B1802" t="str">
        <x:v>NudeEstetic</x:v>
      </x:c>
      <x:c r="C1802" t="e">
        <x:f>HYPERLINK("https://belberrycrm.bitrix24.ru/crm/deal/details/13854/","https://belberrycrm.bitrix24.ru/crm/deal/details/13854/")</x:f>
      </x:c>
      <x:c r="D1802" t="str">
        <x:v>Реанимация</x:v>
      </x:c>
      <x:c r="E1802" t="str">
        <x:v>База для реанимации</x:v>
      </x:c>
      <x:c r="F1802" t="str">
        <x:v>Админ всея Belberry</x:v>
      </x:c>
      <x:c r="G1802" t="str">
        <x:v>нет</x:v>
      </x:c>
      <x:c r="H1802" t="str">
        <x:v>нет</x:v>
      </x:c>
    </x:row>
    <x:row r="1803">
      <x:c r="A1803" t="str">
        <x:v>13856</x:v>
      </x:c>
      <x:c r="B1803" t="str">
        <x:v>Лаура (курс по продвижению клиник и врачей)</x:v>
      </x:c>
      <x:c r="C1803" t="e">
        <x:f>HYPERLINK("https://belberrycrm.bitrix24.ru/crm/deal/details/13856/","https://belberrycrm.bitrix24.ru/crm/deal/details/13856/")</x:f>
      </x:c>
      <x:c r="D1803" t="str">
        <x:v>Реанимация</x:v>
      </x:c>
      <x:c r="E1803" t="str">
        <x:v>База для реанимации</x:v>
      </x:c>
      <x:c r="F1803" t="str">
        <x:v>Админ всея Belberry</x:v>
      </x:c>
      <x:c r="G1803" t="str">
        <x:v>нет</x:v>
      </x:c>
      <x:c r="H1803" t="str">
        <x:v>нет</x:v>
      </x:c>
    </x:row>
    <x:row r="1804">
      <x:c r="A1804" t="str">
        <x:v>13860</x:v>
      </x:c>
      <x:c r="B1804" t="str">
        <x:v>Юлия (входящая заявка)</x:v>
      </x:c>
      <x:c r="C1804" t="e">
        <x:f>HYPERLINK("https://belberrycrm.bitrix24.ru/crm/deal/details/13860/","https://belberrycrm.bitrix24.ru/crm/deal/details/13860/")</x:f>
      </x:c>
      <x:c r="D1804" t="str">
        <x:v>Реанимация</x:v>
      </x:c>
      <x:c r="E1804" t="str">
        <x:v>База для реанимации</x:v>
      </x:c>
      <x:c r="F1804" t="str">
        <x:v>Админ всея Belberry</x:v>
      </x:c>
      <x:c r="G1804" t="str">
        <x:v>нет</x:v>
      </x:c>
      <x:c r="H1804" t="str">
        <x:v>нет</x:v>
      </x:c>
    </x:row>
    <x:row r="1805">
      <x:c r="A1805" t="str">
        <x:v>13866</x:v>
      </x:c>
      <x:c r="B1805" t="str">
        <x:v>Новая стоматологическая клиника в г. Москва</x:v>
      </x:c>
      <x:c r="C1805" t="e">
        <x:f>HYPERLINK("https://belberrycrm.bitrix24.ru/crm/deal/details/13866/","https://belberrycrm.bitrix24.ru/crm/deal/details/13866/")</x:f>
      </x:c>
      <x:c r="D1805" t="str">
        <x:v>Реанимация</x:v>
      </x:c>
      <x:c r="E1805" t="str">
        <x:v>База для реанимации</x:v>
      </x:c>
      <x:c r="F1805" t="str">
        <x:v>Админ всея Belberry</x:v>
      </x:c>
      <x:c r="G1805" t="str">
        <x:v>нет</x:v>
      </x:c>
      <x:c r="H1805" t="str">
        <x:v>нет</x:v>
      </x:c>
    </x:row>
    <x:row r="1806">
      <x:c r="A1806" t="str">
        <x:v>13868</x:v>
      </x:c>
      <x:c r="B1806" t="str">
        <x:v>ООО Сектор</x:v>
      </x:c>
      <x:c r="C1806" t="e">
        <x:f>HYPERLINK("https://belberrycrm.bitrix24.ru/crm/deal/details/13868/","https://belberrycrm.bitrix24.ru/crm/deal/details/13868/")</x:f>
      </x:c>
      <x:c r="D1806" t="str">
        <x:v>Реанимация</x:v>
      </x:c>
      <x:c r="E1806" t="str">
        <x:v>База для реанимации</x:v>
      </x:c>
      <x:c r="F1806" t="str">
        <x:v>Админ всея Belberry</x:v>
      </x:c>
      <x:c r="G1806" t="str">
        <x:v>да</x:v>
      </x:c>
      <x:c r="H1806" t="str">
        <x:v>нет</x:v>
      </x:c>
    </x:row>
    <x:row r="1807">
      <x:c r="A1807" t="str">
        <x:v>13870</x:v>
      </x:c>
      <x:c r="B1807" t="str">
        <x:v>Алёна (врач-пластический хирург из Новосибирска)</x:v>
      </x:c>
      <x:c r="C1807" t="e">
        <x:f>HYPERLINK("https://belberrycrm.bitrix24.ru/crm/deal/details/13870/","https://belberrycrm.bitrix24.ru/crm/deal/details/13870/")</x:f>
      </x:c>
      <x:c r="D1807" t="str">
        <x:v>Реанимация</x:v>
      </x:c>
      <x:c r="E1807" t="str">
        <x:v>База для реанимации</x:v>
      </x:c>
      <x:c r="F1807" t="str">
        <x:v>Админ всея Belberry</x:v>
      </x:c>
      <x:c r="G1807" t="str">
        <x:v>нет</x:v>
      </x:c>
      <x:c r="H1807" t="str">
        <x:v>нет</x:v>
      </x:c>
    </x:row>
    <x:row r="1808">
      <x:c r="A1808" t="str">
        <x:v>13874</x:v>
      </x:c>
      <x:c r="B1808" t="str">
        <x:v>Александр (Офтальмологическая клиника)</x:v>
      </x:c>
      <x:c r="C1808" t="e">
        <x:f>HYPERLINK("https://belberrycrm.bitrix24.ru/crm/deal/details/13874/","https://belberrycrm.bitrix24.ru/crm/deal/details/13874/")</x:f>
      </x:c>
      <x:c r="D1808" t="str">
        <x:v>Реанимация</x:v>
      </x:c>
      <x:c r="E1808" t="str">
        <x:v>База для реанимации</x:v>
      </x:c>
      <x:c r="F1808" t="str">
        <x:v>Админ всея Belberry</x:v>
      </x:c>
      <x:c r="G1808" t="str">
        <x:v>нет</x:v>
      </x:c>
      <x:c r="H1808" t="str">
        <x:v>нет</x:v>
      </x:c>
    </x:row>
    <x:row r="1809">
      <x:c r="A1809" t="str">
        <x:v>13876</x:v>
      </x:c>
      <x:c r="B1809" t="str">
        <x:v>teodorus.art</x:v>
      </x:c>
      <x:c r="C1809" t="e">
        <x:f>HYPERLINK("https://belberrycrm.bitrix24.ru/crm/deal/details/13876/","https://belberrycrm.bitrix24.ru/crm/deal/details/13876/")</x:f>
      </x:c>
      <x:c r="D1809" t="str">
        <x:v>Реанимация</x:v>
      </x:c>
      <x:c r="E1809" t="str">
        <x:v>База для реанимации</x:v>
      </x:c>
      <x:c r="F1809" t="str">
        <x:v>Админ всея Belberry</x:v>
      </x:c>
      <x:c r="G1809" t="str">
        <x:v>нет</x:v>
      </x:c>
      <x:c r="H1809" t="str">
        <x:v>нет</x:v>
      </x:c>
    </x:row>
    <x:row r="1810">
      <x:c r="A1810" t="str">
        <x:v>13878</x:v>
      </x:c>
      <x:c r="B1810" t="str">
        <x:v>Василий, 27.05.2023</x:v>
      </x:c>
      <x:c r="C1810" t="e">
        <x:f>HYPERLINK("https://belberrycrm.bitrix24.ru/crm/deal/details/13878/","https://belberrycrm.bitrix24.ru/crm/deal/details/13878/")</x:f>
      </x:c>
      <x:c r="D1810" t="str">
        <x:v>Реанимация</x:v>
      </x:c>
      <x:c r="E1810" t="str">
        <x:v>База для реанимации</x:v>
      </x:c>
      <x:c r="F1810" t="str">
        <x:v>Админ всея Belberry</x:v>
      </x:c>
      <x:c r="G1810" t="str">
        <x:v>да</x:v>
      </x:c>
      <x:c r="H1810" t="str">
        <x:v>нет</x:v>
      </x:c>
    </x:row>
    <x:row r="1811">
      <x:c r="A1811" t="str">
        <x:v>13880</x:v>
      </x:c>
      <x:c r="B1811" t="str">
        <x:v>eyeopen.ru</x:v>
      </x:c>
      <x:c r="C1811" t="e">
        <x:f>HYPERLINK("https://belberrycrm.bitrix24.ru/crm/deal/details/13880/","https://belberrycrm.bitrix24.ru/crm/deal/details/13880/")</x:f>
      </x:c>
      <x:c r="D1811" t="str">
        <x:v>Реанимация</x:v>
      </x:c>
      <x:c r="E1811" t="str">
        <x:v>База для реанимации</x:v>
      </x:c>
      <x:c r="F1811" t="str">
        <x:v>Админ всея Belberry</x:v>
      </x:c>
      <x:c r="G1811" t="str">
        <x:v>нет</x:v>
      </x:c>
      <x:c r="H1811" t="str">
        <x:v>нет</x:v>
      </x:c>
    </x:row>
    <x:row r="1812">
      <x:c r="A1812" t="str">
        <x:v>13882</x:v>
      </x:c>
      <x:c r="B1812" t="str">
        <x:v>kosmetologmsk.ru</x:v>
      </x:c>
      <x:c r="C1812" t="e">
        <x:f>HYPERLINK("https://belberrycrm.bitrix24.ru/crm/deal/details/13882/","https://belberrycrm.bitrix24.ru/crm/deal/details/13882/")</x:f>
      </x:c>
      <x:c r="D1812" t="str">
        <x:v>Реанимация</x:v>
      </x:c>
      <x:c r="E1812" t="str">
        <x:v>База для реанимации</x:v>
      </x:c>
      <x:c r="F1812" t="str">
        <x:v>Админ всея Belberry</x:v>
      </x:c>
      <x:c r="G1812" t="str">
        <x:v>нет</x:v>
      </x:c>
      <x:c r="H1812" t="str">
        <x:v>нет</x:v>
      </x:c>
    </x:row>
    <x:row r="1813">
      <x:c r="A1813" t="str">
        <x:v>13884</x:v>
      </x:c>
      <x:c r="B1813" t="str">
        <x:v>Елена, Бухучёт.</x:v>
      </x:c>
      <x:c r="C1813" t="e">
        <x:f>HYPERLINK("https://belberrycrm.bitrix24.ru/crm/deal/details/13884/","https://belberrycrm.bitrix24.ru/crm/deal/details/13884/")</x:f>
      </x:c>
      <x:c r="D1813" t="str">
        <x:v>Реанимация</x:v>
      </x:c>
      <x:c r="E1813" t="str">
        <x:v>База для реанимации</x:v>
      </x:c>
      <x:c r="F1813" t="str">
        <x:v>Админ всея Belberry</x:v>
      </x:c>
      <x:c r="G1813" t="str">
        <x:v>нет</x:v>
      </x:c>
      <x:c r="H1813" t="str">
        <x:v>нет</x:v>
      </x:c>
    </x:row>
    <x:row r="1814">
      <x:c r="A1814" t="str">
        <x:v>13896</x:v>
      </x:c>
      <x:c r="B1814" t="str">
        <x:v>stomatplus.ru</x:v>
      </x:c>
      <x:c r="C1814" t="e">
        <x:f>HYPERLINK("https://belberrycrm.bitrix24.ru/crm/deal/details/13896/","https://belberrycrm.bitrix24.ru/crm/deal/details/13896/")</x:f>
      </x:c>
      <x:c r="D1814" t="str">
        <x:v>Реанимация</x:v>
      </x:c>
      <x:c r="E1814" t="str">
        <x:v>База для реанимации</x:v>
      </x:c>
      <x:c r="F1814" t="str">
        <x:v>Админ всея Belberry</x:v>
      </x:c>
      <x:c r="G1814" t="str">
        <x:v>нет</x:v>
      </x:c>
      <x:c r="H1814" t="str">
        <x:v>нет</x:v>
      </x:c>
    </x:row>
    <x:row r="1815">
      <x:c r="A1815" t="str">
        <x:v>13898</x:v>
      </x:c>
      <x:c r="B1815" t="str">
        <x:v>лорврач.online</x:v>
      </x:c>
      <x:c r="C1815" t="e">
        <x:f>HYPERLINK("https://belberrycrm.bitrix24.ru/crm/deal/details/13898/","https://belberrycrm.bitrix24.ru/crm/deal/details/13898/")</x:f>
      </x:c>
      <x:c r="D1815" t="str">
        <x:v>Реанимация</x:v>
      </x:c>
      <x:c r="E1815" t="str">
        <x:v>База для реанимации</x:v>
      </x:c>
      <x:c r="F1815" t="str">
        <x:v>Админ всея Belberry</x:v>
      </x:c>
      <x:c r="G1815" t="str">
        <x:v>да</x:v>
      </x:c>
      <x:c r="H1815" t="str">
        <x:v>нет</x:v>
      </x:c>
    </x:row>
    <x:row r="1816">
      <x:c r="A1816" t="str">
        <x:v>13906</x:v>
      </x:c>
      <x:c r="B1816" t="str">
        <x:v>Новая клиника Кирилл</x:v>
      </x:c>
      <x:c r="C1816" t="e">
        <x:f>HYPERLINK("https://belberrycrm.bitrix24.ru/crm/deal/details/13906/","https://belberrycrm.bitrix24.ru/crm/deal/details/13906/")</x:f>
      </x:c>
      <x:c r="D1816" t="str">
        <x:v>Реанимация</x:v>
      </x:c>
      <x:c r="E1816" t="str">
        <x:v>База для реанимации</x:v>
      </x:c>
      <x:c r="F1816" t="str">
        <x:v>Админ всея Belberry</x:v>
      </x:c>
      <x:c r="G1816" t="str">
        <x:v>нет</x:v>
      </x:c>
      <x:c r="H1816" t="str">
        <x:v>нет</x:v>
      </x:c>
    </x:row>
    <x:row r="1817">
      <x:c r="A1817" t="str">
        <x:v>13912</x:v>
      </x:c>
      <x:c r="B1817" t="str">
        <x:v>Тестовая сделка</x:v>
      </x:c>
      <x:c r="C1817" t="e">
        <x:f>HYPERLINK("https://belberrycrm.bitrix24.ru/crm/deal/details/13912/","https://belberrycrm.bitrix24.ru/crm/deal/details/13912/")</x:f>
      </x:c>
      <x:c r="D1817" t="str">
        <x:v>Реанимация</x:v>
      </x:c>
      <x:c r="E1817" t="str">
        <x:v>База для реанимации</x:v>
      </x:c>
      <x:c r="F1817" t="str">
        <x:v>Админ всея Belberry</x:v>
      </x:c>
      <x:c r="G1817" t="str">
        <x:v>нет</x:v>
      </x:c>
      <x:c r="H1817" t="str">
        <x:v>нет</x:v>
      </x:c>
    </x:row>
    <x:row r="1818">
      <x:c r="A1818" t="str">
        <x:v>13920</x:v>
      </x:c>
      <x:c r="B1818" t="str">
        <x:v>kavitron-clinic.ru</x:v>
      </x:c>
      <x:c r="C1818" t="e">
        <x:f>HYPERLINK("https://belberrycrm.bitrix24.ru/crm/deal/details/13920/","https://belberrycrm.bitrix24.ru/crm/deal/details/13920/")</x:f>
      </x:c>
      <x:c r="D1818" t="str">
        <x:v>Реанимация</x:v>
      </x:c>
      <x:c r="E1818" t="str">
        <x:v>База для реанимации</x:v>
      </x:c>
      <x:c r="F1818" t="str">
        <x:v>Админ всея Belberry</x:v>
      </x:c>
      <x:c r="G1818" t="str">
        <x:v>нет</x:v>
      </x:c>
      <x:c r="H1818" t="str">
        <x:v>нет</x:v>
      </x:c>
    </x:row>
    <x:row r="1819">
      <x:c r="A1819" t="str">
        <x:v>13926</x:v>
      </x:c>
      <x:c r="B1819" t="str">
        <x:v>Мета Медика</x:v>
      </x:c>
      <x:c r="C1819" t="e">
        <x:f>HYPERLINK("https://belberrycrm.bitrix24.ru/crm/deal/details/13926/","https://belberrycrm.bitrix24.ru/crm/deal/details/13926/")</x:f>
      </x:c>
      <x:c r="D1819" t="str">
        <x:v>Реанимация</x:v>
      </x:c>
      <x:c r="E1819" t="str">
        <x:v>База для реанимации</x:v>
      </x:c>
      <x:c r="F1819" t="str">
        <x:v>Админ всея Belberry</x:v>
      </x:c>
      <x:c r="G1819" t="str">
        <x:v>да</x:v>
      </x:c>
      <x:c r="H1819" t="str">
        <x:v>нет</x:v>
      </x:c>
    </x:row>
    <x:row r="1820">
      <x:c r="A1820" t="str">
        <x:v>13928</x:v>
      </x:c>
      <x:c r="B1820" t="str">
        <x:v>shinedent.ru</x:v>
      </x:c>
      <x:c r="C1820" t="e">
        <x:f>HYPERLINK("https://belberrycrm.bitrix24.ru/crm/deal/details/13928/","https://belberrycrm.bitrix24.ru/crm/deal/details/13928/")</x:f>
      </x:c>
      <x:c r="D1820" t="str">
        <x:v>Реанимация</x:v>
      </x:c>
      <x:c r="E1820" t="str">
        <x:v>База для реанимации</x:v>
      </x:c>
      <x:c r="F1820" t="str">
        <x:v>Админ всея Belberry</x:v>
      </x:c>
      <x:c r="G1820" t="str">
        <x:v>нет</x:v>
      </x:c>
      <x:c r="H1820" t="str">
        <x:v>нет</x:v>
      </x:c>
    </x:row>
    <x:row r="1821">
      <x:c r="A1821" t="str">
        <x:v>13930</x:v>
      </x:c>
      <x:c r="B1821" t="str">
        <x:v>Клиника Виктории Жидковой</x:v>
      </x:c>
      <x:c r="C1821" t="e">
        <x:f>HYPERLINK("https://belberrycrm.bitrix24.ru/crm/deal/details/13930/","https://belberrycrm.bitrix24.ru/crm/deal/details/13930/")</x:f>
      </x:c>
      <x:c r="D1821" t="str">
        <x:v>Реанимация</x:v>
      </x:c>
      <x:c r="E1821" t="str">
        <x:v>База для реанимации</x:v>
      </x:c>
      <x:c r="F1821" t="str">
        <x:v>Админ всея Belberry</x:v>
      </x:c>
      <x:c r="G1821" t="str">
        <x:v>нет</x:v>
      </x:c>
      <x:c r="H1821" t="str">
        <x:v>нет</x:v>
      </x:c>
    </x:row>
    <x:row r="1822">
      <x:c r="A1822" t="str">
        <x:v>13932</x:v>
      </x:c>
      <x:c r="B1822" t="str">
        <x:v>elite-denta.ru</x:v>
      </x:c>
      <x:c r="C1822" t="e">
        <x:f>HYPERLINK("https://belberrycrm.bitrix24.ru/crm/deal/details/13932/","https://belberrycrm.bitrix24.ru/crm/deal/details/13932/")</x:f>
      </x:c>
      <x:c r="D1822" t="str">
        <x:v>Реанимация</x:v>
      </x:c>
      <x:c r="E1822" t="str">
        <x:v>База для реанимации</x:v>
      </x:c>
      <x:c r="F1822" t="str">
        <x:v>Админ всея Belberry</x:v>
      </x:c>
      <x:c r="G1822" t="str">
        <x:v>нет</x:v>
      </x:c>
      <x:c r="H1822" t="str">
        <x:v>нет</x:v>
      </x:c>
    </x:row>
    <x:row r="1823">
      <x:c r="A1823" t="str">
        <x:v>13938</x:v>
      </x:c>
      <x:c r="B1823" t="str">
        <x:v>evanetwork.ru</x:v>
      </x:c>
      <x:c r="C1823" t="e">
        <x:f>HYPERLINK("https://belberrycrm.bitrix24.ru/crm/deal/details/13938/","https://belberrycrm.bitrix24.ru/crm/deal/details/13938/")</x:f>
      </x:c>
      <x:c r="D1823" t="str">
        <x:v>Реанимация</x:v>
      </x:c>
      <x:c r="E1823" t="str">
        <x:v>База для реанимации</x:v>
      </x:c>
      <x:c r="F1823" t="str">
        <x:v>Админ всея Belberry</x:v>
      </x:c>
      <x:c r="G1823" t="str">
        <x:v>да</x:v>
      </x:c>
      <x:c r="H1823" t="str">
        <x:v>нет</x:v>
      </x:c>
    </x:row>
    <x:row r="1824">
      <x:c r="A1824" t="str">
        <x:v>13940</x:v>
      </x:c>
      <x:c r="B1824" t="str">
        <x:v>Любовь (скорая помощь)</x:v>
      </x:c>
      <x:c r="C1824" t="e">
        <x:f>HYPERLINK("https://belberrycrm.bitrix24.ru/crm/deal/details/13940/","https://belberrycrm.bitrix24.ru/crm/deal/details/13940/")</x:f>
      </x:c>
      <x:c r="D1824" t="str">
        <x:v>Реанимация</x:v>
      </x:c>
      <x:c r="E1824" t="str">
        <x:v>База для реанимации</x:v>
      </x:c>
      <x:c r="F1824" t="str">
        <x:v>Админ всея Belberry</x:v>
      </x:c>
      <x:c r="G1824" t="str">
        <x:v>нет</x:v>
      </x:c>
      <x:c r="H1824" t="str">
        <x:v>нет</x:v>
      </x:c>
    </x:row>
    <x:row r="1825">
      <x:c r="A1825" t="str">
        <x:v>13948</x:v>
      </x:c>
      <x:c r="B1825" t="str">
        <x:v>Алексей, заявка на копию сайта ТЦ Миля</x:v>
      </x:c>
      <x:c r="C1825" t="e">
        <x:f>HYPERLINK("https://belberrycrm.bitrix24.ru/crm/deal/details/13948/","https://belberrycrm.bitrix24.ru/crm/deal/details/13948/")</x:f>
      </x:c>
      <x:c r="D1825" t="str">
        <x:v>Реанимация</x:v>
      </x:c>
      <x:c r="E1825" t="str">
        <x:v>База для реанимации</x:v>
      </x:c>
      <x:c r="F1825" t="str">
        <x:v>Админ всея Belberry</x:v>
      </x:c>
      <x:c r="G1825" t="str">
        <x:v>да</x:v>
      </x:c>
      <x:c r="H1825" t="str">
        <x:v>нет</x:v>
      </x:c>
    </x:row>
    <x:row r="1826">
      <x:c r="A1826" t="str">
        <x:v>13952</x:v>
      </x:c>
      <x:c r="B1826" t="str">
        <x:v>Panorama.ws</x:v>
      </x:c>
      <x:c r="C1826" t="e">
        <x:f>HYPERLINK("https://belberrycrm.bitrix24.ru/crm/deal/details/13952/","https://belberrycrm.bitrix24.ru/crm/deal/details/13952/")</x:f>
      </x:c>
      <x:c r="D1826" t="str">
        <x:v>Реанимация</x:v>
      </x:c>
      <x:c r="E1826" t="str">
        <x:v>База для реанимации</x:v>
      </x:c>
      <x:c r="F1826" t="str">
        <x:v>Админ всея Belberry</x:v>
      </x:c>
      <x:c r="G1826" t="str">
        <x:v>нет</x:v>
      </x:c>
      <x:c r="H1826" t="str">
        <x:v>нет</x:v>
      </x:c>
    </x:row>
    <x:row r="1827">
      <x:c r="A1827" t="str">
        <x:v>13958</x:v>
      </x:c>
      <x:c r="B1827" t="str">
        <x:v>ecredit.one</x:v>
      </x:c>
      <x:c r="C1827" t="e">
        <x:f>HYPERLINK("https://belberrycrm.bitrix24.ru/crm/deal/details/13958/","https://belberrycrm.bitrix24.ru/crm/deal/details/13958/")</x:f>
      </x:c>
      <x:c r="D1827" t="str">
        <x:v>Реанимация</x:v>
      </x:c>
      <x:c r="E1827" t="str">
        <x:v>База для реанимации</x:v>
      </x:c>
      <x:c r="F1827" t="str">
        <x:v>Админ всея Belberry</x:v>
      </x:c>
      <x:c r="G1827" t="str">
        <x:v>да</x:v>
      </x:c>
      <x:c r="H1827" t="str">
        <x:v>нет</x:v>
      </x:c>
    </x:row>
    <x:row r="1828">
      <x:c r="A1828" t="str">
        <x:v>13960</x:v>
      </x:c>
      <x:c r="B1828" t="str">
        <x:v>hotel-istra.ru</x:v>
      </x:c>
      <x:c r="C1828" t="e">
        <x:f>HYPERLINK("https://belberrycrm.bitrix24.ru/crm/deal/details/13960/","https://belberrycrm.bitrix24.ru/crm/deal/details/13960/")</x:f>
      </x:c>
      <x:c r="D1828" t="str">
        <x:v>Реанимация</x:v>
      </x:c>
      <x:c r="E1828" t="str">
        <x:v>База для реанимации</x:v>
      </x:c>
      <x:c r="F1828" t="str">
        <x:v>Админ всея Belberry</x:v>
      </x:c>
      <x:c r="G1828" t="str">
        <x:v>нет</x:v>
      </x:c>
      <x:c r="H1828" t="str">
        <x:v>нет</x:v>
      </x:c>
    </x:row>
    <x:row r="1829">
      <x:c r="A1829" t="str">
        <x:v>13962</x:v>
      </x:c>
      <x:c r="B1829" t="str">
        <x:v>mrt96.ru</x:v>
      </x:c>
      <x:c r="C1829" t="e">
        <x:f>HYPERLINK("https://belberrycrm.bitrix24.ru/crm/deal/details/13962/","https://belberrycrm.bitrix24.ru/crm/deal/details/13962/")</x:f>
      </x:c>
      <x:c r="D1829" t="str">
        <x:v>Реанимация</x:v>
      </x:c>
      <x:c r="E1829" t="str">
        <x:v>База для реанимации</x:v>
      </x:c>
      <x:c r="F1829" t="str">
        <x:v>Админ всея Belberry</x:v>
      </x:c>
      <x:c r="G1829" t="str">
        <x:v>нет</x:v>
      </x:c>
      <x:c r="H1829" t="str">
        <x:v>нет</x:v>
      </x:c>
    </x:row>
    <x:row r="1830">
      <x:c r="A1830" t="str">
        <x:v>13970</x:v>
      </x:c>
      <x:c r="B1830" t="str">
        <x:v>deklarantonline.ru</x:v>
      </x:c>
      <x:c r="C1830" t="e">
        <x:f>HYPERLINK("https://belberrycrm.bitrix24.ru/crm/deal/details/13970/","https://belberrycrm.bitrix24.ru/crm/deal/details/13970/")</x:f>
      </x:c>
      <x:c r="D1830" t="str">
        <x:v>Реанимация</x:v>
      </x:c>
      <x:c r="E1830" t="str">
        <x:v>База для реанимации</x:v>
      </x:c>
      <x:c r="F1830" t="str">
        <x:v>Админ всея Belberry</x:v>
      </x:c>
      <x:c r="G1830" t="str">
        <x:v>нет</x:v>
      </x:c>
      <x:c r="H1830" t="str">
        <x:v>нет</x:v>
      </x:c>
    </x:row>
    <x:row r="1831">
      <x:c r="A1831" t="str">
        <x:v>13972</x:v>
      </x:c>
      <x:c r="B1831" t="str">
        <x:v>Новая многопрофильная клиника в г. Воронеж</x:v>
      </x:c>
      <x:c r="C1831" t="e">
        <x:f>HYPERLINK("https://belberrycrm.bitrix24.ru/crm/deal/details/13972/","https://belberrycrm.bitrix24.ru/crm/deal/details/13972/")</x:f>
      </x:c>
      <x:c r="D1831" t="str">
        <x:v>Реанимация</x:v>
      </x:c>
      <x:c r="E1831" t="str">
        <x:v>База для реанимации</x:v>
      </x:c>
      <x:c r="F1831" t="str">
        <x:v>Админ всея Belberry</x:v>
      </x:c>
      <x:c r="G1831" t="str">
        <x:v>нет</x:v>
      </x:c>
      <x:c r="H1831" t="str">
        <x:v>нет</x:v>
      </x:c>
    </x:row>
    <x:row r="1832">
      <x:c r="A1832" t="str">
        <x:v>13974</x:v>
      </x:c>
      <x:c r="B1832" t="str">
        <x:v>Новый многопрофильный центр в г. Солнечногорск</x:v>
      </x:c>
      <x:c r="C1832" t="e">
        <x:f>HYPERLINK("https://belberrycrm.bitrix24.ru/crm/deal/details/13974/","https://belberrycrm.bitrix24.ru/crm/deal/details/13974/")</x:f>
      </x:c>
      <x:c r="D1832" t="str">
        <x:v>Реанимация</x:v>
      </x:c>
      <x:c r="E1832" t="str">
        <x:v>База для реанимации</x:v>
      </x:c>
      <x:c r="F1832" t="str">
        <x:v>Админ всея Belberry</x:v>
      </x:c>
      <x:c r="G1832" t="str">
        <x:v>нет</x:v>
      </x:c>
      <x:c r="H1832" t="str">
        <x:v>нет</x:v>
      </x:c>
    </x:row>
    <x:row r="1833">
      <x:c r="A1833" t="str">
        <x:v>13976</x:v>
      </x:c>
      <x:c r="B1833" t="str">
        <x:v>Новая клиника Ташкент</x:v>
      </x:c>
      <x:c r="C1833" t="e">
        <x:f>HYPERLINK("https://belberrycrm.bitrix24.ru/crm/deal/details/13976/","https://belberrycrm.bitrix24.ru/crm/deal/details/13976/")</x:f>
      </x:c>
      <x:c r="D1833" t="str">
        <x:v>Реанимация</x:v>
      </x:c>
      <x:c r="E1833" t="str">
        <x:v>База для реанимации</x:v>
      </x:c>
      <x:c r="F1833" t="str">
        <x:v>Админ всея Belberry</x:v>
      </x:c>
      <x:c r="G1833" t="str">
        <x:v>нет</x:v>
      </x:c>
      <x:c r="H1833" t="str">
        <x:v>нет</x:v>
      </x:c>
    </x:row>
    <x:row r="1834">
      <x:c r="A1834" t="str">
        <x:v>13978</x:v>
      </x:c>
      <x:c r="B1834" t="str">
        <x:v>faceconcept.ru</x:v>
      </x:c>
      <x:c r="C1834" t="e">
        <x:f>HYPERLINK("https://belberrycrm.bitrix24.ru/crm/deal/details/13978/","https://belberrycrm.bitrix24.ru/crm/deal/details/13978/")</x:f>
      </x:c>
      <x:c r="D1834" t="str">
        <x:v>Реанимация</x:v>
      </x:c>
      <x:c r="E1834" t="str">
        <x:v>База для реанимации</x:v>
      </x:c>
      <x:c r="F1834" t="str">
        <x:v>Админ всея Belberry</x:v>
      </x:c>
      <x:c r="G1834" t="str">
        <x:v>да</x:v>
      </x:c>
      <x:c r="H1834" t="str">
        <x:v>нет</x:v>
      </x:c>
    </x:row>
    <x:row r="1835">
      <x:c r="A1835" t="str">
        <x:v>13980</x:v>
      </x:c>
      <x:c r="B1835" t="str">
        <x:v>BESOPHLI</x:v>
      </x:c>
      <x:c r="C1835" t="e">
        <x:f>HYPERLINK("https://belberrycrm.bitrix24.ru/crm/deal/details/13980/","https://belberrycrm.bitrix24.ru/crm/deal/details/13980/")</x:f>
      </x:c>
      <x:c r="D1835" t="str">
        <x:v>Реанимация</x:v>
      </x:c>
      <x:c r="E1835" t="str">
        <x:v>База для реанимации</x:v>
      </x:c>
      <x:c r="F1835" t="str">
        <x:v>Админ всея Belberry</x:v>
      </x:c>
      <x:c r="G1835" t="str">
        <x:v>нет</x:v>
      </x:c>
      <x:c r="H1835" t="str">
        <x:v>нет</x:v>
      </x:c>
    </x:row>
    <x:row r="1836">
      <x:c r="A1836" t="str">
        <x:v>13982</x:v>
      </x:c>
      <x:c r="B1836" t="str">
        <x:v>radissonhotels.com</x:v>
      </x:c>
      <x:c r="C1836" t="e">
        <x:f>HYPERLINK("https://belberrycrm.bitrix24.ru/crm/deal/details/13982/","https://belberrycrm.bitrix24.ru/crm/deal/details/13982/")</x:f>
      </x:c>
      <x:c r="D1836" t="str">
        <x:v>Реанимация</x:v>
      </x:c>
      <x:c r="E1836" t="str">
        <x:v>База для реанимации</x:v>
      </x:c>
      <x:c r="F1836" t="str">
        <x:v>Админ всея Belberry</x:v>
      </x:c>
      <x:c r="G1836" t="str">
        <x:v>нет</x:v>
      </x:c>
      <x:c r="H1836" t="str">
        <x:v>нет</x:v>
      </x:c>
    </x:row>
    <x:row r="1837">
      <x:c r="A1837" t="str">
        <x:v>13996</x:v>
      </x:c>
      <x:c r="B1837" t="str">
        <x:v>Десятникова Светлана Александровна</x:v>
      </x:c>
      <x:c r="C1837" t="e">
        <x:f>HYPERLINK("https://belberrycrm.bitrix24.ru/crm/deal/details/13996/","https://belberrycrm.bitrix24.ru/crm/deal/details/13996/")</x:f>
      </x:c>
      <x:c r="D1837" t="str">
        <x:v>Реанимация</x:v>
      </x:c>
      <x:c r="E1837" t="str">
        <x:v>База для реанимации</x:v>
      </x:c>
      <x:c r="F1837" t="str">
        <x:v>Админ всея Belberry</x:v>
      </x:c>
      <x:c r="G1837" t="str">
        <x:v>да</x:v>
      </x:c>
      <x:c r="H1837" t="str">
        <x:v>нет</x:v>
      </x:c>
    </x:row>
    <x:row r="1838">
      <x:c r="A1838" t="str">
        <x:v>13998</x:v>
      </x:c>
      <x:c r="B1838" t="str">
        <x:v>duoclinic.ru</x:v>
      </x:c>
      <x:c r="C1838" t="e">
        <x:f>HYPERLINK("https://belberrycrm.bitrix24.ru/crm/deal/details/13998/","https://belberrycrm.bitrix24.ru/crm/deal/details/13998/")</x:f>
      </x:c>
      <x:c r="D1838" t="str">
        <x:v>Реанимация</x:v>
      </x:c>
      <x:c r="E1838" t="str">
        <x:v>База для реанимации</x:v>
      </x:c>
      <x:c r="F1838" t="str">
        <x:v>Админ всея Belberry</x:v>
      </x:c>
      <x:c r="G1838" t="str">
        <x:v>нет</x:v>
      </x:c>
      <x:c r="H1838" t="str">
        <x:v>нет</x:v>
      </x:c>
    </x:row>
    <x:row r="1839">
      <x:c r="A1839" t="str">
        <x:v>14000</x:v>
      </x:c>
      <x:c r="B1839" t="str">
        <x:v>zubkivsem.ru</x:v>
      </x:c>
      <x:c r="C1839" t="e">
        <x:f>HYPERLINK("https://belberrycrm.bitrix24.ru/crm/deal/details/14000/","https://belberrycrm.bitrix24.ru/crm/deal/details/14000/")</x:f>
      </x:c>
      <x:c r="D1839" t="str">
        <x:v>Реанимация</x:v>
      </x:c>
      <x:c r="E1839" t="str">
        <x:v>База для реанимации</x:v>
      </x:c>
      <x:c r="F1839" t="str">
        <x:v>Админ всея Belberry</x:v>
      </x:c>
      <x:c r="G1839" t="str">
        <x:v>нет</x:v>
      </x:c>
      <x:c r="H1839" t="str">
        <x:v>нет</x:v>
      </x:c>
    </x:row>
    <x:row r="1840">
      <x:c r="A1840" t="str">
        <x:v>14004</x:v>
      </x:c>
      <x:c r="B1840" t="str">
        <x:v>Клиника в Нижнем Новгороде</x:v>
      </x:c>
      <x:c r="C1840" t="e">
        <x:f>HYPERLINK("https://belberrycrm.bitrix24.ru/crm/deal/details/14004/","https://belberrycrm.bitrix24.ru/crm/deal/details/14004/")</x:f>
      </x:c>
      <x:c r="D1840" t="str">
        <x:v>Реанимация</x:v>
      </x:c>
      <x:c r="E1840" t="str">
        <x:v>База для реанимации</x:v>
      </x:c>
      <x:c r="F1840" t="str">
        <x:v>Админ всея Belberry</x:v>
      </x:c>
      <x:c r="G1840" t="str">
        <x:v>нет</x:v>
      </x:c>
      <x:c r="H1840" t="str">
        <x:v>нет</x:v>
      </x:c>
    </x:row>
    <x:row r="1841">
      <x:c r="A1841" t="str">
        <x:v>14008</x:v>
      </x:c>
      <x:c r="B1841" t="str">
        <x:v>stom-desna.ru</x:v>
      </x:c>
      <x:c r="C1841" t="e">
        <x:f>HYPERLINK("https://belberrycrm.bitrix24.ru/crm/deal/details/14008/","https://belberrycrm.bitrix24.ru/crm/deal/details/14008/")</x:f>
      </x:c>
      <x:c r="D1841" t="str">
        <x:v>Реанимация</x:v>
      </x:c>
      <x:c r="E1841" t="str">
        <x:v>База для реанимации</x:v>
      </x:c>
      <x:c r="F1841" t="str">
        <x:v>Админ всея Belberry</x:v>
      </x:c>
      <x:c r="G1841" t="str">
        <x:v>нет</x:v>
      </x:c>
      <x:c r="H1841" t="str">
        <x:v>нет</x:v>
      </x:c>
    </x:row>
    <x:row r="1842">
      <x:c r="A1842" t="str">
        <x:v>14012</x:v>
      </x:c>
      <x:c r="B1842" t="str">
        <x:v>Евгений Гармаев (разработка лендинга под элайнеры)</x:v>
      </x:c>
      <x:c r="C1842" t="e">
        <x:f>HYPERLINK("https://belberrycrm.bitrix24.ru/crm/deal/details/14012/","https://belberrycrm.bitrix24.ru/crm/deal/details/14012/")</x:f>
      </x:c>
      <x:c r="D1842" t="str">
        <x:v>Реанимация</x:v>
      </x:c>
      <x:c r="E1842" t="str">
        <x:v>База для реанимации</x:v>
      </x:c>
      <x:c r="F1842" t="str">
        <x:v>Админ всея Belberry</x:v>
      </x:c>
      <x:c r="G1842" t="str">
        <x:v>нет</x:v>
      </x:c>
      <x:c r="H1842" t="str">
        <x:v>нет</x:v>
      </x:c>
    </x:row>
    <x:row r="1843">
      <x:c r="A1843" t="str">
        <x:v>14014</x:v>
      </x:c>
      <x:c r="B1843" t="str">
        <x:v>novdenta.ru</x:v>
      </x:c>
      <x:c r="C1843" t="e">
        <x:f>HYPERLINK("https://belberrycrm.bitrix24.ru/crm/deal/details/14014/","https://belberrycrm.bitrix24.ru/crm/deal/details/14014/")</x:f>
      </x:c>
      <x:c r="D1843" t="str">
        <x:v>Реанимация</x:v>
      </x:c>
      <x:c r="E1843" t="str">
        <x:v>База для реанимации</x:v>
      </x:c>
      <x:c r="F1843" t="str">
        <x:v>Админ всея Belberry</x:v>
      </x:c>
      <x:c r="G1843" t="str">
        <x:v>нет</x:v>
      </x:c>
      <x:c r="H1843" t="str">
        <x:v>нет</x:v>
      </x:c>
    </x:row>
    <x:row r="1844">
      <x:c r="A1844" t="str">
        <x:v>14022</x:v>
      </x:c>
      <x:c r="B1844" t="str">
        <x:v>neurodens.ru</x:v>
      </x:c>
      <x:c r="C1844" t="e">
        <x:f>HYPERLINK("https://belberrycrm.bitrix24.ru/crm/deal/details/14022/","https://belberrycrm.bitrix24.ru/crm/deal/details/14022/")</x:f>
      </x:c>
      <x:c r="D1844" t="str">
        <x:v>Реанимация</x:v>
      </x:c>
      <x:c r="E1844" t="str">
        <x:v>База для реанимации</x:v>
      </x:c>
      <x:c r="F1844" t="str">
        <x:v>Админ всея Belberry</x:v>
      </x:c>
      <x:c r="G1844" t="str">
        <x:v>да</x:v>
      </x:c>
      <x:c r="H1844" t="str">
        <x:v>нет</x:v>
      </x:c>
    </x:row>
    <x:row r="1845">
      <x:c r="A1845" t="str">
        <x:v>14024</x:v>
      </x:c>
      <x:c r="B1845" t="str">
        <x:v>margaritakoroleva.ru</x:v>
      </x:c>
      <x:c r="C1845" t="e">
        <x:f>HYPERLINK("https://belberrycrm.bitrix24.ru/crm/deal/details/14024/","https://belberrycrm.bitrix24.ru/crm/deal/details/14024/")</x:f>
      </x:c>
      <x:c r="D1845" t="str">
        <x:v>Реанимация</x:v>
      </x:c>
      <x:c r="E1845" t="str">
        <x:v>База для реанимации</x:v>
      </x:c>
      <x:c r="F1845" t="str">
        <x:v>Админ всея Belberry</x:v>
      </x:c>
      <x:c r="G1845" t="str">
        <x:v>нет</x:v>
      </x:c>
      <x:c r="H1845" t="str">
        <x:v>нет</x:v>
      </x:c>
    </x:row>
    <x:row r="1846">
      <x:c r="A1846" t="str">
        <x:v>14026</x:v>
      </x:c>
      <x:c r="B1846" t="str">
        <x:v>medintourist.ru</x:v>
      </x:c>
      <x:c r="C1846" t="e">
        <x:f>HYPERLINK("https://belberrycrm.bitrix24.ru/crm/deal/details/14026/","https://belberrycrm.bitrix24.ru/crm/deal/details/14026/")</x:f>
      </x:c>
      <x:c r="D1846" t="str">
        <x:v>Реанимация</x:v>
      </x:c>
      <x:c r="E1846" t="str">
        <x:v>База для реанимации</x:v>
      </x:c>
      <x:c r="F1846" t="str">
        <x:v>Админ всея Belberry</x:v>
      </x:c>
      <x:c r="G1846" t="str">
        <x:v>нет</x:v>
      </x:c>
      <x:c r="H1846" t="str">
        <x:v>нет</x:v>
      </x:c>
    </x:row>
    <x:row r="1847">
      <x:c r="A1847" t="str">
        <x:v>14030</x:v>
      </x:c>
      <x:c r="B1847" t="str">
        <x:v>sale.adv-exeed.ru</x:v>
      </x:c>
      <x:c r="C1847" t="e">
        <x:f>HYPERLINK("https://belberrycrm.bitrix24.ru/crm/deal/details/14030/","https://belberrycrm.bitrix24.ru/crm/deal/details/14030/")</x:f>
      </x:c>
      <x:c r="D1847" t="str">
        <x:v>Реанимация</x:v>
      </x:c>
      <x:c r="E1847" t="str">
        <x:v>База для реанимации</x:v>
      </x:c>
      <x:c r="F1847" t="str">
        <x:v>Админ всея Belberry</x:v>
      </x:c>
      <x:c r="G1847" t="str">
        <x:v>нет</x:v>
      </x:c>
      <x:c r="H1847" t="str">
        <x:v>нет</x:v>
      </x:c>
    </x:row>
    <x:row r="1848">
      <x:c r="A1848" t="str">
        <x:v>14034</x:v>
      </x:c>
      <x:c r="B1848" t="str">
        <x:v>docmaximova.ru</x:v>
      </x:c>
      <x:c r="C1848" t="e">
        <x:f>HYPERLINK("https://belberrycrm.bitrix24.ru/crm/deal/details/14034/","https://belberrycrm.bitrix24.ru/crm/deal/details/14034/")</x:f>
      </x:c>
      <x:c r="D1848" t="str">
        <x:v>Реанимация</x:v>
      </x:c>
      <x:c r="E1848" t="str">
        <x:v>База для реанимации</x:v>
      </x:c>
      <x:c r="F1848" t="str">
        <x:v>Админ всея Belberry</x:v>
      </x:c>
      <x:c r="G1848" t="str">
        <x:v>да</x:v>
      </x:c>
      <x:c r="H1848" t="str">
        <x:v>нет</x:v>
      </x:c>
    </x:row>
    <x:row r="1849">
      <x:c r="A1849" t="str">
        <x:v>14036</x:v>
      </x:c>
      <x:c r="B1849" t="str">
        <x:v>service-conditioners.pro</x:v>
      </x:c>
      <x:c r="C1849" t="e">
        <x:f>HYPERLINK("https://belberrycrm.bitrix24.ru/crm/deal/details/14036/","https://belberrycrm.bitrix24.ru/crm/deal/details/14036/")</x:f>
      </x:c>
      <x:c r="D1849" t="str">
        <x:v>Реанимация</x:v>
      </x:c>
      <x:c r="E1849" t="str">
        <x:v>База для реанимации</x:v>
      </x:c>
      <x:c r="F1849" t="str">
        <x:v>Админ всея Belberry</x:v>
      </x:c>
      <x:c r="G1849" t="str">
        <x:v>да</x:v>
      </x:c>
      <x:c r="H1849" t="str">
        <x:v>нет</x:v>
      </x:c>
    </x:row>
    <x:row r="1850">
      <x:c r="A1850" t="str">
        <x:v>14044</x:v>
      </x:c>
      <x:c r="B1850" t="str">
        <x:v>attributeshop.ru</x:v>
      </x:c>
      <x:c r="C1850" t="e">
        <x:f>HYPERLINK("https://belberrycrm.bitrix24.ru/crm/deal/details/14044/","https://belberrycrm.bitrix24.ru/crm/deal/details/14044/")</x:f>
      </x:c>
      <x:c r="D1850" t="str">
        <x:v>Реанимация</x:v>
      </x:c>
      <x:c r="E1850" t="str">
        <x:v>База для реанимации</x:v>
      </x:c>
      <x:c r="F1850" t="str">
        <x:v>Админ всея Belberry</x:v>
      </x:c>
      <x:c r="G1850" t="str">
        <x:v>нет</x:v>
      </x:c>
      <x:c r="H1850" t="str">
        <x:v>нет</x:v>
      </x:c>
    </x:row>
    <x:row r="1851">
      <x:c r="A1851" t="str">
        <x:v>14056</x:v>
      </x:c>
      <x:c r="B1851" t="str">
        <x:v>варикозанет77.рф</x:v>
      </x:c>
      <x:c r="C1851" t="e">
        <x:f>HYPERLINK("https://belberrycrm.bitrix24.ru/crm/deal/details/14056/","https://belberrycrm.bitrix24.ru/crm/deal/details/14056/")</x:f>
      </x:c>
      <x:c r="D1851" t="str">
        <x:v>Реанимация</x:v>
      </x:c>
      <x:c r="E1851" t="str">
        <x:v>База для реанимации</x:v>
      </x:c>
      <x:c r="F1851" t="str">
        <x:v>Админ всея Belberry</x:v>
      </x:c>
      <x:c r="G1851" t="str">
        <x:v>да</x:v>
      </x:c>
      <x:c r="H1851" t="str">
        <x:v>нет</x:v>
      </x:c>
    </x:row>
    <x:row r="1852">
      <x:c r="A1852" t="str">
        <x:v>14062</x:v>
      </x:c>
      <x:c r="B1852" t="str">
        <x:v>narodstom.ru</x:v>
      </x:c>
      <x:c r="C1852" t="e">
        <x:f>HYPERLINK("https://belberrycrm.bitrix24.ru/crm/deal/details/14062/","https://belberrycrm.bitrix24.ru/crm/deal/details/14062/")</x:f>
      </x:c>
      <x:c r="D1852" t="str">
        <x:v>Реанимация</x:v>
      </x:c>
      <x:c r="E1852" t="str">
        <x:v>База для реанимации</x:v>
      </x:c>
      <x:c r="F1852" t="str">
        <x:v>Админ всея Belberry</x:v>
      </x:c>
      <x:c r="G1852" t="str">
        <x:v>да</x:v>
      </x:c>
      <x:c r="H1852" t="str">
        <x:v>нет</x:v>
      </x:c>
    </x:row>
    <x:row r="1853">
      <x:c r="A1853" t="str">
        <x:v>14074</x:v>
      </x:c>
      <x:c r="B1853" t="str">
        <x:v>gerat-parts.ru</x:v>
      </x:c>
      <x:c r="C1853" t="e">
        <x:f>HYPERLINK("https://belberrycrm.bitrix24.ru/crm/deal/details/14074/","https://belberrycrm.bitrix24.ru/crm/deal/details/14074/")</x:f>
      </x:c>
      <x:c r="D1853" t="str">
        <x:v>Реанимация</x:v>
      </x:c>
      <x:c r="E1853" t="str">
        <x:v>База для реанимации</x:v>
      </x:c>
      <x:c r="F1853" t="str">
        <x:v>Админ всея Belberry</x:v>
      </x:c>
      <x:c r="G1853" t="str">
        <x:v>нет</x:v>
      </x:c>
      <x:c r="H1853" t="str">
        <x:v>нет</x:v>
      </x:c>
    </x:row>
    <x:row r="1854">
      <x:c r="A1854" t="str">
        <x:v>14076</x:v>
      </x:c>
      <x:c r="B1854" t="str">
        <x:v>Елена Сергеевна (стоматология в Москве)</x:v>
      </x:c>
      <x:c r="C1854" t="e">
        <x:f>HYPERLINK("https://belberrycrm.bitrix24.ru/crm/deal/details/14076/","https://belberrycrm.bitrix24.ru/crm/deal/details/14076/")</x:f>
      </x:c>
      <x:c r="D1854" t="str">
        <x:v>Реанимация</x:v>
      </x:c>
      <x:c r="E1854" t="str">
        <x:v>База для реанимации</x:v>
      </x:c>
      <x:c r="F1854" t="str">
        <x:v>Админ всея Belberry</x:v>
      </x:c>
      <x:c r="G1854" t="str">
        <x:v>нет</x:v>
      </x:c>
      <x:c r="H1854" t="str">
        <x:v>нет</x:v>
      </x:c>
    </x:row>
    <x:row r="1855">
      <x:c r="A1855" t="str">
        <x:v>14080</x:v>
      </x:c>
      <x:c r="B1855" t="str">
        <x:v>sanel.store</x:v>
      </x:c>
      <x:c r="C1855" t="e">
        <x:f>HYPERLINK("https://belberrycrm.bitrix24.ru/crm/deal/details/14080/","https://belberrycrm.bitrix24.ru/crm/deal/details/14080/")</x:f>
      </x:c>
      <x:c r="D1855" t="str">
        <x:v>Реанимация</x:v>
      </x:c>
      <x:c r="E1855" t="str">
        <x:v>База для реанимации</x:v>
      </x:c>
      <x:c r="F1855" t="str">
        <x:v>Админ всея Belberry</x:v>
      </x:c>
      <x:c r="G1855" t="str">
        <x:v>нет</x:v>
      </x:c>
      <x:c r="H1855" t="str">
        <x:v>нет</x:v>
      </x:c>
    </x:row>
    <x:row r="1856">
      <x:c r="A1856" t="str">
        <x:v>14088</x:v>
      </x:c>
      <x:c r="B1856" t="str">
        <x:v>evomed-clinic.ru</x:v>
      </x:c>
      <x:c r="C1856" t="e">
        <x:f>HYPERLINK("https://belberrycrm.bitrix24.ru/crm/deal/details/14088/","https://belberrycrm.bitrix24.ru/crm/deal/details/14088/")</x:f>
      </x:c>
      <x:c r="D1856" t="str">
        <x:v>Реанимация</x:v>
      </x:c>
      <x:c r="E1856" t="str">
        <x:v>База для реанимации</x:v>
      </x:c>
      <x:c r="F1856" t="str">
        <x:v>Админ всея Belberry</x:v>
      </x:c>
      <x:c r="G1856" t="str">
        <x:v>да</x:v>
      </x:c>
      <x:c r="H1856" t="str">
        <x:v>нет</x:v>
      </x:c>
    </x:row>
    <x:row r="1857">
      <x:c r="A1857" t="str">
        <x:v>14090</x:v>
      </x:c>
      <x:c r="B1857" t="str">
        <x:v>askona38.ru</x:v>
      </x:c>
      <x:c r="C1857" t="e">
        <x:f>HYPERLINK("https://belberrycrm.bitrix24.ru/crm/deal/details/14090/","https://belberrycrm.bitrix24.ru/crm/deal/details/14090/")</x:f>
      </x:c>
      <x:c r="D1857" t="str">
        <x:v>Реанимация</x:v>
      </x:c>
      <x:c r="E1857" t="str">
        <x:v>База для реанимации</x:v>
      </x:c>
      <x:c r="F1857" t="str">
        <x:v>Админ всея Belberry</x:v>
      </x:c>
      <x:c r="G1857" t="str">
        <x:v>нет</x:v>
      </x:c>
      <x:c r="H1857" t="str">
        <x:v>нет</x:v>
      </x:c>
    </x:row>
    <x:row r="1858">
      <x:c r="A1858" t="str">
        <x:v>14094</x:v>
      </x:c>
      <x:c r="B1858" t="str">
        <x:v>мистер-фиш.рф</x:v>
      </x:c>
      <x:c r="C1858" t="e">
        <x:f>HYPERLINK("https://belberrycrm.bitrix24.ru/crm/deal/details/14094/","https://belberrycrm.bitrix24.ru/crm/deal/details/14094/")</x:f>
      </x:c>
      <x:c r="D1858" t="str">
        <x:v>Реанимация</x:v>
      </x:c>
      <x:c r="E1858" t="str">
        <x:v>База для реанимации</x:v>
      </x:c>
      <x:c r="F1858" t="str">
        <x:v>Админ всея Belberry</x:v>
      </x:c>
      <x:c r="G1858" t="str">
        <x:v>нет</x:v>
      </x:c>
      <x:c r="H1858" t="str">
        <x:v>нет</x:v>
      </x:c>
    </x:row>
    <x:row r="1859">
      <x:c r="A1859" t="str">
        <x:v>14096</x:v>
      </x:c>
      <x:c r="B1859" t="str">
        <x:v>hi-techclinic.ru</x:v>
      </x:c>
      <x:c r="C1859" t="e">
        <x:f>HYPERLINK("https://belberrycrm.bitrix24.ru/crm/deal/details/14096/","https://belberrycrm.bitrix24.ru/crm/deal/details/14096/")</x:f>
      </x:c>
      <x:c r="D1859" t="str">
        <x:v>Реанимация</x:v>
      </x:c>
      <x:c r="E1859" t="str">
        <x:v>База для реанимации</x:v>
      </x:c>
      <x:c r="F1859" t="str">
        <x:v>Админ всея Belberry</x:v>
      </x:c>
      <x:c r="G1859" t="str">
        <x:v>нет</x:v>
      </x:c>
      <x:c r="H1859" t="str">
        <x:v>нет</x:v>
      </x:c>
    </x:row>
    <x:row r="1860">
      <x:c r="A1860" t="str">
        <x:v>14100</x:v>
      </x:c>
      <x:c r="B1860" t="str">
        <x:v>Екатерина Вход Печи</x:v>
      </x:c>
      <x:c r="C1860" t="e">
        <x:f>HYPERLINK("https://belberrycrm.bitrix24.ru/crm/deal/details/14100/","https://belberrycrm.bitrix24.ru/crm/deal/details/14100/")</x:f>
      </x:c>
      <x:c r="D1860" t="str">
        <x:v>Реанимация</x:v>
      </x:c>
      <x:c r="E1860" t="str">
        <x:v>База для реанимации</x:v>
      </x:c>
      <x:c r="F1860" t="str">
        <x:v>Админ всея Belberry</x:v>
      </x:c>
      <x:c r="G1860" t="str">
        <x:v>нет</x:v>
      </x:c>
      <x:c r="H1860" t="str">
        <x:v>нет</x:v>
      </x:c>
    </x:row>
    <x:row r="1861">
      <x:c r="A1861" t="str">
        <x:v>14106</x:v>
      </x:c>
      <x:c r="B1861" t="str">
        <x:v>ljubercy.medcentr-endomedlab.ru</x:v>
      </x:c>
      <x:c r="C1861" t="e">
        <x:f>HYPERLINK("https://belberrycrm.bitrix24.ru/crm/deal/details/14106/","https://belberrycrm.bitrix24.ru/crm/deal/details/14106/")</x:f>
      </x:c>
      <x:c r="D1861" t="str">
        <x:v>Реанимация</x:v>
      </x:c>
      <x:c r="E1861" t="str">
        <x:v>База для реанимации</x:v>
      </x:c>
      <x:c r="F1861" t="str">
        <x:v>Админ всея Belberry</x:v>
      </x:c>
      <x:c r="G1861" t="str">
        <x:v>нет</x:v>
      </x:c>
      <x:c r="H1861" t="str">
        <x:v>нет</x:v>
      </x:c>
    </x:row>
    <x:row r="1862">
      <x:c r="A1862" t="str">
        <x:v>14108</x:v>
      </x:c>
      <x:c r="B1862" t="str">
        <x:v>ventadetn.wixsite.com</x:v>
      </x:c>
      <x:c r="C1862" t="e">
        <x:f>HYPERLINK("https://belberrycrm.bitrix24.ru/crm/deal/details/14108/","https://belberrycrm.bitrix24.ru/crm/deal/details/14108/")</x:f>
      </x:c>
      <x:c r="D1862" t="str">
        <x:v>Реанимация</x:v>
      </x:c>
      <x:c r="E1862" t="str">
        <x:v>База для реанимации</x:v>
      </x:c>
      <x:c r="F1862" t="str">
        <x:v>Админ всея Belberry</x:v>
      </x:c>
      <x:c r="G1862" t="str">
        <x:v>нет</x:v>
      </x:c>
      <x:c r="H1862" t="str">
        <x:v>нет</x:v>
      </x:c>
    </x:row>
    <x:row r="1863">
      <x:c r="A1863" t="str">
        <x:v>14112</x:v>
      </x:c>
      <x:c r="B1863" t="str">
        <x:v>bravodent.ru</x:v>
      </x:c>
      <x:c r="C1863" t="e">
        <x:f>HYPERLINK("https://belberrycrm.bitrix24.ru/crm/deal/details/14112/","https://belberrycrm.bitrix24.ru/crm/deal/details/14112/")</x:f>
      </x:c>
      <x:c r="D1863" t="str">
        <x:v>Реанимация</x:v>
      </x:c>
      <x:c r="E1863" t="str">
        <x:v>База для реанимации</x:v>
      </x:c>
      <x:c r="F1863" t="str">
        <x:v>Админ всея Belberry</x:v>
      </x:c>
      <x:c r="G1863" t="str">
        <x:v>нет</x:v>
      </x:c>
      <x:c r="H1863" t="str">
        <x:v>нет</x:v>
      </x:c>
    </x:row>
    <x:row r="1864">
      <x:c r="A1864" t="str">
        <x:v>14120</x:v>
      </x:c>
      <x:c r="B1864" t="str">
        <x:v>mgm1.ru</x:v>
      </x:c>
      <x:c r="C1864" t="e">
        <x:f>HYPERLINK("https://belberrycrm.bitrix24.ru/crm/deal/details/14120/","https://belberrycrm.bitrix24.ru/crm/deal/details/14120/")</x:f>
      </x:c>
      <x:c r="D1864" t="str">
        <x:v>Реанимация</x:v>
      </x:c>
      <x:c r="E1864" t="str">
        <x:v>База для реанимации</x:v>
      </x:c>
      <x:c r="F1864" t="str">
        <x:v>Админ всея Belberry</x:v>
      </x:c>
      <x:c r="G1864" t="str">
        <x:v>нет</x:v>
      </x:c>
      <x:c r="H1864" t="str">
        <x:v>нет</x:v>
      </x:c>
    </x:row>
    <x:row r="1865">
      <x:c r="A1865" t="str">
        <x:v>14124</x:v>
      </x:c>
      <x:c r="B1865" t="str">
        <x:v>meltis.ru</x:v>
      </x:c>
      <x:c r="C1865" t="e">
        <x:f>HYPERLINK("https://belberrycrm.bitrix24.ru/crm/deal/details/14124/","https://belberrycrm.bitrix24.ru/crm/deal/details/14124/")</x:f>
      </x:c>
      <x:c r="D1865" t="str">
        <x:v>Реанимация</x:v>
      </x:c>
      <x:c r="E1865" t="str">
        <x:v>База для реанимации</x:v>
      </x:c>
      <x:c r="F1865" t="str">
        <x:v>Админ всея Belberry</x:v>
      </x:c>
      <x:c r="G1865" t="str">
        <x:v>нет</x:v>
      </x:c>
      <x:c r="H1865" t="str">
        <x:v>нет</x:v>
      </x:c>
    </x:row>
    <x:row r="1866">
      <x:c r="A1866" t="str">
        <x:v>14138</x:v>
      </x:c>
      <x:c r="B1866" t="str">
        <x:v>Мария (разработка сайта для клиники)</x:v>
      </x:c>
      <x:c r="C1866" t="e">
        <x:f>HYPERLINK("https://belberrycrm.bitrix24.ru/crm/deal/details/14138/","https://belberrycrm.bitrix24.ru/crm/deal/details/14138/")</x:f>
      </x:c>
      <x:c r="D1866" t="str">
        <x:v>Реанимация</x:v>
      </x:c>
      <x:c r="E1866" t="str">
        <x:v>База для реанимации</x:v>
      </x:c>
      <x:c r="F1866" t="str">
        <x:v>Админ всея Belberry</x:v>
      </x:c>
      <x:c r="G1866" t="str">
        <x:v>нет</x:v>
      </x:c>
      <x:c r="H1866" t="str">
        <x:v>нет</x:v>
      </x:c>
    </x:row>
    <x:row r="1867">
      <x:c r="A1867" t="str">
        <x:v>14140</x:v>
      </x:c>
      <x:c r="B1867" t="str">
        <x:v>tf-tc.com</x:v>
      </x:c>
      <x:c r="C1867" t="e">
        <x:f>HYPERLINK("https://belberrycrm.bitrix24.ru/crm/deal/details/14140/","https://belberrycrm.bitrix24.ru/crm/deal/details/14140/")</x:f>
      </x:c>
      <x:c r="D1867" t="str">
        <x:v>Реанимация</x:v>
      </x:c>
      <x:c r="E1867" t="str">
        <x:v>База для реанимации</x:v>
      </x:c>
      <x:c r="F1867" t="str">
        <x:v>Админ всея Belberry</x:v>
      </x:c>
      <x:c r="G1867" t="str">
        <x:v>да</x:v>
      </x:c>
      <x:c r="H1867" t="str">
        <x:v>нет</x:v>
      </x:c>
    </x:row>
    <x:row r="1868">
      <x:c r="A1868" t="str">
        <x:v>14142</x:v>
      </x:c>
      <x:c r="B1868" t="str">
        <x:v>Дезинфекция помещений</x:v>
      </x:c>
      <x:c r="C1868" t="e">
        <x:f>HYPERLINK("https://belberrycrm.bitrix24.ru/crm/deal/details/14142/","https://belberrycrm.bitrix24.ru/crm/deal/details/14142/")</x:f>
      </x:c>
      <x:c r="D1868" t="str">
        <x:v>Реанимация</x:v>
      </x:c>
      <x:c r="E1868" t="str">
        <x:v>База для реанимации</x:v>
      </x:c>
      <x:c r="F1868" t="str">
        <x:v>Админ всея Belberry</x:v>
      </x:c>
      <x:c r="G1868" t="str">
        <x:v>нет</x:v>
      </x:c>
      <x:c r="H1868" t="str">
        <x:v>нет</x:v>
      </x:c>
    </x:row>
    <x:row r="1869">
      <x:c r="A1869" t="str">
        <x:v>14146</x:v>
      </x:c>
      <x:c r="B1869" t="str">
        <x:v>ostrov-parkhotel.ru</x:v>
      </x:c>
      <x:c r="C1869" t="e">
        <x:f>HYPERLINK("https://belberrycrm.bitrix24.ru/crm/deal/details/14146/","https://belberrycrm.bitrix24.ru/crm/deal/details/14146/")</x:f>
      </x:c>
      <x:c r="D1869" t="str">
        <x:v>Реанимация</x:v>
      </x:c>
      <x:c r="E1869" t="str">
        <x:v>База для реанимации</x:v>
      </x:c>
      <x:c r="F1869" t="str">
        <x:v>Админ всея Belberry</x:v>
      </x:c>
      <x:c r="G1869" t="str">
        <x:v>да</x:v>
      </x:c>
      <x:c r="H1869" t="str">
        <x:v>нет</x:v>
      </x:c>
    </x:row>
    <x:row r="1870">
      <x:c r="A1870" t="str">
        <x:v>14150</x:v>
      </x:c>
      <x:c r="B1870" t="str">
        <x:v>mco3.ru</x:v>
      </x:c>
      <x:c r="C1870" t="e">
        <x:f>HYPERLINK("https://belberrycrm.bitrix24.ru/crm/deal/details/14150/","https://belberrycrm.bitrix24.ru/crm/deal/details/14150/")</x:f>
      </x:c>
      <x:c r="D1870" t="str">
        <x:v>Реанимация</x:v>
      </x:c>
      <x:c r="E1870" t="str">
        <x:v>База для реанимации</x:v>
      </x:c>
      <x:c r="F1870" t="str">
        <x:v>Админ всея Belberry</x:v>
      </x:c>
      <x:c r="G1870" t="str">
        <x:v>да</x:v>
      </x:c>
      <x:c r="H1870" t="str">
        <x:v>нет</x:v>
      </x:c>
    </x:row>
    <x:row r="1871">
      <x:c r="A1871" t="str">
        <x:v>14152</x:v>
      </x:c>
      <x:c r="B1871" t="str">
        <x:v>orteka.ru</x:v>
      </x:c>
      <x:c r="C1871" t="e">
        <x:f>HYPERLINK("https://belberrycrm.bitrix24.ru/crm/deal/details/14152/","https://belberrycrm.bitrix24.ru/crm/deal/details/14152/")</x:f>
      </x:c>
      <x:c r="D1871" t="str">
        <x:v>Реанимация</x:v>
      </x:c>
      <x:c r="E1871" t="str">
        <x:v>База для реанимации</x:v>
      </x:c>
      <x:c r="F1871" t="str">
        <x:v>Админ всея Belberry</x:v>
      </x:c>
      <x:c r="G1871" t="str">
        <x:v>нет</x:v>
      </x:c>
      <x:c r="H1871" t="str">
        <x:v>нет</x:v>
      </x:c>
    </x:row>
    <x:row r="1872">
      <x:c r="A1872" t="str">
        <x:v>14154</x:v>
      </x:c>
      <x:c r="B1872" t="str">
        <x:v>Сохам (врач терапевт)</x:v>
      </x:c>
      <x:c r="C1872" t="e">
        <x:f>HYPERLINK("https://belberrycrm.bitrix24.ru/crm/deal/details/14154/","https://belberrycrm.bitrix24.ru/crm/deal/details/14154/")</x:f>
      </x:c>
      <x:c r="D1872" t="str">
        <x:v>Реанимация</x:v>
      </x:c>
      <x:c r="E1872" t="str">
        <x:v>База для реанимации</x:v>
      </x:c>
      <x:c r="F1872" t="str">
        <x:v>Админ всея Belberry</x:v>
      </x:c>
      <x:c r="G1872" t="str">
        <x:v>нет</x:v>
      </x:c>
      <x:c r="H1872" t="str">
        <x:v>нет</x:v>
      </x:c>
    </x:row>
    <x:row r="1873">
      <x:c r="A1873" t="str">
        <x:v>14156</x:v>
      </x:c>
      <x:c r="B1873" t="str">
        <x:v>immun.ru</x:v>
      </x:c>
      <x:c r="C1873" t="e">
        <x:f>HYPERLINK("https://belberrycrm.bitrix24.ru/crm/deal/details/14156/","https://belberrycrm.bitrix24.ru/crm/deal/details/14156/")</x:f>
      </x:c>
      <x:c r="D1873" t="str">
        <x:v>Реанимация</x:v>
      </x:c>
      <x:c r="E1873" t="str">
        <x:v>База для реанимации</x:v>
      </x:c>
      <x:c r="F1873" t="str">
        <x:v>Админ всея Belberry</x:v>
      </x:c>
      <x:c r="G1873" t="str">
        <x:v>нет</x:v>
      </x:c>
      <x:c r="H1873" t="str">
        <x:v>нет</x:v>
      </x:c>
    </x:row>
    <x:row r="1874">
      <x:c r="A1874" t="str">
        <x:v>14160</x:v>
      </x:c>
      <x:c r="B1874" t="str">
        <x:v>Кристина, вход 01.09</x:v>
      </x:c>
      <x:c r="C1874" t="e">
        <x:f>HYPERLINK("https://belberrycrm.bitrix24.ru/crm/deal/details/14160/","https://belberrycrm.bitrix24.ru/crm/deal/details/14160/")</x:f>
      </x:c>
      <x:c r="D1874" t="str">
        <x:v>Реанимация</x:v>
      </x:c>
      <x:c r="E1874" t="str">
        <x:v>База для реанимации</x:v>
      </x:c>
      <x:c r="F1874" t="str">
        <x:v>Админ всея Belberry</x:v>
      </x:c>
      <x:c r="G1874" t="str">
        <x:v>нет</x:v>
      </x:c>
      <x:c r="H1874" t="str">
        <x:v>нет</x:v>
      </x:c>
    </x:row>
    <x:row r="1875">
      <x:c r="A1875" t="str">
        <x:v>14164</x:v>
      </x:c>
      <x:c r="B1875" t="str">
        <x:v>principalbm.ru</x:v>
      </x:c>
      <x:c r="C1875" t="e">
        <x:f>HYPERLINK("https://belberrycrm.bitrix24.ru/crm/deal/details/14164/","https://belberrycrm.bitrix24.ru/crm/deal/details/14164/")</x:f>
      </x:c>
      <x:c r="D1875" t="str">
        <x:v>Реанимация</x:v>
      </x:c>
      <x:c r="E1875" t="str">
        <x:v>База для реанимации</x:v>
      </x:c>
      <x:c r="F1875" t="str">
        <x:v>Админ всея Belberry</x:v>
      </x:c>
      <x:c r="G1875" t="str">
        <x:v>нет</x:v>
      </x:c>
      <x:c r="H1875" t="str">
        <x:v>нет</x:v>
      </x:c>
    </x:row>
    <x:row r="1876">
      <x:c r="A1876" t="str">
        <x:v>14166</x:v>
      </x:c>
      <x:c r="B1876" t="str">
        <x:v>doctortai.ru</x:v>
      </x:c>
      <x:c r="C1876" t="e">
        <x:f>HYPERLINK("https://belberrycrm.bitrix24.ru/crm/deal/details/14166/","https://belberrycrm.bitrix24.ru/crm/deal/details/14166/")</x:f>
      </x:c>
      <x:c r="D1876" t="str">
        <x:v>Реанимация</x:v>
      </x:c>
      <x:c r="E1876" t="str">
        <x:v>База для реанимации</x:v>
      </x:c>
      <x:c r="F1876" t="str">
        <x:v>Админ всея Belberry</x:v>
      </x:c>
      <x:c r="G1876" t="str">
        <x:v>нет</x:v>
      </x:c>
      <x:c r="H1876" t="str">
        <x:v>нет</x:v>
      </x:c>
    </x:row>
    <x:row r="1877">
      <x:c r="A1877" t="str">
        <x:v>14172</x:v>
      </x:c>
      <x:c r="B1877" t="str">
        <x:v>dr-hit-smile.ru</x:v>
      </x:c>
      <x:c r="C1877" t="e">
        <x:f>HYPERLINK("https://belberrycrm.bitrix24.ru/crm/deal/details/14172/","https://belberrycrm.bitrix24.ru/crm/deal/details/14172/")</x:f>
      </x:c>
      <x:c r="D1877" t="str">
        <x:v>Реанимация</x:v>
      </x:c>
      <x:c r="E1877" t="str">
        <x:v>База для реанимации</x:v>
      </x:c>
      <x:c r="F1877" t="str">
        <x:v>Админ всея Belberry</x:v>
      </x:c>
      <x:c r="G1877" t="str">
        <x:v>нет</x:v>
      </x:c>
      <x:c r="H1877" t="str">
        <x:v>нет</x:v>
      </x:c>
    </x:row>
    <x:row r="1878">
      <x:c r="A1878" t="str">
        <x:v>14178</x:v>
      </x:c>
      <x:c r="B1878" t="str">
        <x:v>next-apart.ru</x:v>
      </x:c>
      <x:c r="C1878" t="e">
        <x:f>HYPERLINK("https://belberrycrm.bitrix24.ru/crm/deal/details/14178/","https://belberrycrm.bitrix24.ru/crm/deal/details/14178/")</x:f>
      </x:c>
      <x:c r="D1878" t="str">
        <x:v>Реанимация</x:v>
      </x:c>
      <x:c r="E1878" t="str">
        <x:v>База для реанимации</x:v>
      </x:c>
      <x:c r="F1878" t="str">
        <x:v>Админ всея Belberry</x:v>
      </x:c>
      <x:c r="G1878" t="str">
        <x:v>нет</x:v>
      </x:c>
      <x:c r="H1878" t="str">
        <x:v>нет</x:v>
      </x:c>
    </x:row>
    <x:row r="1879">
      <x:c r="A1879" t="str">
        <x:v>14182</x:v>
      </x:c>
      <x:c r="B1879" t="str">
        <x:v>ecodent-clinic.ru</x:v>
      </x:c>
      <x:c r="C1879" t="e">
        <x:f>HYPERLINK("https://belberrycrm.bitrix24.ru/crm/deal/details/14182/","https://belberrycrm.bitrix24.ru/crm/deal/details/14182/")</x:f>
      </x:c>
      <x:c r="D1879" t="str">
        <x:v>Реанимация</x:v>
      </x:c>
      <x:c r="E1879" t="str">
        <x:v>База для реанимации</x:v>
      </x:c>
      <x:c r="F1879" t="str">
        <x:v>Админ всея Belberry</x:v>
      </x:c>
      <x:c r="G1879" t="str">
        <x:v>нет</x:v>
      </x:c>
      <x:c r="H1879" t="str">
        <x:v>нет</x:v>
      </x:c>
    </x:row>
    <x:row r="1880">
      <x:c r="A1880" t="str">
        <x:v>14184</x:v>
      </x:c>
      <x:c r="B1880" t="str">
        <x:v>Наталья, пиксель, 21.08</x:v>
      </x:c>
      <x:c r="C1880" t="e">
        <x:f>HYPERLINK("https://belberrycrm.bitrix24.ru/crm/deal/details/14184/","https://belberrycrm.bitrix24.ru/crm/deal/details/14184/")</x:f>
      </x:c>
      <x:c r="D1880" t="str">
        <x:v>Реанимация</x:v>
      </x:c>
      <x:c r="E1880" t="str">
        <x:v>База для реанимации</x:v>
      </x:c>
      <x:c r="F1880" t="str">
        <x:v>Админ всея Belberry</x:v>
      </x:c>
      <x:c r="G1880" t="str">
        <x:v>нет</x:v>
      </x:c>
      <x:c r="H1880" t="str">
        <x:v>нет</x:v>
      </x:c>
    </x:row>
    <x:row r="1881">
      <x:c r="A1881" t="str">
        <x:v>14188</x:v>
      </x:c>
      <x:c r="B1881" t="str">
        <x:v>amdlab1995.ru</x:v>
      </x:c>
      <x:c r="C1881" t="e">
        <x:f>HYPERLINK("https://belberrycrm.bitrix24.ru/crm/deal/details/14188/","https://belberrycrm.bitrix24.ru/crm/deal/details/14188/")</x:f>
      </x:c>
      <x:c r="D1881" t="str">
        <x:v>Реанимация</x:v>
      </x:c>
      <x:c r="E1881" t="str">
        <x:v>База для реанимации</x:v>
      </x:c>
      <x:c r="F1881" t="str">
        <x:v>Админ всея Belberry</x:v>
      </x:c>
      <x:c r="G1881" t="str">
        <x:v>нет</x:v>
      </x:c>
      <x:c r="H1881" t="str">
        <x:v>нет</x:v>
      </x:c>
    </x:row>
    <x:row r="1882">
      <x:c r="A1882" t="str">
        <x:v>14190</x:v>
      </x:c>
      <x:c r="B1882" t="str">
        <x:v>nmlikino.ru</x:v>
      </x:c>
      <x:c r="C1882" t="e">
        <x:f>HYPERLINK("https://belberrycrm.bitrix24.ru/crm/deal/details/14190/","https://belberrycrm.bitrix24.ru/crm/deal/details/14190/")</x:f>
      </x:c>
      <x:c r="D1882" t="str">
        <x:v>Реанимация</x:v>
      </x:c>
      <x:c r="E1882" t="str">
        <x:v>База для реанимации</x:v>
      </x:c>
      <x:c r="F1882" t="str">
        <x:v>Админ всея Belberry</x:v>
      </x:c>
      <x:c r="G1882" t="str">
        <x:v>нет</x:v>
      </x:c>
      <x:c r="H1882" t="str">
        <x:v>нет</x:v>
      </x:c>
    </x:row>
    <x:row r="1883">
      <x:c r="A1883" t="str">
        <x:v>14192</x:v>
      </x:c>
      <x:c r="B1883" t="str">
        <x:v>medblago.ru</x:v>
      </x:c>
      <x:c r="C1883" t="e">
        <x:f>HYPERLINK("https://belberrycrm.bitrix24.ru/crm/deal/details/14192/","https://belberrycrm.bitrix24.ru/crm/deal/details/14192/")</x:f>
      </x:c>
      <x:c r="D1883" t="str">
        <x:v>Реанимация</x:v>
      </x:c>
      <x:c r="E1883" t="str">
        <x:v>База для реанимации</x:v>
      </x:c>
      <x:c r="F1883" t="str">
        <x:v>Админ всея Belberry</x:v>
      </x:c>
      <x:c r="G1883" t="str">
        <x:v>нет</x:v>
      </x:c>
      <x:c r="H1883" t="str">
        <x:v>нет</x:v>
      </x:c>
    </x:row>
    <x:row r="1884">
      <x:c r="A1884" t="str">
        <x:v>14196</x:v>
      </x:c>
      <x:c r="B1884" t="str">
        <x:v>wooyoungmed.ru</x:v>
      </x:c>
      <x:c r="C1884" t="e">
        <x:f>HYPERLINK("https://belberrycrm.bitrix24.ru/crm/deal/details/14196/","https://belberrycrm.bitrix24.ru/crm/deal/details/14196/")</x:f>
      </x:c>
      <x:c r="D1884" t="str">
        <x:v>Реанимация</x:v>
      </x:c>
      <x:c r="E1884" t="str">
        <x:v>База для реанимации</x:v>
      </x:c>
      <x:c r="F1884" t="str">
        <x:v>Админ всея Belberry</x:v>
      </x:c>
      <x:c r="G1884" t="str">
        <x:v>нет</x:v>
      </x:c>
      <x:c r="H1884" t="str">
        <x:v>нет</x:v>
      </x:c>
    </x:row>
    <x:row r="1885">
      <x:c r="A1885" t="str">
        <x:v>14204</x:v>
      </x:c>
      <x:c r="B1885" t="str">
        <x:v>sklad-electro.ru</x:v>
      </x:c>
      <x:c r="C1885" t="e">
        <x:f>HYPERLINK("https://belberrycrm.bitrix24.ru/crm/deal/details/14204/","https://belberrycrm.bitrix24.ru/crm/deal/details/14204/")</x:f>
      </x:c>
      <x:c r="D1885" t="str">
        <x:v>Реанимация</x:v>
      </x:c>
      <x:c r="E1885" t="str">
        <x:v>База для реанимации</x:v>
      </x:c>
      <x:c r="F1885" t="str">
        <x:v>Админ всея Belberry</x:v>
      </x:c>
      <x:c r="G1885" t="str">
        <x:v>да</x:v>
      </x:c>
      <x:c r="H1885" t="str">
        <x:v>нет</x:v>
      </x:c>
    </x:row>
    <x:row r="1886">
      <x:c r="A1886" t="str">
        <x:v>14206</x:v>
      </x:c>
      <x:c r="B1886" t="str">
        <x:v>doc-ver.ru</x:v>
      </x:c>
      <x:c r="C1886" t="e">
        <x:f>HYPERLINK("https://belberrycrm.bitrix24.ru/crm/deal/details/14206/","https://belberrycrm.bitrix24.ru/crm/deal/details/14206/")</x:f>
      </x:c>
      <x:c r="D1886" t="str">
        <x:v>Реанимация</x:v>
      </x:c>
      <x:c r="E1886" t="str">
        <x:v>База для реанимации</x:v>
      </x:c>
      <x:c r="F1886" t="str">
        <x:v>Админ всея Belberry</x:v>
      </x:c>
      <x:c r="G1886" t="str">
        <x:v>да</x:v>
      </x:c>
      <x:c r="H1886" t="str">
        <x:v>нет</x:v>
      </x:c>
    </x:row>
    <x:row r="1887">
      <x:c r="A1887" t="str">
        <x:v>14212</x:v>
      </x:c>
      <x:c r="B1887" t="str">
        <x:v>cmd-lubertsy.ru</x:v>
      </x:c>
      <x:c r="C1887" t="e">
        <x:f>HYPERLINK("https://belberrycrm.bitrix24.ru/crm/deal/details/14212/","https://belberrycrm.bitrix24.ru/crm/deal/details/14212/")</x:f>
      </x:c>
      <x:c r="D1887" t="str">
        <x:v>Реанимация</x:v>
      </x:c>
      <x:c r="E1887" t="str">
        <x:v>База для реанимации</x:v>
      </x:c>
      <x:c r="F1887" t="str">
        <x:v>Админ всея Belberry</x:v>
      </x:c>
      <x:c r="G1887" t="str">
        <x:v>нет</x:v>
      </x:c>
      <x:c r="H1887" t="str">
        <x:v>нет</x:v>
      </x:c>
    </x:row>
    <x:row r="1888">
      <x:c r="A1888" t="str">
        <x:v>14216</x:v>
      </x:c>
      <x:c r="B1888" t="str">
        <x:v>themossishop.ru</x:v>
      </x:c>
      <x:c r="C1888" t="e">
        <x:f>HYPERLINK("https://belberrycrm.bitrix24.ru/crm/deal/details/14216/","https://belberrycrm.bitrix24.ru/crm/deal/details/14216/")</x:f>
      </x:c>
      <x:c r="D1888" t="str">
        <x:v>Реанимация</x:v>
      </x:c>
      <x:c r="E1888" t="str">
        <x:v>База для реанимации</x:v>
      </x:c>
      <x:c r="F1888" t="str">
        <x:v>Админ всея Belberry</x:v>
      </x:c>
      <x:c r="G1888" t="str">
        <x:v>нет</x:v>
      </x:c>
      <x:c r="H1888" t="str">
        <x:v>нет</x:v>
      </x:c>
    </x:row>
    <x:row r="1889">
      <x:c r="A1889" t="str">
        <x:v>14224</x:v>
      </x:c>
      <x:c r="B1889" t="str">
        <x:v>miklinika.ru</x:v>
      </x:c>
      <x:c r="C1889" t="e">
        <x:f>HYPERLINK("https://belberrycrm.bitrix24.ru/crm/deal/details/14224/","https://belberrycrm.bitrix24.ru/crm/deal/details/14224/")</x:f>
      </x:c>
      <x:c r="D1889" t="str">
        <x:v>Реанимация</x:v>
      </x:c>
      <x:c r="E1889" t="str">
        <x:v>База для реанимации</x:v>
      </x:c>
      <x:c r="F1889" t="str">
        <x:v>Админ всея Belberry</x:v>
      </x:c>
      <x:c r="G1889" t="str">
        <x:v>нет</x:v>
      </x:c>
      <x:c r="H1889" t="str">
        <x:v>нет</x:v>
      </x:c>
    </x:row>
    <x:row r="1890">
      <x:c r="A1890" t="str">
        <x:v>14230</x:v>
      </x:c>
      <x:c r="B1890" t="str">
        <x:v>Доктор Преображенский</x:v>
      </x:c>
      <x:c r="C1890" t="e">
        <x:f>HYPERLINK("https://belberrycrm.bitrix24.ru/crm/deal/details/14230/","https://belberrycrm.bitrix24.ru/crm/deal/details/14230/")</x:f>
      </x:c>
      <x:c r="D1890" t="str">
        <x:v>Реанимация</x:v>
      </x:c>
      <x:c r="E1890" t="str">
        <x:v>База для реанимации</x:v>
      </x:c>
      <x:c r="F1890" t="str">
        <x:v>Админ всея Belberry</x:v>
      </x:c>
      <x:c r="G1890" t="str">
        <x:v>да</x:v>
      </x:c>
      <x:c r="H1890" t="str">
        <x:v>нет</x:v>
      </x:c>
    </x:row>
    <x:row r="1891">
      <x:c r="A1891" t="str">
        <x:v>14236</x:v>
      </x:c>
      <x:c r="B1891" t="str">
        <x:v>versalign.ru</x:v>
      </x:c>
      <x:c r="C1891" t="e">
        <x:f>HYPERLINK("https://belberrycrm.bitrix24.ru/crm/deal/details/14236/","https://belberrycrm.bitrix24.ru/crm/deal/details/14236/")</x:f>
      </x:c>
      <x:c r="D1891" t="str">
        <x:v>Реанимация</x:v>
      </x:c>
      <x:c r="E1891" t="str">
        <x:v>База для реанимации</x:v>
      </x:c>
      <x:c r="F1891" t="str">
        <x:v>Админ всея Belberry</x:v>
      </x:c>
      <x:c r="G1891" t="str">
        <x:v>нет</x:v>
      </x:c>
      <x:c r="H1891" t="str">
        <x:v>нет</x:v>
      </x:c>
    </x:row>
    <x:row r="1892">
      <x:c r="A1892" t="str">
        <x:v>14246</x:v>
      </x:c>
      <x:c r="B1892" t="str">
        <x:v>ИП Решетовская Екатерина</x:v>
      </x:c>
      <x:c r="C1892" t="e">
        <x:f>HYPERLINK("https://belberrycrm.bitrix24.ru/crm/deal/details/14246/","https://belberrycrm.bitrix24.ru/crm/deal/details/14246/")</x:f>
      </x:c>
      <x:c r="D1892" t="str">
        <x:v>Реанимация</x:v>
      </x:c>
      <x:c r="E1892" t="str">
        <x:v>База для реанимации</x:v>
      </x:c>
      <x:c r="F1892" t="str">
        <x:v>Админ всея Belberry</x:v>
      </x:c>
      <x:c r="G1892" t="str">
        <x:v>да</x:v>
      </x:c>
      <x:c r="H1892" t="str">
        <x:v>нет</x:v>
      </x:c>
    </x:row>
    <x:row r="1893">
      <x:c r="A1893" t="str">
        <x:v>14250</x:v>
      </x:c>
      <x:c r="B1893" t="str">
        <x:v>ecootel76.ru</x:v>
      </x:c>
      <x:c r="C1893" t="e">
        <x:f>HYPERLINK("https://belberrycrm.bitrix24.ru/crm/deal/details/14250/","https://belberrycrm.bitrix24.ru/crm/deal/details/14250/")</x:f>
      </x:c>
      <x:c r="D1893" t="str">
        <x:v>Реанимация</x:v>
      </x:c>
      <x:c r="E1893" t="str">
        <x:v>База для реанимации</x:v>
      </x:c>
      <x:c r="F1893" t="str">
        <x:v>Админ всея Belberry</x:v>
      </x:c>
      <x:c r="G1893" t="str">
        <x:v>да</x:v>
      </x:c>
      <x:c r="H1893" t="str">
        <x:v>нет</x:v>
      </x:c>
    </x:row>
    <x:row r="1894">
      <x:c r="A1894" t="str">
        <x:v>14258</x:v>
      </x:c>
      <x:c r="B1894" t="str">
        <x:v>smartcinema.club</x:v>
      </x:c>
      <x:c r="C1894" t="e">
        <x:f>HYPERLINK("https://belberrycrm.bitrix24.ru/crm/deal/details/14258/","https://belberrycrm.bitrix24.ru/crm/deal/details/14258/")</x:f>
      </x:c>
      <x:c r="D1894" t="str">
        <x:v>Реанимация</x:v>
      </x:c>
      <x:c r="E1894" t="str">
        <x:v>База для реанимации</x:v>
      </x:c>
      <x:c r="F1894" t="str">
        <x:v>Админ всея Belberry</x:v>
      </x:c>
      <x:c r="G1894" t="str">
        <x:v>нет</x:v>
      </x:c>
      <x:c r="H1894" t="str">
        <x:v>нет</x:v>
      </x:c>
    </x:row>
    <x:row r="1895">
      <x:c r="A1895" t="str">
        <x:v>14260</x:v>
      </x:c>
      <x:c r="B1895" t="str">
        <x:v>medicaplus.org</x:v>
      </x:c>
      <x:c r="C1895" t="e">
        <x:f>HYPERLINK("https://belberrycrm.bitrix24.ru/crm/deal/details/14260/","https://belberrycrm.bitrix24.ru/crm/deal/details/14260/")</x:f>
      </x:c>
      <x:c r="D1895" t="str">
        <x:v>Реанимация</x:v>
      </x:c>
      <x:c r="E1895" t="str">
        <x:v>База для реанимации</x:v>
      </x:c>
      <x:c r="F1895" t="str">
        <x:v>Админ всея Belberry</x:v>
      </x:c>
      <x:c r="G1895" t="str">
        <x:v>нет</x:v>
      </x:c>
      <x:c r="H1895" t="str">
        <x:v>нет</x:v>
      </x:c>
    </x:row>
    <x:row r="1896">
      <x:c r="A1896" t="str">
        <x:v>14262</x:v>
      </x:c>
      <x:c r="B1896" t="str">
        <x:v>uptk65.ru</x:v>
      </x:c>
      <x:c r="C1896" t="e">
        <x:f>HYPERLINK("https://belberrycrm.bitrix24.ru/crm/deal/details/14262/","https://belberrycrm.bitrix24.ru/crm/deal/details/14262/")</x:f>
      </x:c>
      <x:c r="D1896" t="str">
        <x:v>Реанимация</x:v>
      </x:c>
      <x:c r="E1896" t="str">
        <x:v>База для реанимации</x:v>
      </x:c>
      <x:c r="F1896" t="str">
        <x:v>Админ всея Belberry</x:v>
      </x:c>
      <x:c r="G1896" t="str">
        <x:v>нет</x:v>
      </x:c>
      <x:c r="H1896" t="str">
        <x:v>нет</x:v>
      </x:c>
    </x:row>
    <x:row r="1897">
      <x:c r="A1897" t="str">
        <x:v>14264</x:v>
      </x:c>
      <x:c r="B1897" t="str">
        <x:v>osteopat.center</x:v>
      </x:c>
      <x:c r="C1897" t="e">
        <x:f>HYPERLINK("https://belberrycrm.bitrix24.ru/crm/deal/details/14264/","https://belberrycrm.bitrix24.ru/crm/deal/details/14264/")</x:f>
      </x:c>
      <x:c r="D1897" t="str">
        <x:v>Реанимация</x:v>
      </x:c>
      <x:c r="E1897" t="str">
        <x:v>База для реанимации</x:v>
      </x:c>
      <x:c r="F1897" t="str">
        <x:v>Админ всея Belberry</x:v>
      </x:c>
      <x:c r="G1897" t="str">
        <x:v>нет</x:v>
      </x:c>
      <x:c r="H1897" t="str">
        <x:v>нет</x:v>
      </x:c>
    </x:row>
    <x:row r="1898">
      <x:c r="A1898" t="str">
        <x:v>14266</x:v>
      </x:c>
      <x:c r="B1898" t="str">
        <x:v>medongroup-lub.ru</x:v>
      </x:c>
      <x:c r="C1898" t="e">
        <x:f>HYPERLINK("https://belberrycrm.bitrix24.ru/crm/deal/details/14266/","https://belberrycrm.bitrix24.ru/crm/deal/details/14266/")</x:f>
      </x:c>
      <x:c r="D1898" t="str">
        <x:v>Реанимация</x:v>
      </x:c>
      <x:c r="E1898" t="str">
        <x:v>База для реанимации</x:v>
      </x:c>
      <x:c r="F1898" t="str">
        <x:v>Админ всея Belberry</x:v>
      </x:c>
      <x:c r="G1898" t="str">
        <x:v>нет</x:v>
      </x:c>
      <x:c r="H1898" t="str">
        <x:v>нет</x:v>
      </x:c>
    </x:row>
    <x:row r="1899">
      <x:c r="A1899" t="str">
        <x:v>14272</x:v>
      </x:c>
      <x:c r="B1899" t="str">
        <x:v>makeuptattoostudio.ru</x:v>
      </x:c>
      <x:c r="C1899" t="e">
        <x:f>HYPERLINK("https://belberrycrm.bitrix24.ru/crm/deal/details/14272/","https://belberrycrm.bitrix24.ru/crm/deal/details/14272/")</x:f>
      </x:c>
      <x:c r="D1899" t="str">
        <x:v>Реанимация</x:v>
      </x:c>
      <x:c r="E1899" t="str">
        <x:v>База для реанимации</x:v>
      </x:c>
      <x:c r="F1899" t="str">
        <x:v>Админ всея Belberry</x:v>
      </x:c>
      <x:c r="G1899" t="str">
        <x:v>нет</x:v>
      </x:c>
      <x:c r="H1899" t="str">
        <x:v>нет</x:v>
      </x:c>
    </x:row>
    <x:row r="1900">
      <x:c r="A1900" t="str">
        <x:v>14274</x:v>
      </x:c>
      <x:c r="B1900" t="str">
        <x:v>mrdentik.ru</x:v>
      </x:c>
      <x:c r="C1900" t="e">
        <x:f>HYPERLINK("https://belberrycrm.bitrix24.ru/crm/deal/details/14274/","https://belberrycrm.bitrix24.ru/crm/deal/details/14274/")</x:f>
      </x:c>
      <x:c r="D1900" t="str">
        <x:v>Реанимация</x:v>
      </x:c>
      <x:c r="E1900" t="str">
        <x:v>База для реанимации</x:v>
      </x:c>
      <x:c r="F1900" t="str">
        <x:v>Админ всея Belberry</x:v>
      </x:c>
      <x:c r="G1900" t="str">
        <x:v>нет</x:v>
      </x:c>
      <x:c r="H1900" t="str">
        <x:v>нет</x:v>
      </x:c>
    </x:row>
    <x:row r="1901">
      <x:c r="A1901" t="str">
        <x:v>14278</x:v>
      </x:c>
      <x:c r="B1901" t="str">
        <x:v>dentforkids.ru</x:v>
      </x:c>
      <x:c r="C1901" t="e">
        <x:f>HYPERLINK("https://belberrycrm.bitrix24.ru/crm/deal/details/14278/","https://belberrycrm.bitrix24.ru/crm/deal/details/14278/")</x:f>
      </x:c>
      <x:c r="D1901" t="str">
        <x:v>Реанимация</x:v>
      </x:c>
      <x:c r="E1901" t="str">
        <x:v>База для реанимации</x:v>
      </x:c>
      <x:c r="F1901" t="str">
        <x:v>Админ всея Belberry</x:v>
      </x:c>
      <x:c r="G1901" t="str">
        <x:v>да</x:v>
      </x:c>
      <x:c r="H1901" t="str">
        <x:v>нет</x:v>
      </x:c>
    </x:row>
    <x:row r="1902">
      <x:c r="A1902" t="str">
        <x:v>14282</x:v>
      </x:c>
      <x:c r="B1902" t="str">
        <x:v>voscopran.ru</x:v>
      </x:c>
      <x:c r="C1902" t="e">
        <x:f>HYPERLINK("https://belberrycrm.bitrix24.ru/crm/deal/details/14282/","https://belberrycrm.bitrix24.ru/crm/deal/details/14282/")</x:f>
      </x:c>
      <x:c r="D1902" t="str">
        <x:v>Реанимация</x:v>
      </x:c>
      <x:c r="E1902" t="str">
        <x:v>База для реанимации</x:v>
      </x:c>
      <x:c r="F1902" t="str">
        <x:v>Админ всея Belberry</x:v>
      </x:c>
      <x:c r="G1902" t="str">
        <x:v>нет</x:v>
      </x:c>
      <x:c r="H1902" t="str">
        <x:v>нет</x:v>
      </x:c>
    </x:row>
    <x:row r="1903">
      <x:c r="A1903" t="str">
        <x:v>14288</x:v>
      </x:c>
      <x:c r="B1903" t="str">
        <x:v>rusonar.ru</x:v>
      </x:c>
      <x:c r="C1903" t="e">
        <x:f>HYPERLINK("https://belberrycrm.bitrix24.ru/crm/deal/details/14288/","https://belberrycrm.bitrix24.ru/crm/deal/details/14288/")</x:f>
      </x:c>
      <x:c r="D1903" t="str">
        <x:v>Реанимация</x:v>
      </x:c>
      <x:c r="E1903" t="str">
        <x:v>База для реанимации</x:v>
      </x:c>
      <x:c r="F1903" t="str">
        <x:v>Админ всея Belberry</x:v>
      </x:c>
      <x:c r="G1903" t="str">
        <x:v>да</x:v>
      </x:c>
      <x:c r="H1903" t="str">
        <x:v>нет</x:v>
      </x:c>
    </x:row>
    <x:row r="1904">
      <x:c r="A1904" t="str">
        <x:v>14292</x:v>
      </x:c>
      <x:c r="B1904" t="str">
        <x:v>Тигран Владимирович (врач стоматолог)</x:v>
      </x:c>
      <x:c r="C1904" t="e">
        <x:f>HYPERLINK("https://belberrycrm.bitrix24.ru/crm/deal/details/14292/","https://belberrycrm.bitrix24.ru/crm/deal/details/14292/")</x:f>
      </x:c>
      <x:c r="D1904" t="str">
        <x:v>Реанимация</x:v>
      </x:c>
      <x:c r="E1904" t="str">
        <x:v>База для реанимации</x:v>
      </x:c>
      <x:c r="F1904" t="str">
        <x:v>Админ всея Belberry</x:v>
      </x:c>
      <x:c r="G1904" t="str">
        <x:v>нет</x:v>
      </x:c>
      <x:c r="H1904" t="str">
        <x:v>нет</x:v>
      </x:c>
    </x:row>
    <x:row r="1905">
      <x:c r="A1905" t="str">
        <x:v>14296</x:v>
      </x:c>
      <x:c r="B1905" t="str">
        <x:v>Bela Cristal</x:v>
      </x:c>
      <x:c r="C1905" t="e">
        <x:f>HYPERLINK("https://belberrycrm.bitrix24.ru/crm/deal/details/14296/","https://belberrycrm.bitrix24.ru/crm/deal/details/14296/")</x:f>
      </x:c>
      <x:c r="D1905" t="str">
        <x:v>Реанимация</x:v>
      </x:c>
      <x:c r="E1905" t="str">
        <x:v>База для реанимации</x:v>
      </x:c>
      <x:c r="F1905" t="str">
        <x:v>Админ всея Belberry</x:v>
      </x:c>
      <x:c r="G1905" t="str">
        <x:v>нет</x:v>
      </x:c>
      <x:c r="H1905" t="str">
        <x:v>нет</x:v>
      </x:c>
    </x:row>
    <x:row r="1906">
      <x:c r="A1906" t="str">
        <x:v>14298</x:v>
      </x:c>
      <x:c r="B1906" t="str">
        <x:v>brightsideclinic.ru</x:v>
      </x:c>
      <x:c r="C1906" t="e">
        <x:f>HYPERLINK("https://belberrycrm.bitrix24.ru/crm/deal/details/14298/","https://belberrycrm.bitrix24.ru/crm/deal/details/14298/")</x:f>
      </x:c>
      <x:c r="D1906" t="str">
        <x:v>Реанимация</x:v>
      </x:c>
      <x:c r="E1906" t="str">
        <x:v>База для реанимации</x:v>
      </x:c>
      <x:c r="F1906" t="str">
        <x:v>Админ всея Belberry</x:v>
      </x:c>
      <x:c r="G1906" t="str">
        <x:v>нет</x:v>
      </x:c>
      <x:c r="H1906" t="str">
        <x:v>нет</x:v>
      </x:c>
    </x:row>
    <x:row r="1907">
      <x:c r="A1907" t="str">
        <x:v>14300</x:v>
      </x:c>
      <x:c r="B1907" t="str">
        <x:v>essity.ru</x:v>
      </x:c>
      <x:c r="C1907" t="e">
        <x:f>HYPERLINK("https://belberrycrm.bitrix24.ru/crm/deal/details/14300/","https://belberrycrm.bitrix24.ru/crm/deal/details/14300/")</x:f>
      </x:c>
      <x:c r="D1907" t="str">
        <x:v>Реанимация</x:v>
      </x:c>
      <x:c r="E1907" t="str">
        <x:v>База для реанимации</x:v>
      </x:c>
      <x:c r="F1907" t="str">
        <x:v>Админ всея Belberry</x:v>
      </x:c>
      <x:c r="G1907" t="str">
        <x:v>нет</x:v>
      </x:c>
      <x:c r="H1907" t="str">
        <x:v>нет</x:v>
      </x:c>
    </x:row>
    <x:row r="1908">
      <x:c r="A1908" t="str">
        <x:v>14302</x:v>
      </x:c>
      <x:c r="B1908" t="str">
        <x:v>Цветы Уфа</x:v>
      </x:c>
      <x:c r="C1908" t="e">
        <x:f>HYPERLINK("https://belberrycrm.bitrix24.ru/crm/deal/details/14302/","https://belberrycrm.bitrix24.ru/crm/deal/details/14302/")</x:f>
      </x:c>
      <x:c r="D1908" t="str">
        <x:v>Реанимация</x:v>
      </x:c>
      <x:c r="E1908" t="str">
        <x:v>База для реанимации</x:v>
      </x:c>
      <x:c r="F1908" t="str">
        <x:v>Админ всея Belberry</x:v>
      </x:c>
      <x:c r="G1908" t="str">
        <x:v>нет</x:v>
      </x:c>
      <x:c r="H1908" t="str">
        <x:v>нет</x:v>
      </x:c>
    </x:row>
    <x:row r="1909">
      <x:c r="A1909" t="str">
        <x:v>14304</x:v>
      </x:c>
      <x:c r="B1909" t="str">
        <x:v>socialoptics.ru</x:v>
      </x:c>
      <x:c r="C1909" t="e">
        <x:f>HYPERLINK("https://belberrycrm.bitrix24.ru/crm/deal/details/14304/","https://belberrycrm.bitrix24.ru/crm/deal/details/14304/")</x:f>
      </x:c>
      <x:c r="D1909" t="str">
        <x:v>Реанимация</x:v>
      </x:c>
      <x:c r="E1909" t="str">
        <x:v>База для реанимации</x:v>
      </x:c>
      <x:c r="F1909" t="str">
        <x:v>Админ всея Belberry</x:v>
      </x:c>
      <x:c r="G1909" t="str">
        <x:v>да</x:v>
      </x:c>
      <x:c r="H1909" t="str">
        <x:v>нет</x:v>
      </x:c>
    </x:row>
    <x:row r="1910">
      <x:c r="A1910" t="str">
        <x:v>14308</x:v>
      </x:c>
      <x:c r="B1910" t="str">
        <x:v>Татьяна Крук (Открывает бизнес по аренде ламп от желтушки)</x:v>
      </x:c>
      <x:c r="C1910" t="e">
        <x:f>HYPERLINK("https://belberrycrm.bitrix24.ru/crm/deal/details/14308/","https://belberrycrm.bitrix24.ru/crm/deal/details/14308/")</x:f>
      </x:c>
      <x:c r="D1910" t="str">
        <x:v>Реанимация</x:v>
      </x:c>
      <x:c r="E1910" t="str">
        <x:v>База для реанимации</x:v>
      </x:c>
      <x:c r="F1910" t="str">
        <x:v>Админ всея Belberry</x:v>
      </x:c>
      <x:c r="G1910" t="str">
        <x:v>нет</x:v>
      </x:c>
      <x:c r="H1910" t="str">
        <x:v>нет</x:v>
      </x:c>
    </x:row>
    <x:row r="1911">
      <x:c r="A1911" t="str">
        <x:v>14312</x:v>
      </x:c>
      <x:c r="B1911" t="str">
        <x:v>Лелейтнер Аделия (продвижение личного бренда её отца)</x:v>
      </x:c>
      <x:c r="C1911" t="e">
        <x:f>HYPERLINK("https://belberrycrm.bitrix24.ru/crm/deal/details/14312/","https://belberrycrm.bitrix24.ru/crm/deal/details/14312/")</x:f>
      </x:c>
      <x:c r="D1911" t="str">
        <x:v>Реанимация</x:v>
      </x:c>
      <x:c r="E1911" t="str">
        <x:v>База для реанимации</x:v>
      </x:c>
      <x:c r="F1911" t="str">
        <x:v>Админ всея Belberry</x:v>
      </x:c>
      <x:c r="G1911" t="str">
        <x:v>нет</x:v>
      </x:c>
      <x:c r="H1911" t="str">
        <x:v>нет</x:v>
      </x:c>
    </x:row>
    <x:row r="1912">
      <x:c r="A1912" t="str">
        <x:v>14314</x:v>
      </x:c>
      <x:c r="B1912" t="str">
        <x:v>girumed.ru</x:v>
      </x:c>
      <x:c r="C1912" t="e">
        <x:f>HYPERLINK("https://belberrycrm.bitrix24.ru/crm/deal/details/14314/","https://belberrycrm.bitrix24.ru/crm/deal/details/14314/")</x:f>
      </x:c>
      <x:c r="D1912" t="str">
        <x:v>Реанимация</x:v>
      </x:c>
      <x:c r="E1912" t="str">
        <x:v>База для реанимации</x:v>
      </x:c>
      <x:c r="F1912" t="str">
        <x:v>Админ всея Belberry</x:v>
      </x:c>
      <x:c r="G1912" t="str">
        <x:v>нет</x:v>
      </x:c>
      <x:c r="H1912" t="str">
        <x:v>нет</x:v>
      </x:c>
    </x:row>
    <x:row r="1913">
      <x:c r="A1913" t="str">
        <x:v>14318</x:v>
      </x:c>
      <x:c r="B1913" t="str">
        <x:v>medical-star24.ru</x:v>
      </x:c>
      <x:c r="C1913" t="e">
        <x:f>HYPERLINK("https://belberrycrm.bitrix24.ru/crm/deal/details/14318/","https://belberrycrm.bitrix24.ru/crm/deal/details/14318/")</x:f>
      </x:c>
      <x:c r="D1913" t="str">
        <x:v>Реанимация</x:v>
      </x:c>
      <x:c r="E1913" t="str">
        <x:v>База для реанимации</x:v>
      </x:c>
      <x:c r="F1913" t="str">
        <x:v>Админ всея Belberry</x:v>
      </x:c>
      <x:c r="G1913" t="str">
        <x:v>нет</x:v>
      </x:c>
      <x:c r="H1913" t="str">
        <x:v>нет</x:v>
      </x:c>
    </x:row>
    <x:row r="1914">
      <x:c r="A1914" t="str">
        <x:v>14320</x:v>
      </x:c>
      <x:c r="B1914" t="str">
        <x:v>Иван Вход Продажа БАДов</x:v>
      </x:c>
      <x:c r="C1914" t="e">
        <x:f>HYPERLINK("https://belberrycrm.bitrix24.ru/crm/deal/details/14320/","https://belberrycrm.bitrix24.ru/crm/deal/details/14320/")</x:f>
      </x:c>
      <x:c r="D1914" t="str">
        <x:v>Реанимация</x:v>
      </x:c>
      <x:c r="E1914" t="str">
        <x:v>База для реанимации</x:v>
      </x:c>
      <x:c r="F1914" t="str">
        <x:v>Админ всея Belberry</x:v>
      </x:c>
      <x:c r="G1914" t="str">
        <x:v>нет</x:v>
      </x:c>
      <x:c r="H1914" t="str">
        <x:v>нет</x:v>
      </x:c>
    </x:row>
    <x:row r="1915">
      <x:c r="A1915" t="str">
        <x:v>14326</x:v>
      </x:c>
      <x:c r="B1915" t="str">
        <x:v>Тест___</x:v>
      </x:c>
      <x:c r="C1915" t="e">
        <x:f>HYPERLINK("https://belberrycrm.bitrix24.ru/crm/deal/details/14326/","https://belberrycrm.bitrix24.ru/crm/deal/details/14326/")</x:f>
      </x:c>
      <x:c r="D1915" t="str">
        <x:v>Реанимация</x:v>
      </x:c>
      <x:c r="E1915" t="str">
        <x:v>База для реанимации</x:v>
      </x:c>
      <x:c r="F1915" t="str">
        <x:v>Админ всея Belberry</x:v>
      </x:c>
      <x:c r="G1915" t="str">
        <x:v>нет</x:v>
      </x:c>
      <x:c r="H1915" t="str">
        <x:v>нет</x:v>
      </x:c>
    </x:row>
    <x:row r="1916">
      <x:c r="A1916" t="str">
        <x:v>14330</x:v>
      </x:c>
      <x:c r="B1916" t="str">
        <x:v>dr-frontal.ru</x:v>
      </x:c>
      <x:c r="C1916" t="e">
        <x:f>HYPERLINK("https://belberrycrm.bitrix24.ru/crm/deal/details/14330/","https://belberrycrm.bitrix24.ru/crm/deal/details/14330/")</x:f>
      </x:c>
      <x:c r="D1916" t="str">
        <x:v>Реанимация</x:v>
      </x:c>
      <x:c r="E1916" t="str">
        <x:v>База для реанимации</x:v>
      </x:c>
      <x:c r="F1916" t="str">
        <x:v>Админ всея Belberry</x:v>
      </x:c>
      <x:c r="G1916" t="str">
        <x:v>нет</x:v>
      </x:c>
      <x:c r="H1916" t="str">
        <x:v>нет</x:v>
      </x:c>
    </x:row>
    <x:row r="1917">
      <x:c r="A1917" t="str">
        <x:v>14334</x:v>
      </x:c>
      <x:c r="B1917" t="str">
        <x:v>shop.mpamed.ru</x:v>
      </x:c>
      <x:c r="C1917" t="e">
        <x:f>HYPERLINK("https://belberrycrm.bitrix24.ru/crm/deal/details/14334/","https://belberrycrm.bitrix24.ru/crm/deal/details/14334/")</x:f>
      </x:c>
      <x:c r="D1917" t="str">
        <x:v>Реанимация</x:v>
      </x:c>
      <x:c r="E1917" t="str">
        <x:v>База для реанимации</x:v>
      </x:c>
      <x:c r="F1917" t="str">
        <x:v>Админ всея Belberry</x:v>
      </x:c>
      <x:c r="G1917" t="str">
        <x:v>нет</x:v>
      </x:c>
      <x:c r="H1917" t="str">
        <x:v>нет</x:v>
      </x:c>
    </x:row>
    <x:row r="1918">
      <x:c r="A1918" t="str">
        <x:v>14342</x:v>
      </x:c>
      <x:c r="B1918" t="str">
        <x:v>facebank.store</x:v>
      </x:c>
      <x:c r="C1918" t="e">
        <x:f>HYPERLINK("https://belberrycrm.bitrix24.ru/crm/deal/details/14342/","https://belberrycrm.bitrix24.ru/crm/deal/details/14342/")</x:f>
      </x:c>
      <x:c r="D1918" t="str">
        <x:v>Реанимация</x:v>
      </x:c>
      <x:c r="E1918" t="str">
        <x:v>База для реанимации</x:v>
      </x:c>
      <x:c r="F1918" t="str">
        <x:v>Админ всея Belberry</x:v>
      </x:c>
      <x:c r="G1918" t="str">
        <x:v>нет</x:v>
      </x:c>
      <x:c r="H1918" t="str">
        <x:v>нет</x:v>
      </x:c>
    </x:row>
    <x:row r="1919">
      <x:c r="A1919" t="str">
        <x:v>14346</x:v>
      </x:c>
      <x:c r="B1919" t="str">
        <x:v>Иддин (стартап по производству оборудования для косметологий)</x:v>
      </x:c>
      <x:c r="C1919" t="e">
        <x:f>HYPERLINK("https://belberrycrm.bitrix24.ru/crm/deal/details/14346/","https://belberrycrm.bitrix24.ru/crm/deal/details/14346/")</x:f>
      </x:c>
      <x:c r="D1919" t="str">
        <x:v>Реанимация</x:v>
      </x:c>
      <x:c r="E1919" t="str">
        <x:v>База для реанимации</x:v>
      </x:c>
      <x:c r="F1919" t="str">
        <x:v>Админ всея Belberry</x:v>
      </x:c>
      <x:c r="G1919" t="str">
        <x:v>нет</x:v>
      </x:c>
      <x:c r="H1919" t="str">
        <x:v>нет</x:v>
      </x:c>
    </x:row>
    <x:row r="1920">
      <x:c r="A1920" t="str">
        <x:v>14350</x:v>
      </x:c>
      <x:c r="B1920" t="str">
        <x:v>Оксана Владиславовна Щукина (интересует продвижение личного бренда)</x:v>
      </x:c>
      <x:c r="C1920" t="e">
        <x:f>HYPERLINK("https://belberrycrm.bitrix24.ru/crm/deal/details/14350/","https://belberrycrm.bitrix24.ru/crm/deal/details/14350/")</x:f>
      </x:c>
      <x:c r="D1920" t="str">
        <x:v>Реанимация</x:v>
      </x:c>
      <x:c r="E1920" t="str">
        <x:v>База для реанимации</x:v>
      </x:c>
      <x:c r="F1920" t="str">
        <x:v>Админ всея Belberry</x:v>
      </x:c>
      <x:c r="G1920" t="str">
        <x:v>нет</x:v>
      </x:c>
      <x:c r="H1920" t="str">
        <x:v>нет</x:v>
      </x:c>
    </x:row>
    <x:row r="1921">
      <x:c r="A1921" t="str">
        <x:v>14352</x:v>
      </x:c>
      <x:c r="B1921" t="str">
        <x:v>vetdok.com</x:v>
      </x:c>
      <x:c r="C1921" t="e">
        <x:f>HYPERLINK("https://belberrycrm.bitrix24.ru/crm/deal/details/14352/","https://belberrycrm.bitrix24.ru/crm/deal/details/14352/")</x:f>
      </x:c>
      <x:c r="D1921" t="str">
        <x:v>Реанимация</x:v>
      </x:c>
      <x:c r="E1921" t="str">
        <x:v>База для реанимации</x:v>
      </x:c>
      <x:c r="F1921" t="str">
        <x:v>Админ всея Belberry</x:v>
      </x:c>
      <x:c r="G1921" t="str">
        <x:v>нет</x:v>
      </x:c>
      <x:c r="H1921" t="str">
        <x:v>нет</x:v>
      </x:c>
    </x:row>
    <x:row r="1922">
      <x:c r="A1922" t="str">
        <x:v>14356</x:v>
      </x:c>
      <x:c r="B1922" t="str">
        <x:v>magicdentalspb.ru</x:v>
      </x:c>
      <x:c r="C1922" t="e">
        <x:f>HYPERLINK("https://belberrycrm.bitrix24.ru/crm/deal/details/14356/","https://belberrycrm.bitrix24.ru/crm/deal/details/14356/")</x:f>
      </x:c>
      <x:c r="D1922" t="str">
        <x:v>Реанимация</x:v>
      </x:c>
      <x:c r="E1922" t="str">
        <x:v>База для реанимации</x:v>
      </x:c>
      <x:c r="F1922" t="str">
        <x:v>Админ всея Belberry</x:v>
      </x:c>
      <x:c r="G1922" t="str">
        <x:v>нет</x:v>
      </x:c>
      <x:c r="H1922" t="str">
        <x:v>нет</x:v>
      </x:c>
    </x:row>
    <x:row r="1923">
      <x:c r="A1923" t="str">
        <x:v>14358</x:v>
      </x:c>
      <x:c r="B1923" t="str">
        <x:v>dr_golub.turbo.site</x:v>
      </x:c>
      <x:c r="C1923" t="e">
        <x:f>HYPERLINK("https://belberrycrm.bitrix24.ru/crm/deal/details/14358/","https://belberrycrm.bitrix24.ru/crm/deal/details/14358/")</x:f>
      </x:c>
      <x:c r="D1923" t="str">
        <x:v>Реанимация</x:v>
      </x:c>
      <x:c r="E1923" t="str">
        <x:v>База для реанимации</x:v>
      </x:c>
      <x:c r="F1923" t="str">
        <x:v>Админ всея Belberry</x:v>
      </x:c>
      <x:c r="G1923" t="str">
        <x:v>нет</x:v>
      </x:c>
      <x:c r="H1923" t="str">
        <x:v>нет</x:v>
      </x:c>
    </x:row>
    <x:row r="1924">
      <x:c r="A1924" t="str">
        <x:v>14362</x:v>
      </x:c>
      <x:c r="B1924" t="str">
        <x:v>discount-ceramica.ru</x:v>
      </x:c>
      <x:c r="C1924" t="e">
        <x:f>HYPERLINK("https://belberrycrm.bitrix24.ru/crm/deal/details/14362/","https://belberrycrm.bitrix24.ru/crm/deal/details/14362/")</x:f>
      </x:c>
      <x:c r="D1924" t="str">
        <x:v>Реанимация</x:v>
      </x:c>
      <x:c r="E1924" t="str">
        <x:v>База для реанимации</x:v>
      </x:c>
      <x:c r="F1924" t="str">
        <x:v>Админ всея Belberry</x:v>
      </x:c>
      <x:c r="G1924" t="str">
        <x:v>нет</x:v>
      </x:c>
      <x:c r="H1924" t="str">
        <x:v>нет</x:v>
      </x:c>
    </x:row>
    <x:row r="1925">
      <x:c r="A1925" t="str">
        <x:v>14364</x:v>
      </x:c>
      <x:c r="B1925" t="str">
        <x:v>Стая Люпина</x:v>
      </x:c>
      <x:c r="C1925" t="e">
        <x:f>HYPERLINK("https://belberrycrm.bitrix24.ru/crm/deal/details/14364/","https://belberrycrm.bitrix24.ru/crm/deal/details/14364/")</x:f>
      </x:c>
      <x:c r="D1925" t="str">
        <x:v>Реанимация</x:v>
      </x:c>
      <x:c r="E1925" t="str">
        <x:v>База для реанимации</x:v>
      </x:c>
      <x:c r="F1925" t="str">
        <x:v>Админ всея Belberry</x:v>
      </x:c>
      <x:c r="G1925" t="str">
        <x:v>да</x:v>
      </x:c>
      <x:c r="H1925" t="str">
        <x:v>нет</x:v>
      </x:c>
    </x:row>
    <x:row r="1926">
      <x:c r="A1926" t="str">
        <x:v>14366</x:v>
      </x:c>
      <x:c r="B1926" t="str">
        <x:v>vector-spb.su</x:v>
      </x:c>
      <x:c r="C1926" t="e">
        <x:f>HYPERLINK("https://belberrycrm.bitrix24.ru/crm/deal/details/14366/","https://belberrycrm.bitrix24.ru/crm/deal/details/14366/")</x:f>
      </x:c>
      <x:c r="D1926" t="str">
        <x:v>Реанимация</x:v>
      </x:c>
      <x:c r="E1926" t="str">
        <x:v>База для реанимации</x:v>
      </x:c>
      <x:c r="F1926" t="str">
        <x:v>Админ всея Belberry</x:v>
      </x:c>
      <x:c r="G1926" t="str">
        <x:v>нет</x:v>
      </x:c>
      <x:c r="H1926" t="str">
        <x:v>нет</x:v>
      </x:c>
    </x:row>
    <x:row r="1927">
      <x:c r="A1927" t="str">
        <x:v>14370</x:v>
      </x:c>
      <x:c r="B1927" t="str">
        <x:v>siuhov.ru</x:v>
      </x:c>
      <x:c r="C1927" t="e">
        <x:f>HYPERLINK("https://belberrycrm.bitrix24.ru/crm/deal/details/14370/","https://belberrycrm.bitrix24.ru/crm/deal/details/14370/")</x:f>
      </x:c>
      <x:c r="D1927" t="str">
        <x:v>Реанимация</x:v>
      </x:c>
      <x:c r="E1927" t="str">
        <x:v>База для реанимации</x:v>
      </x:c>
      <x:c r="F1927" t="str">
        <x:v>Админ всея Belberry</x:v>
      </x:c>
      <x:c r="G1927" t="str">
        <x:v>нет</x:v>
      </x:c>
      <x:c r="H1927" t="str">
        <x:v>нет</x:v>
      </x:c>
    </x:row>
    <x:row r="1928">
      <x:c r="A1928" t="str">
        <x:v>14372</x:v>
      </x:c>
      <x:c r="B1928" t="str">
        <x:v>neurolab.ru</x:v>
      </x:c>
      <x:c r="C1928" t="e">
        <x:f>HYPERLINK("https://belberrycrm.bitrix24.ru/crm/deal/details/14372/","https://belberrycrm.bitrix24.ru/crm/deal/details/14372/")</x:f>
      </x:c>
      <x:c r="D1928" t="str">
        <x:v>Реанимация</x:v>
      </x:c>
      <x:c r="E1928" t="str">
        <x:v>База для реанимации</x:v>
      </x:c>
      <x:c r="F1928" t="str">
        <x:v>Админ всея Belberry</x:v>
      </x:c>
      <x:c r="G1928" t="str">
        <x:v>да</x:v>
      </x:c>
      <x:c r="H1928" t="str">
        <x:v>нет</x:v>
      </x:c>
    </x:row>
    <x:row r="1929">
      <x:c r="A1929" t="str">
        <x:v>14378</x:v>
      </x:c>
      <x:c r="B1929" t="str">
        <x:v>drsukhova.com</x:v>
      </x:c>
      <x:c r="C1929" t="e">
        <x:f>HYPERLINK("https://belberrycrm.bitrix24.ru/crm/deal/details/14378/","https://belberrycrm.bitrix24.ru/crm/deal/details/14378/")</x:f>
      </x:c>
      <x:c r="D1929" t="str">
        <x:v>Реанимация</x:v>
      </x:c>
      <x:c r="E1929" t="str">
        <x:v>База для реанимации</x:v>
      </x:c>
      <x:c r="F1929" t="str">
        <x:v>Админ всея Belberry</x:v>
      </x:c>
      <x:c r="G1929" t="str">
        <x:v>нет</x:v>
      </x:c>
      <x:c r="H1929" t="str">
        <x:v>нет</x:v>
      </x:c>
    </x:row>
    <x:row r="1930">
      <x:c r="A1930" t="str">
        <x:v>14382</x:v>
      </x:c>
      <x:c r="B1930" t="str">
        <x:v>premiera812.ru</x:v>
      </x:c>
      <x:c r="C1930" t="e">
        <x:f>HYPERLINK("https://belberrycrm.bitrix24.ru/crm/deal/details/14382/","https://belberrycrm.bitrix24.ru/crm/deal/details/14382/")</x:f>
      </x:c>
      <x:c r="D1930" t="str">
        <x:v>Реанимация</x:v>
      </x:c>
      <x:c r="E1930" t="str">
        <x:v>База для реанимации</x:v>
      </x:c>
      <x:c r="F1930" t="str">
        <x:v>Админ всея Belberry</x:v>
      </x:c>
      <x:c r="G1930" t="str">
        <x:v>нет</x:v>
      </x:c>
      <x:c r="H1930" t="str">
        <x:v>нет</x:v>
      </x:c>
    </x:row>
    <x:row r="1931">
      <x:c r="A1931" t="str">
        <x:v>14384</x:v>
      </x:c>
      <x:c r="B1931" t="str">
        <x:v>mcclinic.ru</x:v>
      </x:c>
      <x:c r="C1931" t="e">
        <x:f>HYPERLINK("https://belberrycrm.bitrix24.ru/crm/deal/details/14384/","https://belberrycrm.bitrix24.ru/crm/deal/details/14384/")</x:f>
      </x:c>
      <x:c r="D1931" t="str">
        <x:v>Реанимация</x:v>
      </x:c>
      <x:c r="E1931" t="str">
        <x:v>База для реанимации</x:v>
      </x:c>
      <x:c r="F1931" t="str">
        <x:v>Админ всея Belberry</x:v>
      </x:c>
      <x:c r="G1931" t="str">
        <x:v>нет</x:v>
      </x:c>
      <x:c r="H1931" t="str">
        <x:v>нет</x:v>
      </x:c>
    </x:row>
    <x:row r="1932">
      <x:c r="A1932" t="str">
        <x:v>14390</x:v>
      </x:c>
      <x:c r="B1932" t="str">
        <x:v>osstem.ru</x:v>
      </x:c>
      <x:c r="C1932" t="e">
        <x:f>HYPERLINK("https://belberrycrm.bitrix24.ru/crm/deal/details/14390/","https://belberrycrm.bitrix24.ru/crm/deal/details/14390/")</x:f>
      </x:c>
      <x:c r="D1932" t="str">
        <x:v>Реанимация</x:v>
      </x:c>
      <x:c r="E1932" t="str">
        <x:v>База для реанимации</x:v>
      </x:c>
      <x:c r="F1932" t="str">
        <x:v>Админ всея Belberry</x:v>
      </x:c>
      <x:c r="G1932" t="str">
        <x:v>нет</x:v>
      </x:c>
      <x:c r="H1932" t="str">
        <x:v>нет</x:v>
      </x:c>
    </x:row>
    <x:row r="1933">
      <x:c r="A1933" t="str">
        <x:v>14394</x:v>
      </x:c>
      <x:c r="B1933" t="str">
        <x:v>Биоинмед</x:v>
      </x:c>
      <x:c r="C1933" t="e">
        <x:f>HYPERLINK("https://belberrycrm.bitrix24.ru/crm/deal/details/14394/","https://belberrycrm.bitrix24.ru/crm/deal/details/14394/")</x:f>
      </x:c>
      <x:c r="D1933" t="str">
        <x:v>Реанимация</x:v>
      </x:c>
      <x:c r="E1933" t="str">
        <x:v>База для реанимации</x:v>
      </x:c>
      <x:c r="F1933" t="str">
        <x:v>Админ всея Belberry</x:v>
      </x:c>
      <x:c r="G1933" t="str">
        <x:v>нет</x:v>
      </x:c>
      <x:c r="H1933" t="str">
        <x:v>нет</x:v>
      </x:c>
    </x:row>
    <x:row r="1934">
      <x:c r="A1934" t="str">
        <x:v>14396</x:v>
      </x:c>
      <x:c r="B1934" t="str">
        <x:v>m-fur.ru</x:v>
      </x:c>
      <x:c r="C1934" t="e">
        <x:f>HYPERLINK("https://belberrycrm.bitrix24.ru/crm/deal/details/14396/","https://belberrycrm.bitrix24.ru/crm/deal/details/14396/")</x:f>
      </x:c>
      <x:c r="D1934" t="str">
        <x:v>Реанимация</x:v>
      </x:c>
      <x:c r="E1934" t="str">
        <x:v>База для реанимации</x:v>
      </x:c>
      <x:c r="F1934" t="str">
        <x:v>Админ всея Belberry</x:v>
      </x:c>
      <x:c r="G1934" t="str">
        <x:v>нет</x:v>
      </x:c>
      <x:c r="H1934" t="str">
        <x:v>нет</x:v>
      </x:c>
    </x:row>
    <x:row r="1935">
      <x:c r="A1935" t="str">
        <x:v>14398</x:v>
      </x:c>
      <x:c r="B1935" t="str">
        <x:v>Юлия (нужно ведение аккаунта в instagram)</x:v>
      </x:c>
      <x:c r="C1935" t="e">
        <x:f>HYPERLINK("https://belberrycrm.bitrix24.ru/crm/deal/details/14398/","https://belberrycrm.bitrix24.ru/crm/deal/details/14398/")</x:f>
      </x:c>
      <x:c r="D1935" t="str">
        <x:v>Реанимация</x:v>
      </x:c>
      <x:c r="E1935" t="str">
        <x:v>База для реанимации</x:v>
      </x:c>
      <x:c r="F1935" t="str">
        <x:v>Админ всея Belberry</x:v>
      </x:c>
      <x:c r="G1935" t="str">
        <x:v>нет</x:v>
      </x:c>
      <x:c r="H1935" t="str">
        <x:v>нет</x:v>
      </x:c>
    </x:row>
    <x:row r="1936">
      <x:c r="A1936" t="str">
        <x:v>14404</x:v>
      </x:c>
      <x:c r="B1936" t="str">
        <x:v>Распопова Елена Петровна (интересует разработка брендбука)</x:v>
      </x:c>
      <x:c r="C1936" t="e">
        <x:f>HYPERLINK("https://belberrycrm.bitrix24.ru/crm/deal/details/14404/","https://belberrycrm.bitrix24.ru/crm/deal/details/14404/")</x:f>
      </x:c>
      <x:c r="D1936" t="str">
        <x:v>Реанимация</x:v>
      </x:c>
      <x:c r="E1936" t="str">
        <x:v>База для реанимации</x:v>
      </x:c>
      <x:c r="F1936" t="str">
        <x:v>Админ всея Belberry</x:v>
      </x:c>
      <x:c r="G1936" t="str">
        <x:v>нет</x:v>
      </x:c>
      <x:c r="H1936" t="str">
        <x:v>нет</x:v>
      </x:c>
    </x:row>
    <x:row r="1937">
      <x:c r="A1937" t="str">
        <x:v>14406</x:v>
      </x:c>
      <x:c r="B1937" t="str">
        <x:v>cmdkaluga.ru</x:v>
      </x:c>
      <x:c r="C1937" t="e">
        <x:f>HYPERLINK("https://belberrycrm.bitrix24.ru/crm/deal/details/14406/","https://belberrycrm.bitrix24.ru/crm/deal/details/14406/")</x:f>
      </x:c>
      <x:c r="D1937" t="str">
        <x:v>Реанимация</x:v>
      </x:c>
      <x:c r="E1937" t="str">
        <x:v>База для реанимации</x:v>
      </x:c>
      <x:c r="F1937" t="str">
        <x:v>Админ всея Belberry</x:v>
      </x:c>
      <x:c r="G1937" t="str">
        <x:v>нет</x:v>
      </x:c>
      <x:c r="H1937" t="str">
        <x:v>нет</x:v>
      </x:c>
    </x:row>
    <x:row r="1938">
      <x:c r="A1938" t="str">
        <x:v>14408</x:v>
      </x:c>
      <x:c r="B1938" t="str">
        <x:v>Навалу</x:v>
      </x:c>
      <x:c r="C1938" t="e">
        <x:f>HYPERLINK("https://belberrycrm.bitrix24.ru/crm/deal/details/14408/","https://belberrycrm.bitrix24.ru/crm/deal/details/14408/")</x:f>
      </x:c>
      <x:c r="D1938" t="str">
        <x:v>Реанимация</x:v>
      </x:c>
      <x:c r="E1938" t="str">
        <x:v>База для реанимации</x:v>
      </x:c>
      <x:c r="F1938" t="str">
        <x:v>Админ всея Belberry</x:v>
      </x:c>
      <x:c r="G1938" t="str">
        <x:v>нет</x:v>
      </x:c>
      <x:c r="H1938" t="str">
        <x:v>нет</x:v>
      </x:c>
    </x:row>
    <x:row r="1939">
      <x:c r="A1939" t="str">
        <x:v>14412</x:v>
      </x:c>
      <x:c r="B1939" t="str">
        <x:v>gp107.mos.ru</x:v>
      </x:c>
      <x:c r="C1939" t="e">
        <x:f>HYPERLINK("https://belberrycrm.bitrix24.ru/crm/deal/details/14412/","https://belberrycrm.bitrix24.ru/crm/deal/details/14412/")</x:f>
      </x:c>
      <x:c r="D1939" t="str">
        <x:v>Реанимация</x:v>
      </x:c>
      <x:c r="E1939" t="str">
        <x:v>База для реанимации</x:v>
      </x:c>
      <x:c r="F1939" t="str">
        <x:v>Админ всея Belberry</x:v>
      </x:c>
      <x:c r="G1939" t="str">
        <x:v>да</x:v>
      </x:c>
      <x:c r="H1939" t="str">
        <x:v>нет</x:v>
      </x:c>
    </x:row>
    <x:row r="1940">
      <x:c r="A1940" t="str">
        <x:v>14416</x:v>
      </x:c>
      <x:c r="B1940" t="str">
        <x:v>Елена (врач гастроэнтеролог)</x:v>
      </x:c>
      <x:c r="C1940" t="e">
        <x:f>HYPERLINK("https://belberrycrm.bitrix24.ru/crm/deal/details/14416/","https://belberrycrm.bitrix24.ru/crm/deal/details/14416/")</x:f>
      </x:c>
      <x:c r="D1940" t="str">
        <x:v>Реанимация</x:v>
      </x:c>
      <x:c r="E1940" t="str">
        <x:v>База для реанимации</x:v>
      </x:c>
      <x:c r="F1940" t="str">
        <x:v>Админ всея Belberry</x:v>
      </x:c>
      <x:c r="G1940" t="str">
        <x:v>нет</x:v>
      </x:c>
      <x:c r="H1940" t="str">
        <x:v>нет</x:v>
      </x:c>
    </x:row>
    <x:row r="1941">
      <x:c r="A1941" t="str">
        <x:v>14418</x:v>
      </x:c>
      <x:c r="B1941" t="str">
        <x:v>Татьяна (Интересует информация, по созданию сайта стоматологической клиники)</x:v>
      </x:c>
      <x:c r="C1941" t="e">
        <x:f>HYPERLINK("https://belberrycrm.bitrix24.ru/crm/deal/details/14418/","https://belberrycrm.bitrix24.ru/crm/deal/details/14418/")</x:f>
      </x:c>
      <x:c r="D1941" t="str">
        <x:v>Реанимация</x:v>
      </x:c>
      <x:c r="E1941" t="str">
        <x:v>База для реанимации</x:v>
      </x:c>
      <x:c r="F1941" t="str">
        <x:v>Админ всея Belberry</x:v>
      </x:c>
      <x:c r="G1941" t="str">
        <x:v>нет</x:v>
      </x:c>
      <x:c r="H1941" t="str">
        <x:v>нет</x:v>
      </x:c>
    </x:row>
    <x:row r="1942">
      <x:c r="A1942" t="str">
        <x:v>14420</x:v>
      </x:c>
      <x:c r="B1942" t="str">
        <x:v>animatorbest.ru</x:v>
      </x:c>
      <x:c r="C1942" t="e">
        <x:f>HYPERLINK("https://belberrycrm.bitrix24.ru/crm/deal/details/14420/","https://belberrycrm.bitrix24.ru/crm/deal/details/14420/")</x:f>
      </x:c>
      <x:c r="D1942" t="str">
        <x:v>Реанимация</x:v>
      </x:c>
      <x:c r="E1942" t="str">
        <x:v>База для реанимации</x:v>
      </x:c>
      <x:c r="F1942" t="str">
        <x:v>Админ всея Belberry</x:v>
      </x:c>
      <x:c r="G1942" t="str">
        <x:v>да</x:v>
      </x:c>
      <x:c r="H1942" t="str">
        <x:v>нет</x:v>
      </x:c>
    </x:row>
    <x:row r="1943">
      <x:c r="A1943" t="str">
        <x:v>14424</x:v>
      </x:c>
      <x:c r="B1943" t="str">
        <x:v>Наталья Охременко (интересует продвижение личного бренда врача)</x:v>
      </x:c>
      <x:c r="C1943" t="e">
        <x:f>HYPERLINK("https://belberrycrm.bitrix24.ru/crm/deal/details/14424/","https://belberrycrm.bitrix24.ru/crm/deal/details/14424/")</x:f>
      </x:c>
      <x:c r="D1943" t="str">
        <x:v>Реанимация</x:v>
      </x:c>
      <x:c r="E1943" t="str">
        <x:v>База для реанимации</x:v>
      </x:c>
      <x:c r="F1943" t="str">
        <x:v>Админ всея Belberry</x:v>
      </x:c>
      <x:c r="G1943" t="str">
        <x:v>нет</x:v>
      </x:c>
      <x:c r="H1943" t="str">
        <x:v>нет</x:v>
      </x:c>
    </x:row>
    <x:row r="1944">
      <x:c r="A1944" t="str">
        <x:v>14426</x:v>
      </x:c>
      <x:c r="B1944" t="str">
        <x:v>masterdent-nv.ru</x:v>
      </x:c>
      <x:c r="C1944" t="e">
        <x:f>HYPERLINK("https://belberrycrm.bitrix24.ru/crm/deal/details/14426/","https://belberrycrm.bitrix24.ru/crm/deal/details/14426/")</x:f>
      </x:c>
      <x:c r="D1944" t="str">
        <x:v>Реанимация</x:v>
      </x:c>
      <x:c r="E1944" t="str">
        <x:v>База для реанимации</x:v>
      </x:c>
      <x:c r="F1944" t="str">
        <x:v>Админ всея Belberry</x:v>
      </x:c>
      <x:c r="G1944" t="str">
        <x:v>нет</x:v>
      </x:c>
      <x:c r="H1944" t="str">
        <x:v>нет</x:v>
      </x:c>
    </x:row>
    <x:row r="1945">
      <x:c r="A1945" t="str">
        <x:v>14432</x:v>
      </x:c>
      <x:c r="B1945" t="str">
        <x:v>alliancemedicale.ru</x:v>
      </x:c>
      <x:c r="C1945" t="e">
        <x:f>HYPERLINK("https://belberrycrm.bitrix24.ru/crm/deal/details/14432/","https://belberrycrm.bitrix24.ru/crm/deal/details/14432/")</x:f>
      </x:c>
      <x:c r="D1945" t="str">
        <x:v>Реанимация</x:v>
      </x:c>
      <x:c r="E1945" t="str">
        <x:v>База для реанимации</x:v>
      </x:c>
      <x:c r="F1945" t="str">
        <x:v>Админ всея Belberry</x:v>
      </x:c>
      <x:c r="G1945" t="str">
        <x:v>нет</x:v>
      </x:c>
      <x:c r="H1945" t="str">
        <x:v>нет</x:v>
      </x:c>
    </x:row>
    <x:row r="1946">
      <x:c r="A1946" t="str">
        <x:v>14434</x:v>
      </x:c>
      <x:c r="B1946" t="str">
        <x:v>Юлия Бородкина (врач-узист)</x:v>
      </x:c>
      <x:c r="C1946" t="e">
        <x:f>HYPERLINK("https://belberrycrm.bitrix24.ru/crm/deal/details/14434/","https://belberrycrm.bitrix24.ru/crm/deal/details/14434/")</x:f>
      </x:c>
      <x:c r="D1946" t="str">
        <x:v>Реанимация</x:v>
      </x:c>
      <x:c r="E1946" t="str">
        <x:v>База для реанимации</x:v>
      </x:c>
      <x:c r="F1946" t="str">
        <x:v>Админ всея Belberry</x:v>
      </x:c>
      <x:c r="G1946" t="str">
        <x:v>нет</x:v>
      </x:c>
      <x:c r="H1946" t="str">
        <x:v>нет</x:v>
      </x:c>
    </x:row>
    <x:row r="1947">
      <x:c r="A1947" t="str">
        <x:v>14436</x:v>
      </x:c>
      <x:c r="B1947" t="str">
        <x:v>beclinics.ru</x:v>
      </x:c>
      <x:c r="C1947" t="e">
        <x:f>HYPERLINK("https://belberrycrm.bitrix24.ru/crm/deal/details/14436/","https://belberrycrm.bitrix24.ru/crm/deal/details/14436/")</x:f>
      </x:c>
      <x:c r="D1947" t="str">
        <x:v>Реанимация</x:v>
      </x:c>
      <x:c r="E1947" t="str">
        <x:v>База для реанимации</x:v>
      </x:c>
      <x:c r="F1947" t="str">
        <x:v>Админ всея Belberry</x:v>
      </x:c>
      <x:c r="G1947" t="str">
        <x:v>нет</x:v>
      </x:c>
      <x:c r="H1947" t="str">
        <x:v>нет</x:v>
      </x:c>
    </x:row>
    <x:row r="1948">
      <x:c r="A1948" t="str">
        <x:v>14444</x:v>
      </x:c>
      <x:c r="B1948" t="str">
        <x:v>stomatologiya-moskva.ru</x:v>
      </x:c>
      <x:c r="C1948" t="e">
        <x:f>HYPERLINK("https://belberrycrm.bitrix24.ru/crm/deal/details/14444/","https://belberrycrm.bitrix24.ru/crm/deal/details/14444/")</x:f>
      </x:c>
      <x:c r="D1948" t="str">
        <x:v>Реанимация</x:v>
      </x:c>
      <x:c r="E1948" t="str">
        <x:v>База для реанимации</x:v>
      </x:c>
      <x:c r="F1948" t="str">
        <x:v>Админ всея Belberry</x:v>
      </x:c>
      <x:c r="G1948" t="str">
        <x:v>нет</x:v>
      </x:c>
      <x:c r="H1948" t="str">
        <x:v>нет</x:v>
      </x:c>
    </x:row>
    <x:row r="1949">
      <x:c r="A1949" t="str">
        <x:v>14446</x:v>
      </x:c>
      <x:c r="B1949" t="str">
        <x:v>dzdorovie.ru</x:v>
      </x:c>
      <x:c r="C1949" t="e">
        <x:f>HYPERLINK("https://belberrycrm.bitrix24.ru/crm/deal/details/14446/","https://belberrycrm.bitrix24.ru/crm/deal/details/14446/")</x:f>
      </x:c>
      <x:c r="D1949" t="str">
        <x:v>Реанимация</x:v>
      </x:c>
      <x:c r="E1949" t="str">
        <x:v>База для реанимации</x:v>
      </x:c>
      <x:c r="F1949" t="str">
        <x:v>Админ всея Belberry</x:v>
      </x:c>
      <x:c r="G1949" t="str">
        <x:v>нет</x:v>
      </x:c>
      <x:c r="H1949" t="str">
        <x:v>нет</x:v>
      </x:c>
    </x:row>
    <x:row r="1950">
      <x:c r="A1950" t="str">
        <x:v>14448</x:v>
      </x:c>
      <x:c r="B1950" t="str">
        <x:v>cmc-clinic.ru</x:v>
      </x:c>
      <x:c r="C1950" t="e">
        <x:f>HYPERLINK("https://belberrycrm.bitrix24.ru/crm/deal/details/14448/","https://belberrycrm.bitrix24.ru/crm/deal/details/14448/")</x:f>
      </x:c>
      <x:c r="D1950" t="str">
        <x:v>Реанимация</x:v>
      </x:c>
      <x:c r="E1950" t="str">
        <x:v>База для реанимации</x:v>
      </x:c>
      <x:c r="F1950" t="str">
        <x:v>Админ всея Belberry</x:v>
      </x:c>
      <x:c r="G1950" t="str">
        <x:v>нет</x:v>
      </x:c>
      <x:c r="H1950" t="str">
        <x:v>нет</x:v>
      </x:c>
    </x:row>
    <x:row r="1951">
      <x:c r="A1951" t="str">
        <x:v>14452</x:v>
      </x:c>
      <x:c r="B1951" t="str">
        <x:v>dentoprofile.ru</x:v>
      </x:c>
      <x:c r="C1951" t="e">
        <x:f>HYPERLINK("https://belberrycrm.bitrix24.ru/crm/deal/details/14452/","https://belberrycrm.bitrix24.ru/crm/deal/details/14452/")</x:f>
      </x:c>
      <x:c r="D1951" t="str">
        <x:v>Реанимация</x:v>
      </x:c>
      <x:c r="E1951" t="str">
        <x:v>База для реанимации</x:v>
      </x:c>
      <x:c r="F1951" t="str">
        <x:v>Админ всея Belberry</x:v>
      </x:c>
      <x:c r="G1951" t="str">
        <x:v>нет</x:v>
      </x:c>
      <x:c r="H1951" t="str">
        <x:v>нет</x:v>
      </x:c>
    </x:row>
    <x:row r="1952">
      <x:c r="A1952" t="str">
        <x:v>14454</x:v>
      </x:c>
      <x:c r="B1952" t="str">
        <x:v>cmdshelepiha.ru</x:v>
      </x:c>
      <x:c r="C1952" t="e">
        <x:f>HYPERLINK("https://belberrycrm.bitrix24.ru/crm/deal/details/14454/","https://belberrycrm.bitrix24.ru/crm/deal/details/14454/")</x:f>
      </x:c>
      <x:c r="D1952" t="str">
        <x:v>Реанимация</x:v>
      </x:c>
      <x:c r="E1952" t="str">
        <x:v>База для реанимации</x:v>
      </x:c>
      <x:c r="F1952" t="str">
        <x:v>Админ всея Belberry</x:v>
      </x:c>
      <x:c r="G1952" t="str">
        <x:v>нет</x:v>
      </x:c>
      <x:c r="H1952" t="str">
        <x:v>нет</x:v>
      </x:c>
    </x:row>
    <x:row r="1953">
      <x:c r="A1953" t="str">
        <x:v>14458</x:v>
      </x:c>
      <x:c r="B1953" t="str">
        <x:v>chestnayaklinika.ru</x:v>
      </x:c>
      <x:c r="C1953" t="e">
        <x:f>HYPERLINK("https://belberrycrm.bitrix24.ru/crm/deal/details/14458/","https://belberrycrm.bitrix24.ru/crm/deal/details/14458/")</x:f>
      </x:c>
      <x:c r="D1953" t="str">
        <x:v>Реанимация</x:v>
      </x:c>
      <x:c r="E1953" t="str">
        <x:v>База для реанимации</x:v>
      </x:c>
      <x:c r="F1953" t="str">
        <x:v>Админ всея Belberry</x:v>
      </x:c>
      <x:c r="G1953" t="str">
        <x:v>да</x:v>
      </x:c>
      <x:c r="H1953" t="str">
        <x:v>нет</x:v>
      </x:c>
    </x:row>
    <x:row r="1954">
      <x:c r="A1954" t="str">
        <x:v>14462</x:v>
      </x:c>
      <x:c r="B1954" t="str">
        <x:v>yourfacecosmo.ru</x:v>
      </x:c>
      <x:c r="C1954" t="e">
        <x:f>HYPERLINK("https://belberrycrm.bitrix24.ru/crm/deal/details/14462/","https://belberrycrm.bitrix24.ru/crm/deal/details/14462/")</x:f>
      </x:c>
      <x:c r="D1954" t="str">
        <x:v>Реанимация</x:v>
      </x:c>
      <x:c r="E1954" t="str">
        <x:v>База для реанимации</x:v>
      </x:c>
      <x:c r="F1954" t="str">
        <x:v>Админ всея Belberry</x:v>
      </x:c>
      <x:c r="G1954" t="str">
        <x:v>нет</x:v>
      </x:c>
      <x:c r="H1954" t="str">
        <x:v>нет</x:v>
      </x:c>
    </x:row>
    <x:row r="1955">
      <x:c r="A1955" t="str">
        <x:v>14464</x:v>
      </x:c>
      <x:c r="B1955" t="str">
        <x:v>labprestige.com</x:v>
      </x:c>
      <x:c r="C1955" t="e">
        <x:f>HYPERLINK("https://belberrycrm.bitrix24.ru/crm/deal/details/14464/","https://belberrycrm.bitrix24.ru/crm/deal/details/14464/")</x:f>
      </x:c>
      <x:c r="D1955" t="str">
        <x:v>Реанимация</x:v>
      </x:c>
      <x:c r="E1955" t="str">
        <x:v>База для реанимации</x:v>
      </x:c>
      <x:c r="F1955" t="str">
        <x:v>Админ всея Belberry</x:v>
      </x:c>
      <x:c r="G1955" t="str">
        <x:v>нет</x:v>
      </x:c>
      <x:c r="H1955" t="str">
        <x:v>нет</x:v>
      </x:c>
    </x:row>
    <x:row r="1956">
      <x:c r="A1956" t="str">
        <x:v>14468</x:v>
      </x:c>
      <x:c r="B1956" t="str">
        <x:v>dr-ovechkina.ru</x:v>
      </x:c>
      <x:c r="C1956" t="e">
        <x:f>HYPERLINK("https://belberrycrm.bitrix24.ru/crm/deal/details/14468/","https://belberrycrm.bitrix24.ru/crm/deal/details/14468/")</x:f>
      </x:c>
      <x:c r="D1956" t="str">
        <x:v>Реанимация</x:v>
      </x:c>
      <x:c r="E1956" t="str">
        <x:v>База для реанимации</x:v>
      </x:c>
      <x:c r="F1956" t="str">
        <x:v>Админ всея Belberry</x:v>
      </x:c>
      <x:c r="G1956" t="str">
        <x:v>нет</x:v>
      </x:c>
      <x:c r="H1956" t="str">
        <x:v>нет</x:v>
      </x:c>
    </x:row>
    <x:row r="1957">
      <x:c r="A1957" t="str">
        <x:v>14470</x:v>
      </x:c>
      <x:c r="B1957" t="str">
        <x:v>Frangelik</x:v>
      </x:c>
      <x:c r="C1957" t="e">
        <x:f>HYPERLINK("https://belberrycrm.bitrix24.ru/crm/deal/details/14470/","https://belberrycrm.bitrix24.ru/crm/deal/details/14470/")</x:f>
      </x:c>
      <x:c r="D1957" t="str">
        <x:v>Реанимация</x:v>
      </x:c>
      <x:c r="E1957" t="str">
        <x:v>База для реанимации</x:v>
      </x:c>
      <x:c r="F1957" t="str">
        <x:v>Админ всея Belberry</x:v>
      </x:c>
      <x:c r="G1957" t="str">
        <x:v>нет</x:v>
      </x:c>
      <x:c r="H1957" t="str">
        <x:v>нет</x:v>
      </x:c>
    </x:row>
    <x:row r="1958">
      <x:c r="A1958" t="str">
        <x:v>14472</x:v>
      </x:c>
      <x:c r="B1958" t="str">
        <x:v>mc-peresvet.ru</x:v>
      </x:c>
      <x:c r="C1958" t="e">
        <x:f>HYPERLINK("https://belberrycrm.bitrix24.ru/crm/deal/details/14472/","https://belberrycrm.bitrix24.ru/crm/deal/details/14472/")</x:f>
      </x:c>
      <x:c r="D1958" t="str">
        <x:v>Реанимация</x:v>
      </x:c>
      <x:c r="E1958" t="str">
        <x:v>База для реанимации</x:v>
      </x:c>
      <x:c r="F1958" t="str">
        <x:v>Админ всея Belberry</x:v>
      </x:c>
      <x:c r="G1958" t="str">
        <x:v>да</x:v>
      </x:c>
      <x:c r="H1958" t="str">
        <x:v>нет</x:v>
      </x:c>
    </x:row>
    <x:row r="1959">
      <x:c r="A1959" t="str">
        <x:v>14474</x:v>
      </x:c>
      <x:c r="B1959" t="str">
        <x:v>Евгений Осипов (входящая заявка на покупку нашего шаблона)</x:v>
      </x:c>
      <x:c r="C1959" t="e">
        <x:f>HYPERLINK("https://belberrycrm.bitrix24.ru/crm/deal/details/14474/","https://belberrycrm.bitrix24.ru/crm/deal/details/14474/")</x:f>
      </x:c>
      <x:c r="D1959" t="str">
        <x:v>Реанимация</x:v>
      </x:c>
      <x:c r="E1959" t="str">
        <x:v>База для реанимации</x:v>
      </x:c>
      <x:c r="F1959" t="str">
        <x:v>Админ всея Belberry</x:v>
      </x:c>
      <x:c r="G1959" t="str">
        <x:v>нет</x:v>
      </x:c>
      <x:c r="H1959" t="str">
        <x:v>нет</x:v>
      </x:c>
    </x:row>
    <x:row r="1960">
      <x:c r="A1960" t="str">
        <x:v>14478</x:v>
      </x:c>
      <x:c r="B1960" t="str">
        <x:v>vasilevkulagin.com</x:v>
      </x:c>
      <x:c r="C1960" t="e">
        <x:f>HYPERLINK("https://belberrycrm.bitrix24.ru/crm/deal/details/14478/","https://belberrycrm.bitrix24.ru/crm/deal/details/14478/")</x:f>
      </x:c>
      <x:c r="D1960" t="str">
        <x:v>Реанимация</x:v>
      </x:c>
      <x:c r="E1960" t="str">
        <x:v>База для реанимации</x:v>
      </x:c>
      <x:c r="F1960" t="str">
        <x:v>Админ всея Belberry</x:v>
      </x:c>
      <x:c r="G1960" t="str">
        <x:v>да</x:v>
      </x:c>
      <x:c r="H1960" t="str">
        <x:v>нет</x:v>
      </x:c>
    </x:row>
    <x:row r="1961">
      <x:c r="A1961" t="str">
        <x:v>14480</x:v>
      </x:c>
      <x:c r="B1961" t="str">
        <x:v>gympride.ru</x:v>
      </x:c>
      <x:c r="C1961" t="e">
        <x:f>HYPERLINK("https://belberrycrm.bitrix24.ru/crm/deal/details/14480/","https://belberrycrm.bitrix24.ru/crm/deal/details/14480/")</x:f>
      </x:c>
      <x:c r="D1961" t="str">
        <x:v>Реанимация</x:v>
      </x:c>
      <x:c r="E1961" t="str">
        <x:v>База для реанимации</x:v>
      </x:c>
      <x:c r="F1961" t="str">
        <x:v>Админ всея Belberry</x:v>
      </x:c>
      <x:c r="G1961" t="str">
        <x:v>нет</x:v>
      </x:c>
      <x:c r="H1961" t="str">
        <x:v>нет</x:v>
      </x:c>
    </x:row>
    <x:row r="1962">
      <x:c r="A1962" t="str">
        <x:v>14492</x:v>
      </x:c>
      <x:c r="B1962" t="str">
        <x:v>Вера (входящая заявка)</x:v>
      </x:c>
      <x:c r="C1962" t="e">
        <x:f>HYPERLINK("https://belberrycrm.bitrix24.ru/crm/deal/details/14492/","https://belberrycrm.bitrix24.ru/crm/deal/details/14492/")</x:f>
      </x:c>
      <x:c r="D1962" t="str">
        <x:v>Реанимация</x:v>
      </x:c>
      <x:c r="E1962" t="str">
        <x:v>База для реанимации</x:v>
      </x:c>
      <x:c r="F1962" t="str">
        <x:v>Админ всея Belberry</x:v>
      </x:c>
      <x:c r="G1962" t="str">
        <x:v>нет</x:v>
      </x:c>
      <x:c r="H1962" t="str">
        <x:v>нет</x:v>
      </x:c>
    </x:row>
    <x:row r="1963">
      <x:c r="A1963" t="str">
        <x:v>14494</x:v>
      </x:c>
      <x:c r="B1963" t="str">
        <x:v>anapolisdom.ru</x:v>
      </x:c>
      <x:c r="C1963" t="e">
        <x:f>HYPERLINK("https://belberrycrm.bitrix24.ru/crm/deal/details/14494/","https://belberrycrm.bitrix24.ru/crm/deal/details/14494/")</x:f>
      </x:c>
      <x:c r="D1963" t="str">
        <x:v>Реанимация</x:v>
      </x:c>
      <x:c r="E1963" t="str">
        <x:v>База для реанимации</x:v>
      </x:c>
      <x:c r="F1963" t="str">
        <x:v>Админ всея Belberry</x:v>
      </x:c>
      <x:c r="G1963" t="str">
        <x:v>нет</x:v>
      </x:c>
      <x:c r="H1963" t="str">
        <x:v>нет</x:v>
      </x:c>
    </x:row>
    <x:row r="1964">
      <x:c r="A1964" t="str">
        <x:v>14496</x:v>
      </x:c>
      <x:c r="B1964" t="str">
        <x:v>safia-home.ru</x:v>
      </x:c>
      <x:c r="C1964" t="e">
        <x:f>HYPERLINK("https://belberrycrm.bitrix24.ru/crm/deal/details/14496/","https://belberrycrm.bitrix24.ru/crm/deal/details/14496/")</x:f>
      </x:c>
      <x:c r="D1964" t="str">
        <x:v>Реанимация</x:v>
      </x:c>
      <x:c r="E1964" t="str">
        <x:v>База для реанимации</x:v>
      </x:c>
      <x:c r="F1964" t="str">
        <x:v>Админ всея Belberry</x:v>
      </x:c>
      <x:c r="G1964" t="str">
        <x:v>нет</x:v>
      </x:c>
      <x:c r="H1964" t="str">
        <x:v>нет</x:v>
      </x:c>
    </x:row>
    <x:row r="1965">
      <x:c r="A1965" t="str">
        <x:v>14500</x:v>
      </x:c>
      <x:c r="B1965" t="str">
        <x:v>diagnostiqa.ru</x:v>
      </x:c>
      <x:c r="C1965" t="e">
        <x:f>HYPERLINK("https://belberrycrm.bitrix24.ru/crm/deal/details/14500/","https://belberrycrm.bitrix24.ru/crm/deal/details/14500/")</x:f>
      </x:c>
      <x:c r="D1965" t="str">
        <x:v>Реанимация</x:v>
      </x:c>
      <x:c r="E1965" t="str">
        <x:v>База для реанимации</x:v>
      </x:c>
      <x:c r="F1965" t="str">
        <x:v>Админ всея Belberry</x:v>
      </x:c>
      <x:c r="G1965" t="str">
        <x:v>нет</x:v>
      </x:c>
      <x:c r="H1965" t="str">
        <x:v>нет</x:v>
      </x:c>
    </x:row>
    <x:row r="1966">
      <x:c r="A1966" t="str">
        <x:v>14502</x:v>
      </x:c>
      <x:c r="B1966" t="str">
        <x:v>New Age - косметология</x:v>
      </x:c>
      <x:c r="C1966" t="e">
        <x:f>HYPERLINK("https://belberrycrm.bitrix24.ru/crm/deal/details/14502/","https://belberrycrm.bitrix24.ru/crm/deal/details/14502/")</x:f>
      </x:c>
      <x:c r="D1966" t="str">
        <x:v>Реанимация</x:v>
      </x:c>
      <x:c r="E1966" t="str">
        <x:v>База для реанимации</x:v>
      </x:c>
      <x:c r="F1966" t="str">
        <x:v>Админ всея Belberry</x:v>
      </x:c>
      <x:c r="G1966" t="str">
        <x:v>нет</x:v>
      </x:c>
      <x:c r="H1966" t="str">
        <x:v>нет</x:v>
      </x:c>
    </x:row>
    <x:row r="1967">
      <x:c r="A1967" t="str">
        <x:v>14504</x:v>
      </x:c>
      <x:c r="B1967" t="str">
        <x:v>aysi-farm.ru</x:v>
      </x:c>
      <x:c r="C1967" t="e">
        <x:f>HYPERLINK("https://belberrycrm.bitrix24.ru/crm/deal/details/14504/","https://belberrycrm.bitrix24.ru/crm/deal/details/14504/")</x:f>
      </x:c>
      <x:c r="D1967" t="str">
        <x:v>Реанимация</x:v>
      </x:c>
      <x:c r="E1967" t="str">
        <x:v>База для реанимации</x:v>
      </x:c>
      <x:c r="F1967" t="str">
        <x:v>Админ всея Belberry</x:v>
      </x:c>
      <x:c r="G1967" t="str">
        <x:v>нет</x:v>
      </x:c>
      <x:c r="H1967" t="str">
        <x:v>нет</x:v>
      </x:c>
    </x:row>
    <x:row r="1968">
      <x:c r="A1968" t="str">
        <x:v>14506</x:v>
      </x:c>
      <x:c r="B1968" t="str">
        <x:v>Beam.ruswest</x:v>
      </x:c>
      <x:c r="C1968" t="e">
        <x:f>HYPERLINK("https://belberrycrm.bitrix24.ru/crm/deal/details/14506/","https://belberrycrm.bitrix24.ru/crm/deal/details/14506/")</x:f>
      </x:c>
      <x:c r="D1968" t="str">
        <x:v>Реанимация</x:v>
      </x:c>
      <x:c r="E1968" t="str">
        <x:v>База для реанимации</x:v>
      </x:c>
      <x:c r="F1968" t="str">
        <x:v>Админ всея Belberry</x:v>
      </x:c>
      <x:c r="G1968" t="str">
        <x:v>нет</x:v>
      </x:c>
      <x:c r="H1968" t="str">
        <x:v>нет</x:v>
      </x:c>
    </x:row>
    <x:row r="1969">
      <x:c r="A1969" t="str">
        <x:v>14510</x:v>
      </x:c>
      <x:c r="B1969" t="str">
        <x:v>zirkondent.ru</x:v>
      </x:c>
      <x:c r="C1969" t="e">
        <x:f>HYPERLINK("https://belberrycrm.bitrix24.ru/crm/deal/details/14510/","https://belberrycrm.bitrix24.ru/crm/deal/details/14510/")</x:f>
      </x:c>
      <x:c r="D1969" t="str">
        <x:v>Реанимация</x:v>
      </x:c>
      <x:c r="E1969" t="str">
        <x:v>База для реанимации</x:v>
      </x:c>
      <x:c r="F1969" t="str">
        <x:v>Админ всея Belberry</x:v>
      </x:c>
      <x:c r="G1969" t="str">
        <x:v>нет</x:v>
      </x:c>
      <x:c r="H1969" t="str">
        <x:v>нет</x:v>
      </x:c>
    </x:row>
    <x:row r="1970">
      <x:c r="A1970" t="str">
        <x:v>14520</x:v>
      </x:c>
      <x:c r="B1970" t="str">
        <x:v>lake villas club</x:v>
      </x:c>
      <x:c r="C1970" t="e">
        <x:f>HYPERLINK("https://belberrycrm.bitrix24.ru/crm/deal/details/14520/","https://belberrycrm.bitrix24.ru/crm/deal/details/14520/")</x:f>
      </x:c>
      <x:c r="D1970" t="str">
        <x:v>Реанимация</x:v>
      </x:c>
      <x:c r="E1970" t="str">
        <x:v>База для реанимации</x:v>
      </x:c>
      <x:c r="F1970" t="str">
        <x:v>Админ всея Belberry</x:v>
      </x:c>
      <x:c r="G1970" t="str">
        <x:v>нет</x:v>
      </x:c>
      <x:c r="H1970" t="str">
        <x:v>нет</x:v>
      </x:c>
    </x:row>
    <x:row r="1971">
      <x:c r="A1971" t="str">
        <x:v>14522</x:v>
      </x:c>
      <x:c r="B1971" t="str">
        <x:v>wai-thai-beauty.ru</x:v>
      </x:c>
      <x:c r="C1971" t="e">
        <x:f>HYPERLINK("https://belberrycrm.bitrix24.ru/crm/deal/details/14522/","https://belberrycrm.bitrix24.ru/crm/deal/details/14522/")</x:f>
      </x:c>
      <x:c r="D1971" t="str">
        <x:v>Реанимация</x:v>
      </x:c>
      <x:c r="E1971" t="str">
        <x:v>База для реанимации</x:v>
      </x:c>
      <x:c r="F1971" t="str">
        <x:v>Админ всея Belberry</x:v>
      </x:c>
      <x:c r="G1971" t="str">
        <x:v>нет</x:v>
      </x:c>
      <x:c r="H1971" t="str">
        <x:v>нет</x:v>
      </x:c>
    </x:row>
    <x:row r="1972">
      <x:c r="A1972" t="str">
        <x:v>14526</x:v>
      </x:c>
      <x:c r="B1972" t="str">
        <x:v>impladent-spb.ru</x:v>
      </x:c>
      <x:c r="C1972" t="e">
        <x:f>HYPERLINK("https://belberrycrm.bitrix24.ru/crm/deal/details/14526/","https://belberrycrm.bitrix24.ru/crm/deal/details/14526/")</x:f>
      </x:c>
      <x:c r="D1972" t="str">
        <x:v>Реанимация</x:v>
      </x:c>
      <x:c r="E1972" t="str">
        <x:v>База для реанимации</x:v>
      </x:c>
      <x:c r="F1972" t="str">
        <x:v>Админ всея Belberry</x:v>
      </x:c>
      <x:c r="G1972" t="str">
        <x:v>нет</x:v>
      </x:c>
      <x:c r="H1972" t="str">
        <x:v>нет</x:v>
      </x:c>
    </x:row>
    <x:row r="1973">
      <x:c r="A1973" t="str">
        <x:v>14528</x:v>
      </x:c>
      <x:c r="B1973" t="str">
        <x:v>6730070.ru</x:v>
      </x:c>
      <x:c r="C1973" t="e">
        <x:f>HYPERLINK("https://belberrycrm.bitrix24.ru/crm/deal/details/14528/","https://belberrycrm.bitrix24.ru/crm/deal/details/14528/")</x:f>
      </x:c>
      <x:c r="D1973" t="str">
        <x:v>Реанимация</x:v>
      </x:c>
      <x:c r="E1973" t="str">
        <x:v>База для реанимации</x:v>
      </x:c>
      <x:c r="F1973" t="str">
        <x:v>Админ всея Belberry</x:v>
      </x:c>
      <x:c r="G1973" t="str">
        <x:v>да</x:v>
      </x:c>
      <x:c r="H1973" t="str">
        <x:v>нет</x:v>
      </x:c>
    </x:row>
    <x:row r="1974">
      <x:c r="A1974" t="str">
        <x:v>14532</x:v>
      </x:c>
      <x:c r="B1974" t="str">
        <x:v>daryadent.ru</x:v>
      </x:c>
      <x:c r="C1974" t="e">
        <x:f>HYPERLINK("https://belberrycrm.bitrix24.ru/crm/deal/details/14532/","https://belberrycrm.bitrix24.ru/crm/deal/details/14532/")</x:f>
      </x:c>
      <x:c r="D1974" t="str">
        <x:v>Реанимация</x:v>
      </x:c>
      <x:c r="E1974" t="str">
        <x:v>База для реанимации</x:v>
      </x:c>
      <x:c r="F1974" t="str">
        <x:v>Админ всея Belberry</x:v>
      </x:c>
      <x:c r="G1974" t="str">
        <x:v>нет</x:v>
      </x:c>
      <x:c r="H1974" t="str">
        <x:v>нет</x:v>
      </x:c>
    </x:row>
    <x:row r="1975">
      <x:c r="A1975" t="str">
        <x:v>14538</x:v>
      </x:c>
      <x:c r="B1975" t="str">
        <x:v>профибух.рф</x:v>
      </x:c>
      <x:c r="C1975" t="e">
        <x:f>HYPERLINK("https://belberrycrm.bitrix24.ru/crm/deal/details/14538/","https://belberrycrm.bitrix24.ru/crm/deal/details/14538/")</x:f>
      </x:c>
      <x:c r="D1975" t="str">
        <x:v>Реанимация</x:v>
      </x:c>
      <x:c r="E1975" t="str">
        <x:v>База для реанимации</x:v>
      </x:c>
      <x:c r="F1975" t="str">
        <x:v>Админ всея Belberry</x:v>
      </x:c>
      <x:c r="G1975" t="str">
        <x:v>нет</x:v>
      </x:c>
      <x:c r="H1975" t="str">
        <x:v>нет</x:v>
      </x:c>
    </x:row>
    <x:row r="1976">
      <x:c r="A1976" t="str">
        <x:v>14540</x:v>
      </x:c>
      <x:c r="B1976" t="str">
        <x:v>truck-international.ru</x:v>
      </x:c>
      <x:c r="C1976" t="e">
        <x:f>HYPERLINK("https://belberrycrm.bitrix24.ru/crm/deal/details/14540/","https://belberrycrm.bitrix24.ru/crm/deal/details/14540/")</x:f>
      </x:c>
      <x:c r="D1976" t="str">
        <x:v>Реанимация</x:v>
      </x:c>
      <x:c r="E1976" t="str">
        <x:v>База для реанимации</x:v>
      </x:c>
      <x:c r="F1976" t="str">
        <x:v>Админ всея Belberry</x:v>
      </x:c>
      <x:c r="G1976" t="str">
        <x:v>нет</x:v>
      </x:c>
      <x:c r="H1976" t="str">
        <x:v>нет</x:v>
      </x:c>
    </x:row>
    <x:row r="1977">
      <x:c r="A1977" t="str">
        <x:v>14548</x:v>
      </x:c>
      <x:c r="B1977" t="str">
        <x:v>Екатерина Сергеевна Лемешевская (интересует разработка сайта для клиники)</x:v>
      </x:c>
      <x:c r="C1977" t="e">
        <x:f>HYPERLINK("https://belberrycrm.bitrix24.ru/crm/deal/details/14548/","https://belberrycrm.bitrix24.ru/crm/deal/details/14548/")</x:f>
      </x:c>
      <x:c r="D1977" t="str">
        <x:v>Реанимация</x:v>
      </x:c>
      <x:c r="E1977" t="str">
        <x:v>База для реанимации</x:v>
      </x:c>
      <x:c r="F1977" t="str">
        <x:v>Админ всея Belberry</x:v>
      </x:c>
      <x:c r="G1977" t="str">
        <x:v>нет</x:v>
      </x:c>
      <x:c r="H1977" t="str">
        <x:v>нет</x:v>
      </x:c>
    </x:row>
    <x:row r="1978">
      <x:c r="A1978" t="str">
        <x:v>14552</x:v>
      </x:c>
      <x:c r="B1978" t="str">
        <x:v>Сергей Жариков (интересует разработка лендинга)</x:v>
      </x:c>
      <x:c r="C1978" t="e">
        <x:f>HYPERLINK("https://belberrycrm.bitrix24.ru/crm/deal/details/14552/","https://belberrycrm.bitrix24.ru/crm/deal/details/14552/")</x:f>
      </x:c>
      <x:c r="D1978" t="str">
        <x:v>Реанимация</x:v>
      </x:c>
      <x:c r="E1978" t="str">
        <x:v>База для реанимации</x:v>
      </x:c>
      <x:c r="F1978" t="str">
        <x:v>Админ всея Belberry</x:v>
      </x:c>
      <x:c r="G1978" t="str">
        <x:v>нет</x:v>
      </x:c>
      <x:c r="H1978" t="str">
        <x:v>нет</x:v>
      </x:c>
    </x:row>
    <x:row r="1979">
      <x:c r="A1979" t="str">
        <x:v>14554</x:v>
      </x:c>
      <x:c r="B1979" t="str">
        <x:v>gb2.medkhv.ru</x:v>
      </x:c>
      <x:c r="C1979" t="e">
        <x:f>HYPERLINK("https://belberrycrm.bitrix24.ru/crm/deal/details/14554/","https://belberrycrm.bitrix24.ru/crm/deal/details/14554/")</x:f>
      </x:c>
      <x:c r="D1979" t="str">
        <x:v>Реанимация</x:v>
      </x:c>
      <x:c r="E1979" t="str">
        <x:v>База для реанимации</x:v>
      </x:c>
      <x:c r="F1979" t="str">
        <x:v>Админ всея Belberry</x:v>
      </x:c>
      <x:c r="G1979" t="str">
        <x:v>нет</x:v>
      </x:c>
      <x:c r="H1979" t="str">
        <x:v>нет</x:v>
      </x:c>
    </x:row>
    <x:row r="1980">
      <x:c r="A1980" t="str">
        <x:v>14558</x:v>
      </x:c>
      <x:c r="B1980" t="str">
        <x:v>osmaclinic.ru</x:v>
      </x:c>
      <x:c r="C1980" t="e">
        <x:f>HYPERLINK("https://belberrycrm.bitrix24.ru/crm/deal/details/14558/","https://belberrycrm.bitrix24.ru/crm/deal/details/14558/")</x:f>
      </x:c>
      <x:c r="D1980" t="str">
        <x:v>Реанимация</x:v>
      </x:c>
      <x:c r="E1980" t="str">
        <x:v>База для реанимации</x:v>
      </x:c>
      <x:c r="F1980" t="str">
        <x:v>Админ всея Belberry</x:v>
      </x:c>
      <x:c r="G1980" t="str">
        <x:v>нет</x:v>
      </x:c>
      <x:c r="H1980" t="str">
        <x:v>нет</x:v>
      </x:c>
    </x:row>
    <x:row r="1981">
      <x:c r="A1981" t="str">
        <x:v>14564</x:v>
      </x:c>
      <x:c r="B1981" t="str">
        <x:v>mkavtor.ru</x:v>
      </x:c>
      <x:c r="C1981" t="e">
        <x:f>HYPERLINK("https://belberrycrm.bitrix24.ru/crm/deal/details/14564/","https://belberrycrm.bitrix24.ru/crm/deal/details/14564/")</x:f>
      </x:c>
      <x:c r="D1981" t="str">
        <x:v>Реанимация</x:v>
      </x:c>
      <x:c r="E1981" t="str">
        <x:v>База для реанимации</x:v>
      </x:c>
      <x:c r="F1981" t="str">
        <x:v>Админ всея Belberry</x:v>
      </x:c>
      <x:c r="G1981" t="str">
        <x:v>нет</x:v>
      </x:c>
      <x:c r="H1981" t="str">
        <x:v>нет</x:v>
      </x:c>
    </x:row>
    <x:row r="1982">
      <x:c r="A1982" t="str">
        <x:v>14566</x:v>
      </x:c>
      <x:c r="B1982" t="str">
        <x:v>Завод КТ ТРОН</x:v>
      </x:c>
      <x:c r="C1982" t="e">
        <x:f>HYPERLINK("https://belberrycrm.bitrix24.ru/crm/deal/details/14566/","https://belberrycrm.bitrix24.ru/crm/deal/details/14566/")</x:f>
      </x:c>
      <x:c r="D1982" t="str">
        <x:v>Реанимация</x:v>
      </x:c>
      <x:c r="E1982" t="str">
        <x:v>База для реанимации</x:v>
      </x:c>
      <x:c r="F1982" t="str">
        <x:v>Админ всея Belberry</x:v>
      </x:c>
      <x:c r="G1982" t="str">
        <x:v>да</x:v>
      </x:c>
      <x:c r="H1982" t="str">
        <x:v>нет</x:v>
      </x:c>
    </x:row>
    <x:row r="1983">
      <x:c r="A1983" t="str">
        <x:v>14574</x:v>
      </x:c>
      <x:c r="B1983" t="str">
        <x:v>a-medik.su</x:v>
      </x:c>
      <x:c r="C1983" t="e">
        <x:f>HYPERLINK("https://belberrycrm.bitrix24.ru/crm/deal/details/14574/","https://belberrycrm.bitrix24.ru/crm/deal/details/14574/")</x:f>
      </x:c>
      <x:c r="D1983" t="str">
        <x:v>Реанимация</x:v>
      </x:c>
      <x:c r="E1983" t="str">
        <x:v>База для реанимации</x:v>
      </x:c>
      <x:c r="F1983" t="str">
        <x:v>Админ всея Belberry</x:v>
      </x:c>
      <x:c r="G1983" t="str">
        <x:v>нет</x:v>
      </x:c>
      <x:c r="H1983" t="str">
        <x:v>нет</x:v>
      </x:c>
    </x:row>
    <x:row r="1984">
      <x:c r="A1984" t="str">
        <x:v>14580</x:v>
      </x:c>
      <x:c r="B1984" t="str">
        <x:v>icosmetics.ru</x:v>
      </x:c>
      <x:c r="C1984" t="e">
        <x:f>HYPERLINK("https://belberrycrm.bitrix24.ru/crm/deal/details/14580/","https://belberrycrm.bitrix24.ru/crm/deal/details/14580/")</x:f>
      </x:c>
      <x:c r="D1984" t="str">
        <x:v>Реанимация</x:v>
      </x:c>
      <x:c r="E1984" t="str">
        <x:v>База для реанимации</x:v>
      </x:c>
      <x:c r="F1984" t="str">
        <x:v>Админ всея Belberry</x:v>
      </x:c>
      <x:c r="G1984" t="str">
        <x:v>нет</x:v>
      </x:c>
      <x:c r="H1984" t="str">
        <x:v>нет</x:v>
      </x:c>
    </x:row>
    <x:row r="1985">
      <x:c r="A1985" t="str">
        <x:v>14588</x:v>
      </x:c>
      <x:c r="B1985" t="str">
        <x:v>ooo-blagodat.ru</x:v>
      </x:c>
      <x:c r="C1985" t="e">
        <x:f>HYPERLINK("https://belberrycrm.bitrix24.ru/crm/deal/details/14588/","https://belberrycrm.bitrix24.ru/crm/deal/details/14588/")</x:f>
      </x:c>
      <x:c r="D1985" t="str">
        <x:v>Реанимация</x:v>
      </x:c>
      <x:c r="E1985" t="str">
        <x:v>База для реанимации</x:v>
      </x:c>
      <x:c r="F1985" t="str">
        <x:v>Админ всея Belberry</x:v>
      </x:c>
      <x:c r="G1985" t="str">
        <x:v>да</x:v>
      </x:c>
      <x:c r="H1985" t="str">
        <x:v>нет</x:v>
      </x:c>
    </x:row>
    <x:row r="1986">
      <x:c r="A1986" t="str">
        <x:v>14590</x:v>
      </x:c>
      <x:c r="B1986" t="str">
        <x:v>flowringo.ru</x:v>
      </x:c>
      <x:c r="C1986" t="e">
        <x:f>HYPERLINK("https://belberrycrm.bitrix24.ru/crm/deal/details/14590/","https://belberrycrm.bitrix24.ru/crm/deal/details/14590/")</x:f>
      </x:c>
      <x:c r="D1986" t="str">
        <x:v>Реанимация</x:v>
      </x:c>
      <x:c r="E1986" t="str">
        <x:v>База для реанимации</x:v>
      </x:c>
      <x:c r="F1986" t="str">
        <x:v>Админ всея Belberry</x:v>
      </x:c>
      <x:c r="G1986" t="str">
        <x:v>нет</x:v>
      </x:c>
      <x:c r="H1986" t="str">
        <x:v>нет</x:v>
      </x:c>
    </x:row>
    <x:row r="1987">
      <x:c r="A1987" t="str">
        <x:v>14602</x:v>
      </x:c>
      <x:c r="B1987" t="str">
        <x:v>clinic-dm.ru</x:v>
      </x:c>
      <x:c r="C1987" t="e">
        <x:f>HYPERLINK("https://belberrycrm.bitrix24.ru/crm/deal/details/14602/","https://belberrycrm.bitrix24.ru/crm/deal/details/14602/")</x:f>
      </x:c>
      <x:c r="D1987" t="str">
        <x:v>Реанимация</x:v>
      </x:c>
      <x:c r="E1987" t="str">
        <x:v>База для реанимации</x:v>
      </x:c>
      <x:c r="F1987" t="str">
        <x:v>Админ всея Belberry</x:v>
      </x:c>
      <x:c r="G1987" t="str">
        <x:v>нет</x:v>
      </x:c>
      <x:c r="H1987" t="str">
        <x:v>нет</x:v>
      </x:c>
    </x:row>
    <x:row r="1988">
      <x:c r="A1988" t="str">
        <x:v>14604</x:v>
      </x:c>
      <x:c r="B1988" t="str">
        <x:v>ol-mak.ru</x:v>
      </x:c>
      <x:c r="C1988" t="e">
        <x:f>HYPERLINK("https://belberrycrm.bitrix24.ru/crm/deal/details/14604/","https://belberrycrm.bitrix24.ru/crm/deal/details/14604/")</x:f>
      </x:c>
      <x:c r="D1988" t="str">
        <x:v>Реанимация</x:v>
      </x:c>
      <x:c r="E1988" t="str">
        <x:v>База для реанимации</x:v>
      </x:c>
      <x:c r="F1988" t="str">
        <x:v>Админ всея Belberry</x:v>
      </x:c>
      <x:c r="G1988" t="str">
        <x:v>нет</x:v>
      </x:c>
      <x:c r="H1988" t="str">
        <x:v>нет</x:v>
      </x:c>
    </x:row>
    <x:row r="1989">
      <x:c r="A1989" t="str">
        <x:v>14608</x:v>
      </x:c>
      <x:c r="B1989" t="str">
        <x:v>online-mrt.ru</x:v>
      </x:c>
      <x:c r="C1989" t="e">
        <x:f>HYPERLINK("https://belberrycrm.bitrix24.ru/crm/deal/details/14608/","https://belberrycrm.bitrix24.ru/crm/deal/details/14608/")</x:f>
      </x:c>
      <x:c r="D1989" t="str">
        <x:v>Реанимация</x:v>
      </x:c>
      <x:c r="E1989" t="str">
        <x:v>База для реанимации</x:v>
      </x:c>
      <x:c r="F1989" t="str">
        <x:v>Админ всея Belberry</x:v>
      </x:c>
      <x:c r="G1989" t="str">
        <x:v>нет</x:v>
      </x:c>
      <x:c r="H1989" t="str">
        <x:v>нет</x:v>
      </x:c>
    </x:row>
    <x:row r="1990">
      <x:c r="A1990" t="str">
        <x:v>14610</x:v>
      </x:c>
      <x:c r="B1990" t="str">
        <x:v>Эмма Хамедовна Афашагова (врач-косметолог)</x:v>
      </x:c>
      <x:c r="C1990" t="e">
        <x:f>HYPERLINK("https://belberrycrm.bitrix24.ru/crm/deal/details/14610/","https://belberrycrm.bitrix24.ru/crm/deal/details/14610/")</x:f>
      </x:c>
      <x:c r="D1990" t="str">
        <x:v>Реанимация</x:v>
      </x:c>
      <x:c r="E1990" t="str">
        <x:v>База для реанимации</x:v>
      </x:c>
      <x:c r="F1990" t="str">
        <x:v>Админ всея Belberry</x:v>
      </x:c>
      <x:c r="G1990" t="str">
        <x:v>нет</x:v>
      </x:c>
      <x:c r="H1990" t="str">
        <x:v>нет</x:v>
      </x:c>
    </x:row>
    <x:row r="1991">
      <x:c r="A1991" t="str">
        <x:v>14614</x:v>
      </x:c>
      <x:c r="B1991" t="str">
        <x:v>browsbymilly.com</x:v>
      </x:c>
      <x:c r="C1991" t="e">
        <x:f>HYPERLINK("https://belberrycrm.bitrix24.ru/crm/deal/details/14614/","https://belberrycrm.bitrix24.ru/crm/deal/details/14614/")</x:f>
      </x:c>
      <x:c r="D1991" t="str">
        <x:v>Реанимация</x:v>
      </x:c>
      <x:c r="E1991" t="str">
        <x:v>База для реанимации</x:v>
      </x:c>
      <x:c r="F1991" t="str">
        <x:v>Админ всея Belberry</x:v>
      </x:c>
      <x:c r="G1991" t="str">
        <x:v>нет</x:v>
      </x:c>
      <x:c r="H1991" t="str">
        <x:v>нет</x:v>
      </x:c>
    </x:row>
    <x:row r="1992">
      <x:c r="A1992" t="str">
        <x:v>14616</x:v>
      </x:c>
      <x:c r="B1992" t="str">
        <x:v>stunning-you.com</x:v>
      </x:c>
      <x:c r="C1992" t="e">
        <x:f>HYPERLINK("https://belberrycrm.bitrix24.ru/crm/deal/details/14616/","https://belberrycrm.bitrix24.ru/crm/deal/details/14616/")</x:f>
      </x:c>
      <x:c r="D1992" t="str">
        <x:v>Реанимация</x:v>
      </x:c>
      <x:c r="E1992" t="str">
        <x:v>База для реанимации</x:v>
      </x:c>
      <x:c r="F1992" t="str">
        <x:v>Админ всея Belberry</x:v>
      </x:c>
      <x:c r="G1992" t="str">
        <x:v>нет</x:v>
      </x:c>
      <x:c r="H1992" t="str">
        <x:v>нет</x:v>
      </x:c>
    </x:row>
    <x:row r="1993">
      <x:c r="A1993" t="str">
        <x:v>14620</x:v>
      </x:c>
      <x:c r="B1993" t="str">
        <x:v>mc-dimetra.ru</x:v>
      </x:c>
      <x:c r="C1993" t="e">
        <x:f>HYPERLINK("https://belberrycrm.bitrix24.ru/crm/deal/details/14620/","https://belberrycrm.bitrix24.ru/crm/deal/details/14620/")</x:f>
      </x:c>
      <x:c r="D1993" t="str">
        <x:v>Реанимация</x:v>
      </x:c>
      <x:c r="E1993" t="str">
        <x:v>База для реанимации</x:v>
      </x:c>
      <x:c r="F1993" t="str">
        <x:v>Админ всея Belberry</x:v>
      </x:c>
      <x:c r="G1993" t="str">
        <x:v>нет</x:v>
      </x:c>
      <x:c r="H1993" t="str">
        <x:v>нет</x:v>
      </x:c>
    </x:row>
    <x:row r="1994">
      <x:c r="A1994" t="str">
        <x:v>14636</x:v>
      </x:c>
      <x:c r="B1994" t="str">
        <x:v>Ксения (интересует разработка сайта)</x:v>
      </x:c>
      <x:c r="C1994" t="e">
        <x:f>HYPERLINK("https://belberrycrm.bitrix24.ru/crm/deal/details/14636/","https://belberrycrm.bitrix24.ru/crm/deal/details/14636/")</x:f>
      </x:c>
      <x:c r="D1994" t="str">
        <x:v>Реанимация</x:v>
      </x:c>
      <x:c r="E1994" t="str">
        <x:v>База для реанимации</x:v>
      </x:c>
      <x:c r="F1994" t="str">
        <x:v>Админ всея Belberry</x:v>
      </x:c>
      <x:c r="G1994" t="str">
        <x:v>нет</x:v>
      </x:c>
      <x:c r="H1994" t="str">
        <x:v>нет</x:v>
      </x:c>
    </x:row>
    <x:row r="1995">
      <x:c r="A1995" t="str">
        <x:v>14640</x:v>
      </x:c>
      <x:c r="B1995" t="str">
        <x:v>дгп68.рф</x:v>
      </x:c>
      <x:c r="C1995" t="e">
        <x:f>HYPERLINK("https://belberrycrm.bitrix24.ru/crm/deal/details/14640/","https://belberrycrm.bitrix24.ru/crm/deal/details/14640/")</x:f>
      </x:c>
      <x:c r="D1995" t="str">
        <x:v>Реанимация</x:v>
      </x:c>
      <x:c r="E1995" t="str">
        <x:v>База для реанимации</x:v>
      </x:c>
      <x:c r="F1995" t="str">
        <x:v>Админ всея Belberry</x:v>
      </x:c>
      <x:c r="G1995" t="str">
        <x:v>нет</x:v>
      </x:c>
      <x:c r="H1995" t="str">
        <x:v>нет</x:v>
      </x:c>
    </x:row>
    <x:row r="1996">
      <x:c r="A1996" t="str">
        <x:v>14644</x:v>
      </x:c>
      <x:c r="B1996" t="str">
        <x:v>dentaplan.ru</x:v>
      </x:c>
      <x:c r="C1996" t="e">
        <x:f>HYPERLINK("https://belberrycrm.bitrix24.ru/crm/deal/details/14644/","https://belberrycrm.bitrix24.ru/crm/deal/details/14644/")</x:f>
      </x:c>
      <x:c r="D1996" t="str">
        <x:v>Реанимация</x:v>
      </x:c>
      <x:c r="E1996" t="str">
        <x:v>База для реанимации</x:v>
      </x:c>
      <x:c r="F1996" t="str">
        <x:v>Админ всея Belberry</x:v>
      </x:c>
      <x:c r="G1996" t="str">
        <x:v>нет</x:v>
      </x:c>
      <x:c r="H1996" t="str">
        <x:v>нет</x:v>
      </x:c>
    </x:row>
    <x:row r="1997">
      <x:c r="A1997" t="str">
        <x:v>14646</x:v>
      </x:c>
      <x:c r="B1997" t="str">
        <x:v>cosmo-vita.ru</x:v>
      </x:c>
      <x:c r="C1997" t="e">
        <x:f>HYPERLINK("https://belberrycrm.bitrix24.ru/crm/deal/details/14646/","https://belberrycrm.bitrix24.ru/crm/deal/details/14646/")</x:f>
      </x:c>
      <x:c r="D1997" t="str">
        <x:v>Реанимация</x:v>
      </x:c>
      <x:c r="E1997" t="str">
        <x:v>База для реанимации</x:v>
      </x:c>
      <x:c r="F1997" t="str">
        <x:v>Админ всея Belberry</x:v>
      </x:c>
      <x:c r="G1997" t="str">
        <x:v>нет</x:v>
      </x:c>
      <x:c r="H1997" t="str">
        <x:v>нет</x:v>
      </x:c>
    </x:row>
    <x:row r="1998">
      <x:c r="A1998" t="str">
        <x:v>14648</x:v>
      </x:c>
      <x:c r="B1998" t="str">
        <x:v>vrkr.ru</x:v>
      </x:c>
      <x:c r="C1998" t="e">
        <x:f>HYPERLINK("https://belberrycrm.bitrix24.ru/crm/deal/details/14648/","https://belberrycrm.bitrix24.ru/crm/deal/details/14648/")</x:f>
      </x:c>
      <x:c r="D1998" t="str">
        <x:v>Реанимация</x:v>
      </x:c>
      <x:c r="E1998" t="str">
        <x:v>База для реанимации</x:v>
      </x:c>
      <x:c r="F1998" t="str">
        <x:v>Админ всея Belberry</x:v>
      </x:c>
      <x:c r="G1998" t="str">
        <x:v>нет</x:v>
      </x:c>
      <x:c r="H1998" t="str">
        <x:v>нет</x:v>
      </x:c>
    </x:row>
    <x:row r="1999">
      <x:c r="A1999" t="str">
        <x:v>14650</x:v>
      </x:c>
      <x:c r="B1999" t="str">
        <x:v>vzhidkova.ru</x:v>
      </x:c>
      <x:c r="C1999" t="e">
        <x:f>HYPERLINK("https://belberrycrm.bitrix24.ru/crm/deal/details/14650/","https://belberrycrm.bitrix24.ru/crm/deal/details/14650/")</x:f>
      </x:c>
      <x:c r="D1999" t="str">
        <x:v>Реанимация</x:v>
      </x:c>
      <x:c r="E1999" t="str">
        <x:v>База для реанимации</x:v>
      </x:c>
      <x:c r="F1999" t="str">
        <x:v>Админ всея Belberry</x:v>
      </x:c>
      <x:c r="G1999" t="str">
        <x:v>нет</x:v>
      </x:c>
      <x:c r="H1999" t="str">
        <x:v>нет</x:v>
      </x:c>
    </x:row>
    <x:row r="2000">
      <x:c r="A2000" t="str">
        <x:v>14654</x:v>
      </x:c>
      <x:c r="B2000" t="str">
        <x:v>Стоматология Ренессанс</x:v>
      </x:c>
      <x:c r="C2000" t="e">
        <x:f>HYPERLINK("https://belberrycrm.bitrix24.ru/crm/deal/details/14654/","https://belberrycrm.bitrix24.ru/crm/deal/details/14654/")</x:f>
      </x:c>
      <x:c r="D2000" t="str">
        <x:v>Реанимация</x:v>
      </x:c>
      <x:c r="E2000" t="str">
        <x:v>База для реанимации</x:v>
      </x:c>
      <x:c r="F2000" t="str">
        <x:v>Админ всея Belberry</x:v>
      </x:c>
      <x:c r="G2000" t="str">
        <x:v>нет</x:v>
      </x:c>
      <x:c r="H2000" t="str">
        <x:v>нет</x:v>
      </x:c>
    </x:row>
    <x:row r="2001">
      <x:c r="A2001" t="str">
        <x:v>14658</x:v>
      </x:c>
      <x:c r="B2001" t="str">
        <x:v>Аэстетика бьюти</x:v>
      </x:c>
      <x:c r="C2001" t="e">
        <x:f>HYPERLINK("https://belberrycrm.bitrix24.ru/crm/deal/details/14658/","https://belberrycrm.bitrix24.ru/crm/deal/details/14658/")</x:f>
      </x:c>
      <x:c r="D2001" t="str">
        <x:v>Реанимация</x:v>
      </x:c>
      <x:c r="E2001" t="str">
        <x:v>База для реанимации</x:v>
      </x:c>
      <x:c r="F2001" t="str">
        <x:v>Админ всея Belberry</x:v>
      </x:c>
      <x:c r="G2001" t="str">
        <x:v>нет</x:v>
      </x:c>
      <x:c r="H2001" t="str">
        <x:v>нет</x:v>
      </x:c>
    </x:row>
    <x:row r="2002">
      <x:c r="A2002" t="str">
        <x:v>14660</x:v>
      </x:c>
      <x:c r="B2002" t="str">
        <x:v>petrovskayamed</x:v>
      </x:c>
      <x:c r="C2002" t="e">
        <x:f>HYPERLINK("https://belberrycrm.bitrix24.ru/crm/deal/details/14660/","https://belberrycrm.bitrix24.ru/crm/deal/details/14660/")</x:f>
      </x:c>
      <x:c r="D2002" t="str">
        <x:v>Реанимация</x:v>
      </x:c>
      <x:c r="E2002" t="str">
        <x:v>База для реанимации</x:v>
      </x:c>
      <x:c r="F2002" t="str">
        <x:v>Админ всея Belberry</x:v>
      </x:c>
      <x:c r="G2002" t="str">
        <x:v>нет</x:v>
      </x:c>
      <x:c r="H2002" t="str">
        <x:v>нет</x:v>
      </x:c>
    </x:row>
    <x:row r="2003">
      <x:c r="A2003" t="str">
        <x:v>14662</x:v>
      </x:c>
      <x:c r="B2003" t="str">
        <x:v>Ксения (интересует контекстная реклама)</x:v>
      </x:c>
      <x:c r="C2003" t="e">
        <x:f>HYPERLINK("https://belberrycrm.bitrix24.ru/crm/deal/details/14662/","https://belberrycrm.bitrix24.ru/crm/deal/details/14662/")</x:f>
      </x:c>
      <x:c r="D2003" t="str">
        <x:v>Реанимация</x:v>
      </x:c>
      <x:c r="E2003" t="str">
        <x:v>База для реанимации</x:v>
      </x:c>
      <x:c r="F2003" t="str">
        <x:v>Админ всея Belberry</x:v>
      </x:c>
      <x:c r="G2003" t="str">
        <x:v>нет</x:v>
      </x:c>
      <x:c r="H2003" t="str">
        <x:v>нет</x:v>
      </x:c>
    </x:row>
    <x:row r="2004">
      <x:c r="A2004" t="str">
        <x:v>14664</x:v>
      </x:c>
      <x:c r="B2004" t="str">
        <x:v>Татьяна (интересует написание статей)</x:v>
      </x:c>
      <x:c r="C2004" t="e">
        <x:f>HYPERLINK("https://belberrycrm.bitrix24.ru/crm/deal/details/14664/","https://belberrycrm.bitrix24.ru/crm/deal/details/14664/")</x:f>
      </x:c>
      <x:c r="D2004" t="str">
        <x:v>Реанимация</x:v>
      </x:c>
      <x:c r="E2004" t="str">
        <x:v>База для реанимации</x:v>
      </x:c>
      <x:c r="F2004" t="str">
        <x:v>Админ всея Belberry</x:v>
      </x:c>
      <x:c r="G2004" t="str">
        <x:v>нет</x:v>
      </x:c>
      <x:c r="H2004" t="str">
        <x:v>нет</x:v>
      </x:c>
    </x:row>
    <x:row r="2005">
      <x:c r="A2005" t="str">
        <x:v>14666</x:v>
      </x:c>
      <x:c r="B2005" t="str">
        <x:v>one-clinic.info</x:v>
      </x:c>
      <x:c r="C2005" t="e">
        <x:f>HYPERLINK("https://belberrycrm.bitrix24.ru/crm/deal/details/14666/","https://belberrycrm.bitrix24.ru/crm/deal/details/14666/")</x:f>
      </x:c>
      <x:c r="D2005" t="str">
        <x:v>Реанимация</x:v>
      </x:c>
      <x:c r="E2005" t="str">
        <x:v>База для реанимации</x:v>
      </x:c>
      <x:c r="F2005" t="str">
        <x:v>Админ всея Belberry</x:v>
      </x:c>
      <x:c r="G2005" t="str">
        <x:v>нет</x:v>
      </x:c>
      <x:c r="H2005" t="str">
        <x:v>нет</x:v>
      </x:c>
    </x:row>
    <x:row r="2006">
      <x:c r="A2006" t="str">
        <x:v>14684</x:v>
      </x:c>
      <x:c r="B2006" t="str">
        <x:v>renewal.ru</x:v>
      </x:c>
      <x:c r="C2006" t="e">
        <x:f>HYPERLINK("https://belberrycrm.bitrix24.ru/crm/deal/details/14684/","https://belberrycrm.bitrix24.ru/crm/deal/details/14684/")</x:f>
      </x:c>
      <x:c r="D2006" t="str">
        <x:v>Реанимация</x:v>
      </x:c>
      <x:c r="E2006" t="str">
        <x:v>База для реанимации</x:v>
      </x:c>
      <x:c r="F2006" t="str">
        <x:v>Админ всея Belberry</x:v>
      </x:c>
      <x:c r="G2006" t="str">
        <x:v>нет</x:v>
      </x:c>
      <x:c r="H2006" t="str">
        <x:v>нет</x:v>
      </x:c>
    </x:row>
    <x:row r="2007">
      <x:c r="A2007" t="str">
        <x:v>14688</x:v>
      </x:c>
      <x:c r="B2007" t="str">
        <x:v>Екатерина (интересует разработка сайта для клиники онкологии)</x:v>
      </x:c>
      <x:c r="C2007" t="e">
        <x:f>HYPERLINK("https://belberrycrm.bitrix24.ru/crm/deal/details/14688/","https://belberrycrm.bitrix24.ru/crm/deal/details/14688/")</x:f>
      </x:c>
      <x:c r="D2007" t="str">
        <x:v>Реанимация</x:v>
      </x:c>
      <x:c r="E2007" t="str">
        <x:v>База для реанимации</x:v>
      </x:c>
      <x:c r="F2007" t="str">
        <x:v>Админ всея Belberry</x:v>
      </x:c>
      <x:c r="G2007" t="str">
        <x:v>нет</x:v>
      </x:c>
      <x:c r="H2007" t="str">
        <x:v>нет</x:v>
      </x:c>
    </x:row>
    <x:row r="2008">
      <x:c r="A2008" t="str">
        <x:v>14690</x:v>
      </x:c>
      <x:c r="B2008" t="str">
        <x:v>cheelee.io</x:v>
      </x:c>
      <x:c r="C2008" t="e">
        <x:f>HYPERLINK("https://belberrycrm.bitrix24.ru/crm/deal/details/14690/","https://belberrycrm.bitrix24.ru/crm/deal/details/14690/")</x:f>
      </x:c>
      <x:c r="D2008" t="str">
        <x:v>Реанимация</x:v>
      </x:c>
      <x:c r="E2008" t="str">
        <x:v>База для реанимации</x:v>
      </x:c>
      <x:c r="F2008" t="str">
        <x:v>Админ всея Belberry</x:v>
      </x:c>
      <x:c r="G2008" t="str">
        <x:v>нет</x:v>
      </x:c>
      <x:c r="H2008" t="str">
        <x:v>нет</x:v>
      </x:c>
    </x:row>
    <x:row r="2009">
      <x:c r="A2009" t="str">
        <x:v>14696</x:v>
      </x:c>
      <x:c r="B2009" t="str">
        <x:v>osteocenter.net</x:v>
      </x:c>
      <x:c r="C2009" t="e">
        <x:f>HYPERLINK("https://belberrycrm.bitrix24.ru/crm/deal/details/14696/","https://belberrycrm.bitrix24.ru/crm/deal/details/14696/")</x:f>
      </x:c>
      <x:c r="D2009" t="str">
        <x:v>Реанимация</x:v>
      </x:c>
      <x:c r="E2009" t="str">
        <x:v>База для реанимации</x:v>
      </x:c>
      <x:c r="F2009" t="str">
        <x:v>Админ всея Belberry</x:v>
      </x:c>
      <x:c r="G2009" t="str">
        <x:v>нет</x:v>
      </x:c>
      <x:c r="H2009" t="str">
        <x:v>нет</x:v>
      </x:c>
    </x:row>
    <x:row r="2010">
      <x:c r="A2010" t="str">
        <x:v>14700</x:v>
      </x:c>
      <x:c r="B2010" t="str">
        <x:v>Интернет магазин детской одежды Андрей</x:v>
      </x:c>
      <x:c r="C2010" t="e">
        <x:f>HYPERLINK("https://belberrycrm.bitrix24.ru/crm/deal/details/14700/","https://belberrycrm.bitrix24.ru/crm/deal/details/14700/")</x:f>
      </x:c>
      <x:c r="D2010" t="str">
        <x:v>Реанимация</x:v>
      </x:c>
      <x:c r="E2010" t="str">
        <x:v>База для реанимации</x:v>
      </x:c>
      <x:c r="F2010" t="str">
        <x:v>Админ всея Belberry</x:v>
      </x:c>
      <x:c r="G2010" t="str">
        <x:v>нет</x:v>
      </x:c>
      <x:c r="H2010" t="str">
        <x:v>нет</x:v>
      </x:c>
    </x:row>
    <x:row r="2011">
      <x:c r="A2011" t="str">
        <x:v>14702</x:v>
      </x:c>
      <x:c r="B2011" t="str">
        <x:v>okomed.ru</x:v>
      </x:c>
      <x:c r="C2011" t="e">
        <x:f>HYPERLINK("https://belberrycrm.bitrix24.ru/crm/deal/details/14702/","https://belberrycrm.bitrix24.ru/crm/deal/details/14702/")</x:f>
      </x:c>
      <x:c r="D2011" t="str">
        <x:v>Реанимация</x:v>
      </x:c>
      <x:c r="E2011" t="str">
        <x:v>База для реанимации</x:v>
      </x:c>
      <x:c r="F2011" t="str">
        <x:v>Админ всея Belberry</x:v>
      </x:c>
      <x:c r="G2011" t="str">
        <x:v>нет</x:v>
      </x:c>
      <x:c r="H2011" t="str">
        <x:v>нет</x:v>
      </x:c>
    </x:row>
    <x:row r="2012">
      <x:c r="A2012" t="str">
        <x:v>14710</x:v>
      </x:c>
      <x:c r="B2012" t="str">
        <x:v>Дмитрий Нейрохирург</x:v>
      </x:c>
      <x:c r="C2012" t="e">
        <x:f>HYPERLINK("https://belberrycrm.bitrix24.ru/crm/deal/details/14710/","https://belberrycrm.bitrix24.ru/crm/deal/details/14710/")</x:f>
      </x:c>
      <x:c r="D2012" t="str">
        <x:v>Реанимация</x:v>
      </x:c>
      <x:c r="E2012" t="str">
        <x:v>База для реанимации</x:v>
      </x:c>
      <x:c r="F2012" t="str">
        <x:v>Админ всея Belberry</x:v>
      </x:c>
      <x:c r="G2012" t="str">
        <x:v>нет</x:v>
      </x:c>
      <x:c r="H2012" t="str">
        <x:v>нет</x:v>
      </x:c>
    </x:row>
    <x:row r="2013">
      <x:c r="A2013" t="str">
        <x:v>14712</x:v>
      </x:c>
      <x:c r="B2013" t="str">
        <x:v>Анастасия (интересует развитие личного бренда)</x:v>
      </x:c>
      <x:c r="C2013" t="e">
        <x:f>HYPERLINK("https://belberrycrm.bitrix24.ru/crm/deal/details/14712/","https://belberrycrm.bitrix24.ru/crm/deal/details/14712/")</x:f>
      </x:c>
      <x:c r="D2013" t="str">
        <x:v>Реанимация</x:v>
      </x:c>
      <x:c r="E2013" t="str">
        <x:v>База для реанимации</x:v>
      </x:c>
      <x:c r="F2013" t="str">
        <x:v>Админ всея Belberry</x:v>
      </x:c>
      <x:c r="G2013" t="str">
        <x:v>нет</x:v>
      </x:c>
      <x:c r="H2013" t="str">
        <x:v>нет</x:v>
      </x:c>
    </x:row>
    <x:row r="2014">
      <x:c r="A2014" t="str">
        <x:v>14724</x:v>
      </x:c>
      <x:c r="B2014" t="str">
        <x:v>umkrtn.ru/lp/</x:v>
      </x:c>
      <x:c r="C2014" t="e">
        <x:f>HYPERLINK("https://belberrycrm.bitrix24.ru/crm/deal/details/14724/","https://belberrycrm.bitrix24.ru/crm/deal/details/14724/")</x:f>
      </x:c>
      <x:c r="D2014" t="str">
        <x:v>Реанимация</x:v>
      </x:c>
      <x:c r="E2014" t="str">
        <x:v>База для реанимации</x:v>
      </x:c>
      <x:c r="F2014" t="str">
        <x:v>Админ всея Belberry</x:v>
      </x:c>
      <x:c r="G2014" t="str">
        <x:v>да</x:v>
      </x:c>
      <x:c r="H2014" t="str">
        <x:v>нет</x:v>
      </x:c>
    </x:row>
    <x:row r="2015">
      <x:c r="A2015" t="str">
        <x:v>14734</x:v>
      </x:c>
      <x:c r="B2015" t="str">
        <x:v>docbobrov.ru</x:v>
      </x:c>
      <x:c r="C2015" t="e">
        <x:f>HYPERLINK("https://belberrycrm.bitrix24.ru/crm/deal/details/14734/","https://belberrycrm.bitrix24.ru/crm/deal/details/14734/")</x:f>
      </x:c>
      <x:c r="D2015" t="str">
        <x:v>Реанимация</x:v>
      </x:c>
      <x:c r="E2015" t="str">
        <x:v>База для реанимации</x:v>
      </x:c>
      <x:c r="F2015" t="str">
        <x:v>Админ всея Belberry</x:v>
      </x:c>
      <x:c r="G2015" t="str">
        <x:v>нет</x:v>
      </x:c>
      <x:c r="H2015" t="str">
        <x:v>нет</x:v>
      </x:c>
    </x:row>
    <x:row r="2016">
      <x:c r="A2016" t="str">
        <x:v>14738</x:v>
      </x:c>
      <x:c r="B2016" t="str">
        <x:v>curare.clinic</x:v>
      </x:c>
      <x:c r="C2016" t="e">
        <x:f>HYPERLINK("https://belberrycrm.bitrix24.ru/crm/deal/details/14738/","https://belberrycrm.bitrix24.ru/crm/deal/details/14738/")</x:f>
      </x:c>
      <x:c r="D2016" t="str">
        <x:v>Реанимация</x:v>
      </x:c>
      <x:c r="E2016" t="str">
        <x:v>База для реанимации</x:v>
      </x:c>
      <x:c r="F2016" t="str">
        <x:v>Админ всея Belberry</x:v>
      </x:c>
      <x:c r="G2016" t="str">
        <x:v>нет</x:v>
      </x:c>
      <x:c r="H2016" t="str">
        <x:v>нет</x:v>
      </x:c>
    </x:row>
    <x:row r="2017">
      <x:c r="A2017" t="str">
        <x:v>14762</x:v>
      </x:c>
      <x:c r="B2017" t="str">
        <x:v>Email | hello@acoola.team от hightime hightime@ispring.com</x:v>
      </x:c>
      <x:c r="C2017" t="e">
        <x:f>HYPERLINK("https://belberrycrm.bitrix24.ru/crm/deal/details/14762/","https://belberrycrm.bitrix24.ru/crm/deal/details/14762/")</x:f>
      </x:c>
      <x:c r="D2017" t="str">
        <x:v>Реанимация</x:v>
      </x:c>
      <x:c r="E2017" t="str">
        <x:v>База для реанимации</x:v>
      </x:c>
      <x:c r="F2017" t="str">
        <x:v>Админ всея Belberry</x:v>
      </x:c>
      <x:c r="G2017" t="str">
        <x:v>нет</x:v>
      </x:c>
      <x:c r="H2017" t="str">
        <x:v>нет</x:v>
      </x:c>
    </x:row>
    <x:row r="2018">
      <x:c r="A2018" t="str">
        <x:v>14772</x:v>
      </x:c>
      <x:c r="B2018" t="str">
        <x:v>Личный бренд Анастасия Дзен</x:v>
      </x:c>
      <x:c r="C2018" t="e">
        <x:f>HYPERLINK("https://belberrycrm.bitrix24.ru/crm/deal/details/14772/","https://belberrycrm.bitrix24.ru/crm/deal/details/14772/")</x:f>
      </x:c>
      <x:c r="D2018" t="str">
        <x:v>Реанимация</x:v>
      </x:c>
      <x:c r="E2018" t="str">
        <x:v>База для реанимации</x:v>
      </x:c>
      <x:c r="F2018" t="str">
        <x:v>Админ всея Belberry</x:v>
      </x:c>
      <x:c r="G2018" t="str">
        <x:v>нет</x:v>
      </x:c>
      <x:c r="H2018" t="str">
        <x:v>нет</x:v>
      </x:c>
    </x:row>
    <x:row r="2019">
      <x:c r="A2019" t="str">
        <x:v>14790</x:v>
      </x:c>
      <x:c r="B2019" t="str">
        <x:v>Салон красоты Миракл</x:v>
      </x:c>
      <x:c r="C2019" t="e">
        <x:f>HYPERLINK("https://belberrycrm.bitrix24.ru/crm/deal/details/14790/","https://belberrycrm.bitrix24.ru/crm/deal/details/14790/")</x:f>
      </x:c>
      <x:c r="D2019" t="str">
        <x:v>Реанимация</x:v>
      </x:c>
      <x:c r="E2019" t="str">
        <x:v>База для реанимации</x:v>
      </x:c>
      <x:c r="F2019" t="str">
        <x:v>Админ всея Belberry</x:v>
      </x:c>
      <x:c r="G2019" t="str">
        <x:v>да</x:v>
      </x:c>
      <x:c r="H2019" t="str">
        <x:v>нет</x:v>
      </x:c>
    </x:row>
    <x:row r="2020">
      <x:c r="A2020" t="str">
        <x:v>14800</x:v>
      </x:c>
      <x:c r="B2020" t="str">
        <x:v>Татьяна Максимова (разработка брендинга для стоматологии)</x:v>
      </x:c>
      <x:c r="C2020" t="e">
        <x:f>HYPERLINK("https://belberrycrm.bitrix24.ru/crm/deal/details/14800/","https://belberrycrm.bitrix24.ru/crm/deal/details/14800/")</x:f>
      </x:c>
      <x:c r="D2020" t="str">
        <x:v>Реанимация</x:v>
      </x:c>
      <x:c r="E2020" t="str">
        <x:v>База для реанимации</x:v>
      </x:c>
      <x:c r="F2020" t="str">
        <x:v>Админ всея Belberry</x:v>
      </x:c>
      <x:c r="G2020" t="str">
        <x:v>нет</x:v>
      </x:c>
      <x:c r="H2020" t="str">
        <x:v>нет</x:v>
      </x:c>
    </x:row>
    <x:row r="2021">
      <x:c r="A2021" t="str">
        <x:v>14802</x:v>
      </x:c>
      <x:c r="B2021" t="str">
        <x:v>Владимир Риэлтор</x:v>
      </x:c>
      <x:c r="C2021" t="e">
        <x:f>HYPERLINK("https://belberrycrm.bitrix24.ru/crm/deal/details/14802/","https://belberrycrm.bitrix24.ru/crm/deal/details/14802/")</x:f>
      </x:c>
      <x:c r="D2021" t="str">
        <x:v>Реанимация</x:v>
      </x:c>
      <x:c r="E2021" t="str">
        <x:v>База для реанимации</x:v>
      </x:c>
      <x:c r="F2021" t="str">
        <x:v>Админ всея Belberry</x:v>
      </x:c>
      <x:c r="G2021" t="str">
        <x:v>нет</x:v>
      </x:c>
      <x:c r="H2021" t="str">
        <x:v>нет</x:v>
      </x:c>
    </x:row>
    <x:row r="2022">
      <x:c r="A2022" t="str">
        <x:v>14804</x:v>
      </x:c>
      <x:c r="B2022" t="str">
        <x:v>Турбозайм</x:v>
      </x:c>
      <x:c r="C2022" t="e">
        <x:f>HYPERLINK("https://belberrycrm.bitrix24.ru/crm/deal/details/14804/","https://belberrycrm.bitrix24.ru/crm/deal/details/14804/")</x:f>
      </x:c>
      <x:c r="D2022" t="str">
        <x:v>Реанимация</x:v>
      </x:c>
      <x:c r="E2022" t="str">
        <x:v>База для реанимации</x:v>
      </x:c>
      <x:c r="F2022" t="str">
        <x:v>Админ всея Belberry</x:v>
      </x:c>
      <x:c r="G2022" t="str">
        <x:v>да</x:v>
      </x:c>
      <x:c r="H2022" t="str">
        <x:v>нет</x:v>
      </x:c>
    </x:row>
    <x:row r="2023">
      <x:c r="A2023" t="str">
        <x:v>14810</x:v>
      </x:c>
      <x:c r="B2023" t="str">
        <x:v>azizdoctor.ru</x:v>
      </x:c>
      <x:c r="C2023" t="e">
        <x:f>HYPERLINK("https://belberrycrm.bitrix24.ru/crm/deal/details/14810/","https://belberrycrm.bitrix24.ru/crm/deal/details/14810/")</x:f>
      </x:c>
      <x:c r="D2023" t="str">
        <x:v>Реанимация</x:v>
      </x:c>
      <x:c r="E2023" t="str">
        <x:v>База для реанимации</x:v>
      </x:c>
      <x:c r="F2023" t="str">
        <x:v>Админ всея Belberry</x:v>
      </x:c>
      <x:c r="G2023" t="str">
        <x:v>нет</x:v>
      </x:c>
      <x:c r="H2023" t="str">
        <x:v>нет</x:v>
      </x:c>
    </x:row>
    <x:row r="2024">
      <x:c r="A2024" t="str">
        <x:v>14816</x:v>
      </x:c>
      <x:c r="B2024" t="str">
        <x:v>Анастасия Тимофеева (интересует продвижение личного бренда)</x:v>
      </x:c>
      <x:c r="C2024" t="e">
        <x:f>HYPERLINK("https://belberrycrm.bitrix24.ru/crm/deal/details/14816/","https://belberrycrm.bitrix24.ru/crm/deal/details/14816/")</x:f>
      </x:c>
      <x:c r="D2024" t="str">
        <x:v>Реанимация</x:v>
      </x:c>
      <x:c r="E2024" t="str">
        <x:v>База для реанимации</x:v>
      </x:c>
      <x:c r="F2024" t="str">
        <x:v>Админ всея Belberry</x:v>
      </x:c>
      <x:c r="G2024" t="str">
        <x:v>нет</x:v>
      </x:c>
      <x:c r="H2024" t="str">
        <x:v>нет</x:v>
      </x:c>
    </x:row>
    <x:row r="2025">
      <x:c r="A2025" t="str">
        <x:v>14878</x:v>
      </x:c>
      <x:c r="B2025" t="str">
        <x:v>Аля (интересует разработка сайта и SEO для стоматологии в Новороссийске)</x:v>
      </x:c>
      <x:c r="C2025" t="e">
        <x:f>HYPERLINK("https://belberrycrm.bitrix24.ru/crm/deal/details/14878/","https://belberrycrm.bitrix24.ru/crm/deal/details/14878/")</x:f>
      </x:c>
      <x:c r="D2025" t="str">
        <x:v>Реанимация</x:v>
      </x:c>
      <x:c r="E2025" t="str">
        <x:v>База для реанимации</x:v>
      </x:c>
      <x:c r="F2025" t="str">
        <x:v>Админ всея Belberry</x:v>
      </x:c>
      <x:c r="G2025" t="str">
        <x:v>нет</x:v>
      </x:c>
      <x:c r="H2025" t="str">
        <x:v>нет</x:v>
      </x:c>
    </x:row>
    <x:row r="2026">
      <x:c r="A2026" t="str">
        <x:v>14880</x:v>
      </x:c>
      <x:c r="B2026" t="str">
        <x:v>piskulina.ru SMM</x:v>
      </x:c>
      <x:c r="C2026" t="e">
        <x:f>HYPERLINK("https://belberrycrm.bitrix24.ru/crm/deal/details/14880/","https://belberrycrm.bitrix24.ru/crm/deal/details/14880/")</x:f>
      </x:c>
      <x:c r="D2026" t="str">
        <x:v>Реанимация</x:v>
      </x:c>
      <x:c r="E2026" t="str">
        <x:v>База для реанимации</x:v>
      </x:c>
      <x:c r="F2026" t="str">
        <x:v>Админ всея Belberry</x:v>
      </x:c>
      <x:c r="G2026" t="str">
        <x:v>нет</x:v>
      </x:c>
      <x:c r="H2026" t="str">
        <x:v>нет</x:v>
      </x:c>
    </x:row>
    <x:row r="2027">
      <x:c r="A2027" t="str">
        <x:v>14890</x:v>
      </x:c>
      <x:c r="B2027" t="str">
        <x:v>Лина (Риэлтор)</x:v>
      </x:c>
      <x:c r="C2027" t="e">
        <x:f>HYPERLINK("https://belberrycrm.bitrix24.ru/crm/deal/details/14890/","https://belberrycrm.bitrix24.ru/crm/deal/details/14890/")</x:f>
      </x:c>
      <x:c r="D2027" t="str">
        <x:v>Реанимация</x:v>
      </x:c>
      <x:c r="E2027" t="str">
        <x:v>База для реанимации</x:v>
      </x:c>
      <x:c r="F2027" t="str">
        <x:v>Админ всея Belberry</x:v>
      </x:c>
      <x:c r="G2027" t="str">
        <x:v>нет</x:v>
      </x:c>
      <x:c r="H2027" t="str">
        <x:v>нет</x:v>
      </x:c>
    </x:row>
    <x:row r="2028">
      <x:c r="A2028" t="str">
        <x:v>14892</x:v>
      </x:c>
      <x:c r="B2028" t="str">
        <x:v>gpmu.org</x:v>
      </x:c>
      <x:c r="C2028" t="e">
        <x:f>HYPERLINK("https://belberrycrm.bitrix24.ru/crm/deal/details/14892/","https://belberrycrm.bitrix24.ru/crm/deal/details/14892/")</x:f>
      </x:c>
      <x:c r="D2028" t="str">
        <x:v>Реанимация</x:v>
      </x:c>
      <x:c r="E2028" t="str">
        <x:v>База для реанимации</x:v>
      </x:c>
      <x:c r="F2028" t="str">
        <x:v>Админ всея Belberry</x:v>
      </x:c>
      <x:c r="G2028" t="str">
        <x:v>да</x:v>
      </x:c>
      <x:c r="H2028" t="str">
        <x:v>нет</x:v>
      </x:c>
    </x:row>
    <x:row r="2029">
      <x:c r="A2029" t="str">
        <x:v>14942</x:v>
      </x:c>
      <x:c r="B2029" t="str">
        <x:v>Андрей Киргиз</x:v>
      </x:c>
      <x:c r="C2029" t="e">
        <x:f>HYPERLINK("https://belberrycrm.bitrix24.ru/crm/deal/details/14942/","https://belberrycrm.bitrix24.ru/crm/deal/details/14942/")</x:f>
      </x:c>
      <x:c r="D2029" t="str">
        <x:v>Реанимация</x:v>
      </x:c>
      <x:c r="E2029" t="str">
        <x:v>База для реанимации</x:v>
      </x:c>
      <x:c r="F2029" t="str">
        <x:v>Админ всея Belberry</x:v>
      </x:c>
      <x:c r="G2029" t="str">
        <x:v>нет</x:v>
      </x:c>
      <x:c r="H2029" t="str">
        <x:v>нет</x:v>
      </x:c>
    </x:row>
    <x:row r="2030">
      <x:c r="A2030" t="str">
        <x:v>14954</x:v>
      </x:c>
      <x:c r="B2030" t="str">
        <x:v>upside-towers.ru</x:v>
      </x:c>
      <x:c r="C2030" t="e">
        <x:f>HYPERLINK("https://belberrycrm.bitrix24.ru/crm/deal/details/14954/","https://belberrycrm.bitrix24.ru/crm/deal/details/14954/")</x:f>
      </x:c>
      <x:c r="D2030" t="str">
        <x:v>Реанимация</x:v>
      </x:c>
      <x:c r="E2030" t="str">
        <x:v>База для реанимации</x:v>
      </x:c>
      <x:c r="F2030" t="str">
        <x:v>Админ всея Belberry</x:v>
      </x:c>
      <x:c r="G2030" t="str">
        <x:v>да</x:v>
      </x:c>
      <x:c r="H2030" t="str">
        <x:v>нет</x:v>
      </x:c>
    </x:row>
    <x:row r="2031">
      <x:c r="A2031" t="str">
        <x:v>14956</x:v>
      </x:c>
      <x:c r="B2031" t="str">
        <x:v>Климат Контроль</x:v>
      </x:c>
      <x:c r="C2031" t="e">
        <x:f>HYPERLINK("https://belberrycrm.bitrix24.ru/crm/deal/details/14956/","https://belberrycrm.bitrix24.ru/crm/deal/details/14956/")</x:f>
      </x:c>
      <x:c r="D2031" t="str">
        <x:v>Реанимация</x:v>
      </x:c>
      <x:c r="E2031" t="str">
        <x:v>База для реанимации</x:v>
      </x:c>
      <x:c r="F2031" t="str">
        <x:v>Админ всея Belberry</x:v>
      </x:c>
      <x:c r="G2031" t="str">
        <x:v>да</x:v>
      </x:c>
      <x:c r="H2031" t="str">
        <x:v>нет</x:v>
      </x:c>
    </x:row>
    <x:row r="2032">
      <x:c r="A2032" t="str">
        <x:v>14990</x:v>
      </x:c>
      <x:c r="B2032" t="str">
        <x:v>colibri-clinik.ru</x:v>
      </x:c>
      <x:c r="C2032" t="e">
        <x:f>HYPERLINK("https://belberrycrm.bitrix24.ru/crm/deal/details/14990/","https://belberrycrm.bitrix24.ru/crm/deal/details/14990/")</x:f>
      </x:c>
      <x:c r="D2032" t="str">
        <x:v>Реанимация</x:v>
      </x:c>
      <x:c r="E2032" t="str">
        <x:v>База для реанимации</x:v>
      </x:c>
      <x:c r="F2032" t="str">
        <x:v>Админ всея Belberry</x:v>
      </x:c>
      <x:c r="G2032" t="str">
        <x:v>да</x:v>
      </x:c>
      <x:c r="H2032" t="str">
        <x:v>нет</x:v>
      </x:c>
    </x:row>
    <x:row r="2033">
      <x:c r="A2033" t="str">
        <x:v>15010</x:v>
      </x:c>
      <x:c r="B2033" t="str">
        <x:v>Татьяна (Разработка)</x:v>
      </x:c>
      <x:c r="C2033" t="e">
        <x:f>HYPERLINK("https://belberrycrm.bitrix24.ru/crm/deal/details/15010/","https://belberrycrm.bitrix24.ru/crm/deal/details/15010/")</x:f>
      </x:c>
      <x:c r="D2033" t="str">
        <x:v>Реанимация</x:v>
      </x:c>
      <x:c r="E2033" t="str">
        <x:v>База для реанимации</x:v>
      </x:c>
      <x:c r="F2033" t="str">
        <x:v>Админ всея Belberry</x:v>
      </x:c>
      <x:c r="G2033" t="str">
        <x:v>нет</x:v>
      </x:c>
      <x:c r="H2033" t="str">
        <x:v>нет</x:v>
      </x:c>
    </x:row>
    <x:row r="2034">
      <x:c r="A2034" t="str">
        <x:v>15014</x:v>
      </x:c>
      <x:c r="B2034" t="str">
        <x:v>evromedika.ru</x:v>
      </x:c>
      <x:c r="C2034" t="e">
        <x:f>HYPERLINK("https://belberrycrm.bitrix24.ru/crm/deal/details/15014/","https://belberrycrm.bitrix24.ru/crm/deal/details/15014/")</x:f>
      </x:c>
      <x:c r="D2034" t="str">
        <x:v>Реанимация</x:v>
      </x:c>
      <x:c r="E2034" t="str">
        <x:v>База для реанимации</x:v>
      </x:c>
      <x:c r="F2034" t="str">
        <x:v>Иван Халин</x:v>
      </x:c>
      <x:c r="G2034" t="str">
        <x:v>да</x:v>
      </x:c>
      <x:c r="H2034" t="str">
        <x:v>нет</x:v>
      </x:c>
    </x:row>
    <x:row r="2035">
      <x:c r="A2035" t="str">
        <x:v>15022</x:v>
      </x:c>
      <x:c r="B2035" t="str">
        <x:v>цфмн.рф</x:v>
      </x:c>
      <x:c r="C2035" t="e">
        <x:f>HYPERLINK("https://belberrycrm.bitrix24.ru/crm/deal/details/15022/","https://belberrycrm.bitrix24.ru/crm/deal/details/15022/")</x:f>
      </x:c>
      <x:c r="D2035" t="str">
        <x:v>Реанимация</x:v>
      </x:c>
      <x:c r="E2035" t="str">
        <x:v>База для реанимации</x:v>
      </x:c>
      <x:c r="F2035" t="str">
        <x:v>Админ всея Belberry</x:v>
      </x:c>
      <x:c r="G2035" t="str">
        <x:v>да</x:v>
      </x:c>
      <x:c r="H2035" t="str">
        <x:v>нет</x:v>
      </x:c>
    </x:row>
    <x:row r="2036">
      <x:c r="A2036" t="str">
        <x:v>15024</x:v>
      </x:c>
      <x:c r="B2036" t="str">
        <x:v>Светлана (хочет развивать свой личный бренд врача)</x:v>
      </x:c>
      <x:c r="C2036" t="e">
        <x:f>HYPERLINK("https://belberrycrm.bitrix24.ru/crm/deal/details/15024/","https://belberrycrm.bitrix24.ru/crm/deal/details/15024/")</x:f>
      </x:c>
      <x:c r="D2036" t="str">
        <x:v>Реанимация</x:v>
      </x:c>
      <x:c r="E2036" t="str">
        <x:v>База для реанимации</x:v>
      </x:c>
      <x:c r="F2036" t="str">
        <x:v>Админ всея Belberry</x:v>
      </x:c>
      <x:c r="G2036" t="str">
        <x:v>нет</x:v>
      </x:c>
      <x:c r="H2036" t="str">
        <x:v>нет</x:v>
      </x:c>
    </x:row>
    <x:row r="2037">
      <x:c r="A2037" t="str">
        <x:v>15028</x:v>
      </x:c>
      <x:c r="B2037" t="str">
        <x:v>Диана (входящая заявка)</x:v>
      </x:c>
      <x:c r="C2037" t="e">
        <x:f>HYPERLINK("https://belberrycrm.bitrix24.ru/crm/deal/details/15028/","https://belberrycrm.bitrix24.ru/crm/deal/details/15028/")</x:f>
      </x:c>
      <x:c r="D2037" t="str">
        <x:v>Реанимация</x:v>
      </x:c>
      <x:c r="E2037" t="str">
        <x:v>База для реанимации</x:v>
      </x:c>
      <x:c r="F2037" t="str">
        <x:v>Админ всея Belberry</x:v>
      </x:c>
      <x:c r="G2037" t="str">
        <x:v>нет</x:v>
      </x:c>
      <x:c r="H2037" t="str">
        <x:v>нет</x:v>
      </x:c>
    </x:row>
    <x:row r="2038">
      <x:c r="A2038" t="str">
        <x:v>15030</x:v>
      </x:c>
      <x:c r="B2038" t="str">
        <x:v>divineray.pro</x:v>
      </x:c>
      <x:c r="C2038" t="e">
        <x:f>HYPERLINK("https://belberrycrm.bitrix24.ru/crm/deal/details/15030/","https://belberrycrm.bitrix24.ru/crm/deal/details/15030/")</x:f>
      </x:c>
      <x:c r="D2038" t="str">
        <x:v>Реанимация</x:v>
      </x:c>
      <x:c r="E2038" t="str">
        <x:v>База для реанимации</x:v>
      </x:c>
      <x:c r="F2038" t="str">
        <x:v>Админ всея Belberry</x:v>
      </x:c>
      <x:c r="G2038" t="str">
        <x:v>нет</x:v>
      </x:c>
      <x:c r="H2038" t="str">
        <x:v>нет</x:v>
      </x:c>
    </x:row>
    <x:row r="2039">
      <x:c r="A2039" t="str">
        <x:v>15050</x:v>
      </x:c>
      <x:c r="B2039" t="str">
        <x:v>verticalcert.ru</x:v>
      </x:c>
      <x:c r="C2039" t="e">
        <x:f>HYPERLINK("https://belberrycrm.bitrix24.ru/crm/deal/details/15050/","https://belberrycrm.bitrix24.ru/crm/deal/details/15050/")</x:f>
      </x:c>
      <x:c r="D2039" t="str">
        <x:v>Реанимация</x:v>
      </x:c>
      <x:c r="E2039" t="str">
        <x:v>База для реанимации</x:v>
      </x:c>
      <x:c r="F2039" t="str">
        <x:v>Админ всея Belberry</x:v>
      </x:c>
      <x:c r="G2039" t="str">
        <x:v>нет</x:v>
      </x:c>
      <x:c r="H2039" t="str">
        <x:v>нет</x:v>
      </x:c>
    </x:row>
    <x:row r="2040">
      <x:c r="A2040" t="str">
        <x:v>15054</x:v>
      </x:c>
      <x:c r="B2040" t="str">
        <x:v>decofloors.ru</x:v>
      </x:c>
      <x:c r="C2040" t="e">
        <x:f>HYPERLINK("https://belberrycrm.bitrix24.ru/crm/deal/details/15054/","https://belberrycrm.bitrix24.ru/crm/deal/details/15054/")</x:f>
      </x:c>
      <x:c r="D2040" t="str">
        <x:v>Реанимация</x:v>
      </x:c>
      <x:c r="E2040" t="str">
        <x:v>База для реанимации</x:v>
      </x:c>
      <x:c r="F2040" t="str">
        <x:v>Админ всея Belberry</x:v>
      </x:c>
      <x:c r="G2040" t="str">
        <x:v>нет</x:v>
      </x:c>
      <x:c r="H2040" t="str">
        <x:v>нет</x:v>
      </x:c>
    </x:row>
    <x:row r="2041">
      <x:c r="A2041" t="str">
        <x:v>15062</x:v>
      </x:c>
      <x:c r="B2041" t="str">
        <x:v>Никита</x:v>
      </x:c>
      <x:c r="C2041" t="e">
        <x:f>HYPERLINK("https://belberrycrm.bitrix24.ru/crm/deal/details/15062/","https://belberrycrm.bitrix24.ru/crm/deal/details/15062/")</x:f>
      </x:c>
      <x:c r="D2041" t="str">
        <x:v>Реанимация</x:v>
      </x:c>
      <x:c r="E2041" t="str">
        <x:v>База для реанимации</x:v>
      </x:c>
      <x:c r="F2041" t="str">
        <x:v>Админ всея Belberry</x:v>
      </x:c>
      <x:c r="G2041" t="str">
        <x:v>нет</x:v>
      </x:c>
      <x:c r="H2041" t="str">
        <x:v>нет</x:v>
      </x:c>
    </x:row>
    <x:row r="2042">
      <x:c r="A2042" t="str">
        <x:v>15074</x:v>
      </x:c>
      <x:c r="B2042" t="str">
        <x:v>Инфопортал о медицине</x:v>
      </x:c>
      <x:c r="C2042" t="e">
        <x:f>HYPERLINK("https://belberrycrm.bitrix24.ru/crm/deal/details/15074/","https://belberrycrm.bitrix24.ru/crm/deal/details/15074/")</x:f>
      </x:c>
      <x:c r="D2042" t="str">
        <x:v>Реанимация</x:v>
      </x:c>
      <x:c r="E2042" t="str">
        <x:v>База для реанимации</x:v>
      </x:c>
      <x:c r="F2042" t="str">
        <x:v>Админ всея Belberry</x:v>
      </x:c>
      <x:c r="G2042" t="str">
        <x:v>нет</x:v>
      </x:c>
      <x:c r="H2042" t="str">
        <x:v>нет</x:v>
      </x:c>
    </x:row>
    <x:row r="2043">
      <x:c r="A2043" t="str">
        <x:v>15076</x:v>
      </x:c>
      <x:c r="B2043" t="str">
        <x:v>olinas.ru</x:v>
      </x:c>
      <x:c r="C2043" t="e">
        <x:f>HYPERLINK("https://belberrycrm.bitrix24.ru/crm/deal/details/15076/","https://belberrycrm.bitrix24.ru/crm/deal/details/15076/")</x:f>
      </x:c>
      <x:c r="D2043" t="str">
        <x:v>Реанимация</x:v>
      </x:c>
      <x:c r="E2043" t="str">
        <x:v>База для реанимации</x:v>
      </x:c>
      <x:c r="F2043" t="str">
        <x:v>Админ всея Belberry</x:v>
      </x:c>
      <x:c r="G2043" t="str">
        <x:v>нет</x:v>
      </x:c>
      <x:c r="H2043" t="str">
        <x:v>нет</x:v>
      </x:c>
    </x:row>
    <x:row r="2044">
      <x:c r="A2044" t="str">
        <x:v>15080</x:v>
      </x:c>
      <x:c r="B2044" t="str">
        <x:v>Звонок от 79779775140</x:v>
      </x:c>
      <x:c r="C2044" t="e">
        <x:f>HYPERLINK("https://belberrycrm.bitrix24.ru/crm/deal/details/15080/","https://belberrycrm.bitrix24.ru/crm/deal/details/15080/")</x:f>
      </x:c>
      <x:c r="D2044" t="str">
        <x:v>Реанимация</x:v>
      </x:c>
      <x:c r="E2044" t="str">
        <x:v>База для реанимации</x:v>
      </x:c>
      <x:c r="F2044" t="str">
        <x:v>Админ всея Belberry</x:v>
      </x:c>
      <x:c r="G2044" t="str">
        <x:v>нет</x:v>
      </x:c>
      <x:c r="H2044" t="str">
        <x:v>нет</x:v>
      </x:c>
    </x:row>
    <x:row r="2045">
      <x:c r="A2045" t="str">
        <x:v>15094</x:v>
      </x:c>
      <x:c r="B2045" t="str">
        <x:v>neurolab.ru</x:v>
      </x:c>
      <x:c r="C2045" t="e">
        <x:f>HYPERLINK("https://belberrycrm.bitrix24.ru/crm/deal/details/15094/","https://belberrycrm.bitrix24.ru/crm/deal/details/15094/")</x:f>
      </x:c>
      <x:c r="D2045" t="str">
        <x:v>Реанимация</x:v>
      </x:c>
      <x:c r="E2045" t="str">
        <x:v>База для реанимации</x:v>
      </x:c>
      <x:c r="F2045" t="str">
        <x:v>Админ всея Belberry</x:v>
      </x:c>
      <x:c r="G2045" t="str">
        <x:v>да</x:v>
      </x:c>
      <x:c r="H2045" t="str">
        <x:v>нет</x:v>
      </x:c>
    </x:row>
    <x:row r="2046">
      <x:c r="A2046" t="str">
        <x:v>15096</x:v>
      </x:c>
      <x:c r="B2046" t="str">
        <x:v>Ольга (интересует продвижение медицинского оборудования)</x:v>
      </x:c>
      <x:c r="C2046" t="e">
        <x:f>HYPERLINK("https://belberrycrm.bitrix24.ru/crm/deal/details/15096/","https://belberrycrm.bitrix24.ru/crm/deal/details/15096/")</x:f>
      </x:c>
      <x:c r="D2046" t="str">
        <x:v>Реанимация</x:v>
      </x:c>
      <x:c r="E2046" t="str">
        <x:v>База для реанимации</x:v>
      </x:c>
      <x:c r="F2046" t="str">
        <x:v>Админ всея Belberry</x:v>
      </x:c>
      <x:c r="G2046" t="str">
        <x:v>нет</x:v>
      </x:c>
      <x:c r="H2046" t="str">
        <x:v>нет</x:v>
      </x:c>
    </x:row>
    <x:row r="2047">
      <x:c r="A2047" t="str">
        <x:v>15104</x:v>
      </x:c>
      <x:c r="B2047" t="str">
        <x:v>sofitlight.ru</x:v>
      </x:c>
      <x:c r="C2047" t="e">
        <x:f>HYPERLINK("https://belberrycrm.bitrix24.ru/crm/deal/details/15104/","https://belberrycrm.bitrix24.ru/crm/deal/details/15104/")</x:f>
      </x:c>
      <x:c r="D2047" t="str">
        <x:v>Реанимация</x:v>
      </x:c>
      <x:c r="E2047" t="str">
        <x:v>База для реанимации</x:v>
      </x:c>
      <x:c r="F2047" t="str">
        <x:v>Админ всея Belberry</x:v>
      </x:c>
      <x:c r="G2047" t="str">
        <x:v>нет</x:v>
      </x:c>
      <x:c r="H2047" t="str">
        <x:v>нет</x:v>
      </x:c>
    </x:row>
    <x:row r="2048">
      <x:c r="A2048" t="str">
        <x:v>15150</x:v>
      </x:c>
      <x:c r="B2048" t="str">
        <x:v>ros-museumstroy.ru</x:v>
      </x:c>
      <x:c r="C2048" t="e">
        <x:f>HYPERLINK("https://belberrycrm.bitrix24.ru/crm/deal/details/15150/","https://belberrycrm.bitrix24.ru/crm/deal/details/15150/")</x:f>
      </x:c>
      <x:c r="D2048" t="str">
        <x:v>Реанимация</x:v>
      </x:c>
      <x:c r="E2048" t="str">
        <x:v>База для реанимации</x:v>
      </x:c>
      <x:c r="F2048" t="str">
        <x:v>Админ всея Belberry</x:v>
      </x:c>
      <x:c r="G2048" t="str">
        <x:v>нет</x:v>
      </x:c>
      <x:c r="H2048" t="str">
        <x:v>нет</x:v>
      </x:c>
    </x:row>
    <x:row r="2049">
      <x:c r="A2049" t="str">
        <x:v>15162</x:v>
      </x:c>
      <x:c r="B2049" t="str">
        <x:v>dentas-clinic.ru</x:v>
      </x:c>
      <x:c r="C2049" t="e">
        <x:f>HYPERLINK("https://belberrycrm.bitrix24.ru/crm/deal/details/15162/","https://belberrycrm.bitrix24.ru/crm/deal/details/15162/")</x:f>
      </x:c>
      <x:c r="D2049" t="str">
        <x:v>Реанимация</x:v>
      </x:c>
      <x:c r="E2049" t="str">
        <x:v>База для реанимации</x:v>
      </x:c>
      <x:c r="F2049" t="str">
        <x:v>Админ всея Belberry</x:v>
      </x:c>
      <x:c r="G2049" t="str">
        <x:v>да</x:v>
      </x:c>
      <x:c r="H2049" t="str">
        <x:v>нет</x:v>
      </x:c>
    </x:row>
    <x:row r="2050">
      <x:c r="A2050" t="str">
        <x:v>15182</x:v>
      </x:c>
      <x:c r="B2050" t="str">
        <x:v>tekta.ru</x:v>
      </x:c>
      <x:c r="C2050" t="e">
        <x:f>HYPERLINK("https://belberrycrm.bitrix24.ru/crm/deal/details/15182/","https://belberrycrm.bitrix24.ru/crm/deal/details/15182/")</x:f>
      </x:c>
      <x:c r="D2050" t="str">
        <x:v>Реанимация</x:v>
      </x:c>
      <x:c r="E2050" t="str">
        <x:v>База для реанимации</x:v>
      </x:c>
      <x:c r="F2050" t="str">
        <x:v>Админ всея Belberry</x:v>
      </x:c>
      <x:c r="G2050" t="str">
        <x:v>да</x:v>
      </x:c>
      <x:c r="H2050" t="str">
        <x:v>нет</x:v>
      </x:c>
    </x:row>
    <x:row r="2051">
      <x:c r="A2051" t="str">
        <x:v>15188</x:v>
      </x:c>
      <x:c r="B2051" t="str">
        <x:v>аренда спец техники</x:v>
      </x:c>
      <x:c r="C2051" t="e">
        <x:f>HYPERLINK("https://belberrycrm.bitrix24.ru/crm/deal/details/15188/","https://belberrycrm.bitrix24.ru/crm/deal/details/15188/")</x:f>
      </x:c>
      <x:c r="D2051" t="str">
        <x:v>Реанимация</x:v>
      </x:c>
      <x:c r="E2051" t="str">
        <x:v>База для реанимации</x:v>
      </x:c>
      <x:c r="F2051" t="str">
        <x:v>Админ всея Belberry</x:v>
      </x:c>
      <x:c r="G2051" t="str">
        <x:v>нет</x:v>
      </x:c>
      <x:c r="H2051" t="str">
        <x:v>нет</x:v>
      </x:c>
    </x:row>
    <x:row r="2052">
      <x:c r="A2052" t="str">
        <x:v>15200</x:v>
      </x:c>
      <x:c r="B2052" t="str">
        <x:v>stopartroz.ru</x:v>
      </x:c>
      <x:c r="C2052" t="e">
        <x:f>HYPERLINK("https://belberrycrm.bitrix24.ru/crm/deal/details/15200/","https://belberrycrm.bitrix24.ru/crm/deal/details/15200/")</x:f>
      </x:c>
      <x:c r="D2052" t="str">
        <x:v>Реанимация</x:v>
      </x:c>
      <x:c r="E2052" t="str">
        <x:v>База для реанимации</x:v>
      </x:c>
      <x:c r="F2052" t="str">
        <x:v>Админ всея Belberry</x:v>
      </x:c>
      <x:c r="G2052" t="str">
        <x:v>нет</x:v>
      </x:c>
      <x:c r="H2052" t="str">
        <x:v>нет</x:v>
      </x:c>
    </x:row>
    <x:row r="2053">
      <x:c r="A2053" t="str">
        <x:v>15216</x:v>
      </x:c>
      <x:c r="B2053" t="str">
        <x:v>Вусал</x:v>
      </x:c>
      <x:c r="C2053" t="e">
        <x:f>HYPERLINK("https://belberrycrm.bitrix24.ru/crm/deal/details/15216/","https://belberrycrm.bitrix24.ru/crm/deal/details/15216/")</x:f>
      </x:c>
      <x:c r="D2053" t="str">
        <x:v>Реанимация</x:v>
      </x:c>
      <x:c r="E2053" t="str">
        <x:v>База для реанимации</x:v>
      </x:c>
      <x:c r="F2053" t="str">
        <x:v>Админ всея Belberry</x:v>
      </x:c>
      <x:c r="G2053" t="str">
        <x:v>нет</x:v>
      </x:c>
      <x:c r="H2053" t="str">
        <x:v>нет</x:v>
      </x:c>
    </x:row>
    <x:row r="2054">
      <x:c r="A2054" t="str">
        <x:v>15222</x:v>
      </x:c>
      <x:c r="B2054" t="str">
        <x:v>pre-med.online</x:v>
      </x:c>
      <x:c r="C2054" t="e">
        <x:f>HYPERLINK("https://belberrycrm.bitrix24.ru/crm/deal/details/15222/","https://belberrycrm.bitrix24.ru/crm/deal/details/15222/")</x:f>
      </x:c>
      <x:c r="D2054" t="str">
        <x:v>Реанимация</x:v>
      </x:c>
      <x:c r="E2054" t="str">
        <x:v>База для реанимации</x:v>
      </x:c>
      <x:c r="F2054" t="str">
        <x:v>Админ всея Belberry</x:v>
      </x:c>
      <x:c r="G2054" t="str">
        <x:v>нет</x:v>
      </x:c>
      <x:c r="H2054" t="str">
        <x:v>нет</x:v>
      </x:c>
    </x:row>
    <x:row r="2055">
      <x:c r="A2055" t="str">
        <x:v>15230</x:v>
      </x:c>
      <x:c r="B2055" t="str">
        <x:v>Заявка с сайта от Виктор  79384440444</x:v>
      </x:c>
      <x:c r="C2055" t="e">
        <x:f>HYPERLINK("https://belberrycrm.bitrix24.ru/crm/deal/details/15230/","https://belberrycrm.bitrix24.ru/crm/deal/details/15230/")</x:f>
      </x:c>
      <x:c r="D2055" t="str">
        <x:v>Реанимация</x:v>
      </x:c>
      <x:c r="E2055" t="str">
        <x:v>База для реанимации</x:v>
      </x:c>
      <x:c r="F2055" t="str">
        <x:v>Админ всея Belberry</x:v>
      </x:c>
      <x:c r="G2055" t="str">
        <x:v>нет</x:v>
      </x:c>
      <x:c r="H2055" t="str">
        <x:v>нет</x:v>
      </x:c>
    </x:row>
    <x:row r="2056">
      <x:c r="A2056" t="str">
        <x:v>15234</x:v>
      </x:c>
      <x:c r="B2056" t="str">
        <x:v>avicenadoctor.ru</x:v>
      </x:c>
      <x:c r="C2056" t="e">
        <x:f>HYPERLINK("https://belberrycrm.bitrix24.ru/crm/deal/details/15234/","https://belberrycrm.bitrix24.ru/crm/deal/details/15234/")</x:f>
      </x:c>
      <x:c r="D2056" t="str">
        <x:v>Реанимация</x:v>
      </x:c>
      <x:c r="E2056" t="str">
        <x:v>База для реанимации</x:v>
      </x:c>
      <x:c r="F2056" t="str">
        <x:v>Админ всея Belberry</x:v>
      </x:c>
      <x:c r="G2056" t="str">
        <x:v>нет</x:v>
      </x:c>
      <x:c r="H2056" t="str">
        <x:v>нет</x:v>
      </x:c>
    </x:row>
    <x:row r="2057">
      <x:c r="A2057" t="str">
        <x:v>15240</x:v>
      </x:c>
      <x:c r="B2057" t="str">
        <x:v>Волкова Эмина Славовна</x:v>
      </x:c>
      <x:c r="C2057" t="e">
        <x:f>HYPERLINK("https://belberrycrm.bitrix24.ru/crm/deal/details/15240/","https://belberrycrm.bitrix24.ru/crm/deal/details/15240/")</x:f>
      </x:c>
      <x:c r="D2057" t="str">
        <x:v>Реанимация</x:v>
      </x:c>
      <x:c r="E2057" t="str">
        <x:v>База для реанимации</x:v>
      </x:c>
      <x:c r="F2057" t="str">
        <x:v>Админ всея Belberry</x:v>
      </x:c>
      <x:c r="G2057" t="str">
        <x:v>нет</x:v>
      </x:c>
      <x:c r="H2057" t="str">
        <x:v>нет</x:v>
      </x:c>
    </x:row>
    <x:row r="2058">
      <x:c r="A2058" t="str">
        <x:v>15248</x:v>
      </x:c>
      <x:c r="B2058" t="str">
        <x:v>dentest.ru</x:v>
      </x:c>
      <x:c r="C2058" t="e">
        <x:f>HYPERLINK("https://belberrycrm.bitrix24.ru/crm/deal/details/15248/","https://belberrycrm.bitrix24.ru/crm/deal/details/15248/")</x:f>
      </x:c>
      <x:c r="D2058" t="str">
        <x:v>Реанимация</x:v>
      </x:c>
      <x:c r="E2058" t="str">
        <x:v>База для реанимации</x:v>
      </x:c>
      <x:c r="F2058" t="str">
        <x:v>Админ всея Belberry</x:v>
      </x:c>
      <x:c r="G2058" t="str">
        <x:v>нет</x:v>
      </x:c>
      <x:c r="H2058" t="str">
        <x:v>нет</x:v>
      </x:c>
    </x:row>
    <x:row r="2059">
      <x:c r="A2059" t="str">
        <x:v>15250</x:v>
      </x:c>
      <x:c r="B2059" t="str">
        <x:v>ortovital.ru</x:v>
      </x:c>
      <x:c r="C2059" t="e">
        <x:f>HYPERLINK("https://belberrycrm.bitrix24.ru/crm/deal/details/15250/","https://belberrycrm.bitrix24.ru/crm/deal/details/15250/")</x:f>
      </x:c>
      <x:c r="D2059" t="str">
        <x:v>Реанимация</x:v>
      </x:c>
      <x:c r="E2059" t="str">
        <x:v>База для реанимации</x:v>
      </x:c>
      <x:c r="F2059" t="str">
        <x:v>Админ всея Belberry</x:v>
      </x:c>
      <x:c r="G2059" t="str">
        <x:v>нет</x:v>
      </x:c>
      <x:c r="H2059" t="str">
        <x:v>нет</x:v>
      </x:c>
    </x:row>
    <x:row r="2060">
      <x:c r="A2060" t="str">
        <x:v>15264</x:v>
      </x:c>
      <x:c r="B2060" t="str">
        <x:v>Ирина</x:v>
      </x:c>
      <x:c r="C2060" t="e">
        <x:f>HYPERLINK("https://belberrycrm.bitrix24.ru/crm/deal/details/15264/","https://belberrycrm.bitrix24.ru/crm/deal/details/15264/")</x:f>
      </x:c>
      <x:c r="D2060" t="str">
        <x:v>Реанимация</x:v>
      </x:c>
      <x:c r="E2060" t="str">
        <x:v>База для реанимации</x:v>
      </x:c>
      <x:c r="F2060" t="str">
        <x:v>Админ всея Belberry</x:v>
      </x:c>
      <x:c r="G2060" t="str">
        <x:v>нет</x:v>
      </x:c>
      <x:c r="H2060" t="str">
        <x:v>нет</x:v>
      </x:c>
    </x:row>
    <x:row r="2061">
      <x:c r="A2061" t="str">
        <x:v>15278</x:v>
      </x:c>
      <x:c r="B2061" t="str">
        <x:v>gvv2.ru</x:v>
      </x:c>
      <x:c r="C2061" t="e">
        <x:f>HYPERLINK("https://belberrycrm.bitrix24.ru/crm/deal/details/15278/","https://belberrycrm.bitrix24.ru/crm/deal/details/15278/")</x:f>
      </x:c>
      <x:c r="D2061" t="str">
        <x:v>Реанимация</x:v>
      </x:c>
      <x:c r="E2061" t="str">
        <x:v>База для реанимации</x:v>
      </x:c>
      <x:c r="F2061" t="str">
        <x:v>Админ всея Belberry</x:v>
      </x:c>
      <x:c r="G2061" t="str">
        <x:v>нет</x:v>
      </x:c>
      <x:c r="H2061" t="str">
        <x:v>нет</x:v>
      </x:c>
    </x:row>
    <x:row r="2062">
      <x:c r="A2062" t="str">
        <x:v>15282</x:v>
      </x:c>
      <x:c r="B2062" t="str">
        <x:v>Тест переноса</x:v>
      </x:c>
      <x:c r="C2062" t="e">
        <x:f>HYPERLINK("https://belberrycrm.bitrix24.ru/crm/deal/details/15282/","https://belberrycrm.bitrix24.ru/crm/deal/details/15282/")</x:f>
      </x:c>
      <x:c r="D2062" t="str">
        <x:v>Реанимация</x:v>
      </x:c>
      <x:c r="E2062" t="str">
        <x:v>База для реанимации</x:v>
      </x:c>
      <x:c r="F2062" t="str">
        <x:v>Админ всея Belberry</x:v>
      </x:c>
      <x:c r="G2062" t="str">
        <x:v>нет</x:v>
      </x:c>
      <x:c r="H2062" t="str">
        <x:v>нет</x:v>
      </x:c>
    </x:row>
    <x:row r="2063">
      <x:c r="A2063" t="str">
        <x:v>15286</x:v>
      </x:c>
      <x:c r="B2063" t="str">
        <x:v>rimc-rambam.ru</x:v>
      </x:c>
      <x:c r="C2063" t="e">
        <x:f>HYPERLINK("https://belberrycrm.bitrix24.ru/crm/deal/details/15286/","https://belberrycrm.bitrix24.ru/crm/deal/details/15286/")</x:f>
      </x:c>
      <x:c r="D2063" t="str">
        <x:v>Реанимация</x:v>
      </x:c>
      <x:c r="E2063" t="str">
        <x:v>База для реанимации</x:v>
      </x:c>
      <x:c r="F2063" t="str">
        <x:v>Админ всея Belberry</x:v>
      </x:c>
      <x:c r="G2063" t="str">
        <x:v>нет</x:v>
      </x:c>
      <x:c r="H2063" t="str">
        <x:v>нет</x:v>
      </x:c>
    </x:row>
    <x:row r="2064">
      <x:c r="A2064" t="str">
        <x:v>15292</x:v>
      </x:c>
      <x:c r="B2064" t="str">
        <x:v>Заявка с сайта от Сергей 79255078765</x:v>
      </x:c>
      <x:c r="C2064" t="e">
        <x:f>HYPERLINK("https://belberrycrm.bitrix24.ru/crm/deal/details/15292/","https://belberrycrm.bitrix24.ru/crm/deal/details/15292/")</x:f>
      </x:c>
      <x:c r="D2064" t="str">
        <x:v>Реанимация</x:v>
      </x:c>
      <x:c r="E2064" t="str">
        <x:v>База для реанимации</x:v>
      </x:c>
      <x:c r="F2064" t="str">
        <x:v>Админ всея Belberry</x:v>
      </x:c>
      <x:c r="G2064" t="str">
        <x:v>нет</x:v>
      </x:c>
      <x:c r="H2064" t="str">
        <x:v>нет</x:v>
      </x:c>
    </x:row>
    <x:row r="2065">
      <x:c r="A2065" t="str">
        <x:v>15312</x:v>
      </x:c>
      <x:c r="B2065" t="str">
        <x:v>сосудистый хирург Никитина Анна Михайловна</x:v>
      </x:c>
      <x:c r="C2065" t="e">
        <x:f>HYPERLINK("https://belberrycrm.bitrix24.ru/crm/deal/details/15312/","https://belberrycrm.bitrix24.ru/crm/deal/details/15312/")</x:f>
      </x:c>
      <x:c r="D2065" t="str">
        <x:v>Реанимация</x:v>
      </x:c>
      <x:c r="E2065" t="str">
        <x:v>База для реанимации</x:v>
      </x:c>
      <x:c r="F2065" t="str">
        <x:v>Админ всея Belberry</x:v>
      </x:c>
      <x:c r="G2065" t="str">
        <x:v>нет</x:v>
      </x:c>
      <x:c r="H2065" t="str">
        <x:v>нет</x:v>
      </x:c>
    </x:row>
    <x:row r="2066">
      <x:c r="A2066" t="str">
        <x:v>15324</x:v>
      </x:c>
      <x:c r="B2066" t="str">
        <x:v>VICTORY CORP 56640003</x:v>
      </x:c>
      <x:c r="C2066" t="e">
        <x:f>HYPERLINK("https://belberrycrm.bitrix24.ru/crm/deal/details/15324/","https://belberrycrm.bitrix24.ru/crm/deal/details/15324/")</x:f>
      </x:c>
      <x:c r="D2066" t="str">
        <x:v>Реанимация</x:v>
      </x:c>
      <x:c r="E2066" t="str">
        <x:v>База для реанимации</x:v>
      </x:c>
      <x:c r="F2066" t="str">
        <x:v>Админ всея Belberry</x:v>
      </x:c>
      <x:c r="G2066" t="str">
        <x:v>нет</x:v>
      </x:c>
      <x:c r="H2066" t="str">
        <x:v>нет</x:v>
      </x:c>
    </x:row>
    <x:row r="2067">
      <x:c r="A2067" t="str">
        <x:v>15326</x:v>
      </x:c>
      <x:c r="B2067" t="str">
        <x:v>Иван СММщик личный бренд</x:v>
      </x:c>
      <x:c r="C2067" t="e">
        <x:f>HYPERLINK("https://belberrycrm.bitrix24.ru/crm/deal/details/15326/","https://belberrycrm.bitrix24.ru/crm/deal/details/15326/")</x:f>
      </x:c>
      <x:c r="D2067" t="str">
        <x:v>Реанимация</x:v>
      </x:c>
      <x:c r="E2067" t="str">
        <x:v>База для реанимации</x:v>
      </x:c>
      <x:c r="F2067" t="str">
        <x:v>Админ всея Belberry</x:v>
      </x:c>
      <x:c r="G2067" t="str">
        <x:v>нет</x:v>
      </x:c>
      <x:c r="H2067" t="str">
        <x:v>нет</x:v>
      </x:c>
    </x:row>
    <x:row r="2068">
      <x:c r="A2068" t="str">
        <x:v>15344</x:v>
      </x:c>
      <x:c r="B2068" t="str">
        <x:v>dobryydoktor.com.ua</x:v>
      </x:c>
      <x:c r="C2068" t="e">
        <x:f>HYPERLINK("https://belberrycrm.bitrix24.ru/crm/deal/details/15344/","https://belberrycrm.bitrix24.ru/crm/deal/details/15344/")</x:f>
      </x:c>
      <x:c r="D2068" t="str">
        <x:v>Реанимация</x:v>
      </x:c>
      <x:c r="E2068" t="str">
        <x:v>База для реанимации</x:v>
      </x:c>
      <x:c r="F2068" t="str">
        <x:v>Админ всея Belberry</x:v>
      </x:c>
      <x:c r="G2068" t="str">
        <x:v>нет</x:v>
      </x:c>
      <x:c r="H2068" t="str">
        <x:v>нет</x:v>
      </x:c>
    </x:row>
    <x:row r="2069">
      <x:c r="A2069" t="str">
        <x:v>15346</x:v>
      </x:c>
      <x:c r="B2069" t="str">
        <x:v>easylex.ru</x:v>
      </x:c>
      <x:c r="C2069" t="e">
        <x:f>HYPERLINK("https://belberrycrm.bitrix24.ru/crm/deal/details/15346/","https://belberrycrm.bitrix24.ru/crm/deal/details/15346/")</x:f>
      </x:c>
      <x:c r="D2069" t="str">
        <x:v>Реанимация</x:v>
      </x:c>
      <x:c r="E2069" t="str">
        <x:v>База для реанимации</x:v>
      </x:c>
      <x:c r="F2069" t="str">
        <x:v>Админ всея Belberry</x:v>
      </x:c>
      <x:c r="G2069" t="str">
        <x:v>нет</x:v>
      </x:c>
      <x:c r="H2069" t="str">
        <x:v>нет</x:v>
      </x:c>
    </x:row>
    <x:row r="2070">
      <x:c r="A2070" t="str">
        <x:v>15354</x:v>
      </x:c>
      <x:c r="B2070" t="str">
        <x:v>Алиса</x:v>
      </x:c>
      <x:c r="C2070" t="e">
        <x:f>HYPERLINK("https://belberrycrm.bitrix24.ru/crm/deal/details/15354/","https://belberrycrm.bitrix24.ru/crm/deal/details/15354/")</x:f>
      </x:c>
      <x:c r="D2070" t="str">
        <x:v>Реанимация</x:v>
      </x:c>
      <x:c r="E2070" t="str">
        <x:v>База для реанимации</x:v>
      </x:c>
      <x:c r="F2070" t="str">
        <x:v>Админ всея Belberry</x:v>
      </x:c>
      <x:c r="G2070" t="str">
        <x:v>нет</x:v>
      </x:c>
      <x:c r="H2070" t="str">
        <x:v>нет</x:v>
      </x:c>
    </x:row>
    <x:row r="2071">
      <x:c r="A2071" t="str">
        <x:v>15362</x:v>
      </x:c>
      <x:c r="B2071" t="str">
        <x:v>VICTORY CORP 58151229</x:v>
      </x:c>
      <x:c r="C2071" t="e">
        <x:f>HYPERLINK("https://belberrycrm.bitrix24.ru/crm/deal/details/15362/","https://belberrycrm.bitrix24.ru/crm/deal/details/15362/")</x:f>
      </x:c>
      <x:c r="D2071" t="str">
        <x:v>Реанимация</x:v>
      </x:c>
      <x:c r="E2071" t="str">
        <x:v>База для реанимации</x:v>
      </x:c>
      <x:c r="F2071" t="str">
        <x:v>Админ всея Belberry</x:v>
      </x:c>
      <x:c r="G2071" t="str">
        <x:v>да</x:v>
      </x:c>
      <x:c r="H2071" t="str">
        <x:v>нет</x:v>
      </x:c>
    </x:row>
    <x:row r="2072">
      <x:c r="A2072" t="str">
        <x:v>15380</x:v>
      </x:c>
      <x:c r="B2072" t="str">
        <x:v>sasovoavia.ru</x:v>
      </x:c>
      <x:c r="C2072" t="e">
        <x:f>HYPERLINK("https://belberrycrm.bitrix24.ru/crm/deal/details/15380/","https://belberrycrm.bitrix24.ru/crm/deal/details/15380/")</x:f>
      </x:c>
      <x:c r="D2072" t="str">
        <x:v>Реанимация</x:v>
      </x:c>
      <x:c r="E2072" t="str">
        <x:v>База для реанимации</x:v>
      </x:c>
      <x:c r="F2072" t="str">
        <x:v>Админ всея Belberry</x:v>
      </x:c>
      <x:c r="G2072" t="str">
        <x:v>да</x:v>
      </x:c>
      <x:c r="H2072" t="str">
        <x:v>нет</x:v>
      </x:c>
    </x:row>
    <x:row r="2073">
      <x:c r="A2073" t="str">
        <x:v>15386</x:v>
      </x:c>
      <x:c r="B2073" t="str">
        <x:v>VICTORY CORP 64626828</x:v>
      </x:c>
      <x:c r="C2073" t="e">
        <x:f>HYPERLINK("https://belberrycrm.bitrix24.ru/crm/deal/details/15386/","https://belberrycrm.bitrix24.ru/crm/deal/details/15386/")</x:f>
      </x:c>
      <x:c r="D2073" t="str">
        <x:v>Реанимация</x:v>
      </x:c>
      <x:c r="E2073" t="str">
        <x:v>База для реанимации</x:v>
      </x:c>
      <x:c r="F2073" t="str">
        <x:v>Админ всея Belberry</x:v>
      </x:c>
      <x:c r="G2073" t="str">
        <x:v>нет</x:v>
      </x:c>
      <x:c r="H2073" t="str">
        <x:v>нет</x:v>
      </x:c>
    </x:row>
    <x:row r="2074">
      <x:c r="A2074" t="str">
        <x:v>15400</x:v>
      </x:c>
      <x:c r="B2074" t="str">
        <x:v>Маевская Ирина Валерьевна</x:v>
      </x:c>
      <x:c r="C2074" t="e">
        <x:f>HYPERLINK("https://belberrycrm.bitrix24.ru/crm/deal/details/15400/","https://belberrycrm.bitrix24.ru/crm/deal/details/15400/")</x:f>
      </x:c>
      <x:c r="D2074" t="str">
        <x:v>Реанимация</x:v>
      </x:c>
      <x:c r="E2074" t="str">
        <x:v>База для реанимации</x:v>
      </x:c>
      <x:c r="F2074" t="str">
        <x:v>Админ всея Belberry</x:v>
      </x:c>
      <x:c r="G2074" t="str">
        <x:v>нет</x:v>
      </x:c>
      <x:c r="H2074" t="str">
        <x:v>нет</x:v>
      </x:c>
    </x:row>
    <x:row r="2075">
      <x:c r="A2075" t="str">
        <x:v>15402</x:v>
      </x:c>
      <x:c r="B2075" t="str">
        <x:v>katalepsia.ru</x:v>
      </x:c>
      <x:c r="C2075" t="e">
        <x:f>HYPERLINK("https://belberrycrm.bitrix24.ru/crm/deal/details/15402/","https://belberrycrm.bitrix24.ru/crm/deal/details/15402/")</x:f>
      </x:c>
      <x:c r="D2075" t="str">
        <x:v>Реанимация</x:v>
      </x:c>
      <x:c r="E2075" t="str">
        <x:v>База для реанимации</x:v>
      </x:c>
      <x:c r="F2075" t="str">
        <x:v>Админ всея Belberry</x:v>
      </x:c>
      <x:c r="G2075" t="str">
        <x:v>нет</x:v>
      </x:c>
      <x:c r="H2075" t="str">
        <x:v>нет</x:v>
      </x:c>
    </x:row>
    <x:row r="2076">
      <x:c r="A2076" t="str">
        <x:v>15408</x:v>
      </x:c>
      <x:c r="B2076" t="str">
        <x:v>Диана Суреновна Егорян (врач гинеколог)</x:v>
      </x:c>
      <x:c r="C2076" t="e">
        <x:f>HYPERLINK("https://belberrycrm.bitrix24.ru/crm/deal/details/15408/","https://belberrycrm.bitrix24.ru/crm/deal/details/15408/")</x:f>
      </x:c>
      <x:c r="D2076" t="str">
        <x:v>Реанимация</x:v>
      </x:c>
      <x:c r="E2076" t="str">
        <x:v>База для реанимации</x:v>
      </x:c>
      <x:c r="F2076" t="str">
        <x:v>Админ всея Belberry</x:v>
      </x:c>
      <x:c r="G2076" t="str">
        <x:v>нет</x:v>
      </x:c>
      <x:c r="H2076" t="str">
        <x:v>нет</x:v>
      </x:c>
    </x:row>
    <x:row r="2077">
      <x:c r="A2077" t="str">
        <x:v>15412</x:v>
      </x:c>
      <x:c r="B2077" t="str">
        <x:v>lifebeautyspa.ru</x:v>
      </x:c>
      <x:c r="C2077" t="e">
        <x:f>HYPERLINK("https://belberrycrm.bitrix24.ru/crm/deal/details/15412/","https://belberrycrm.bitrix24.ru/crm/deal/details/15412/")</x:f>
      </x:c>
      <x:c r="D2077" t="str">
        <x:v>Реанимация</x:v>
      </x:c>
      <x:c r="E2077" t="str">
        <x:v>База для реанимации</x:v>
      </x:c>
      <x:c r="F2077" t="str">
        <x:v>Админ всея Belberry</x:v>
      </x:c>
      <x:c r="G2077" t="str">
        <x:v>да</x:v>
      </x:c>
      <x:c r="H2077" t="str">
        <x:v>нет</x:v>
      </x:c>
    </x:row>
    <x:row r="2078">
      <x:c r="A2078" t="str">
        <x:v>15424</x:v>
      </x:c>
      <x:c r="B2078" t="str">
        <x:v>sechenov-clinic.ru</x:v>
      </x:c>
      <x:c r="C2078" t="e">
        <x:f>HYPERLINK("https://belberrycrm.bitrix24.ru/crm/deal/details/15424/","https://belberrycrm.bitrix24.ru/crm/deal/details/15424/")</x:f>
      </x:c>
      <x:c r="D2078" t="str">
        <x:v>Реанимация</x:v>
      </x:c>
      <x:c r="E2078" t="str">
        <x:v>База для реанимации</x:v>
      </x:c>
      <x:c r="F2078" t="str">
        <x:v>Админ всея Belberry</x:v>
      </x:c>
      <x:c r="G2078" t="str">
        <x:v>да</x:v>
      </x:c>
      <x:c r="H2078" t="str">
        <x:v>нет</x:v>
      </x:c>
    </x:row>
    <x:row r="2079">
      <x:c r="A2079" t="str">
        <x:v>15428</x:v>
      </x:c>
      <x:c r="B2079" t="str">
        <x:v>Ася авито</x:v>
      </x:c>
      <x:c r="C2079" t="e">
        <x:f>HYPERLINK("https://belberrycrm.bitrix24.ru/crm/deal/details/15428/","https://belberrycrm.bitrix24.ru/crm/deal/details/15428/")</x:f>
      </x:c>
      <x:c r="D2079" t="str">
        <x:v>Реанимация</x:v>
      </x:c>
      <x:c r="E2079" t="str">
        <x:v>База для реанимации</x:v>
      </x:c>
      <x:c r="F2079" t="str">
        <x:v>Админ всея Belberry</x:v>
      </x:c>
      <x:c r="G2079" t="str">
        <x:v>нет</x:v>
      </x:c>
      <x:c r="H2079" t="str">
        <x:v>нет</x:v>
      </x:c>
    </x:row>
    <x:row r="2080">
      <x:c r="A2080" t="str">
        <x:v>15432</x:v>
      </x:c>
      <x:c r="B2080" t="str">
        <x:v>Владимир калмыкия</x:v>
      </x:c>
      <x:c r="C2080" t="e">
        <x:f>HYPERLINK("https://belberrycrm.bitrix24.ru/crm/deal/details/15432/","https://belberrycrm.bitrix24.ru/crm/deal/details/15432/")</x:f>
      </x:c>
      <x:c r="D2080" t="str">
        <x:v>Реанимация</x:v>
      </x:c>
      <x:c r="E2080" t="str">
        <x:v>База для реанимации</x:v>
      </x:c>
      <x:c r="F2080" t="str">
        <x:v>Админ всея Belberry</x:v>
      </x:c>
      <x:c r="G2080" t="str">
        <x:v>нет</x:v>
      </x:c>
      <x:c r="H2080" t="str">
        <x:v>нет</x:v>
      </x:c>
    </x:row>
    <x:row r="2081">
      <x:c r="A2081" t="str">
        <x:v>15492</x:v>
      </x:c>
      <x:c r="B2081" t="str">
        <x:v>Стоматолог Артем Кацанов</x:v>
      </x:c>
      <x:c r="C2081" t="e">
        <x:f>HYPERLINK("https://belberrycrm.bitrix24.ru/crm/deal/details/15492/","https://belberrycrm.bitrix24.ru/crm/deal/details/15492/")</x:f>
      </x:c>
      <x:c r="D2081" t="str">
        <x:v>Реанимация</x:v>
      </x:c>
      <x:c r="E2081" t="str">
        <x:v>База для реанимации</x:v>
      </x:c>
      <x:c r="F2081" t="str">
        <x:v>Админ всея Belberry</x:v>
      </x:c>
      <x:c r="G2081" t="str">
        <x:v>нет</x:v>
      </x:c>
      <x:c r="H2081" t="str">
        <x:v>нет</x:v>
      </x:c>
    </x:row>
    <x:row r="2082">
      <x:c r="A2082" t="str">
        <x:v>15498</x:v>
      </x:c>
      <x:c r="B2082" t="str">
        <x:v>Эдуард</x:v>
      </x:c>
      <x:c r="C2082" t="e">
        <x:f>HYPERLINK("https://belberrycrm.bitrix24.ru/crm/deal/details/15498/","https://belberrycrm.bitrix24.ru/crm/deal/details/15498/")</x:f>
      </x:c>
      <x:c r="D2082" t="str">
        <x:v>Реанимация</x:v>
      </x:c>
      <x:c r="E2082" t="str">
        <x:v>База для реанимации</x:v>
      </x:c>
      <x:c r="F2082" t="str">
        <x:v>Админ всея Belberry</x:v>
      </x:c>
      <x:c r="G2082" t="str">
        <x:v>нет</x:v>
      </x:c>
      <x:c r="H2082" t="str">
        <x:v>нет</x:v>
      </x:c>
    </x:row>
    <x:row r="2083">
      <x:c r="A2083" t="str">
        <x:v>15502</x:v>
      </x:c>
      <x:c r="B2083" t="str">
        <x:v>Сайт в разработке. Олеся.</x:v>
      </x:c>
      <x:c r="C2083" t="e">
        <x:f>HYPERLINK("https://belberrycrm.bitrix24.ru/crm/deal/details/15502/","https://belberrycrm.bitrix24.ru/crm/deal/details/15502/")</x:f>
      </x:c>
      <x:c r="D2083" t="str">
        <x:v>Реанимация</x:v>
      </x:c>
      <x:c r="E2083" t="str">
        <x:v>База для реанимации</x:v>
      </x:c>
      <x:c r="F2083" t="str">
        <x:v>Админ всея Belberry</x:v>
      </x:c>
      <x:c r="G2083" t="str">
        <x:v>нет</x:v>
      </x:c>
      <x:c r="H2083" t="str">
        <x:v>нет</x:v>
      </x:c>
    </x:row>
    <x:row r="2084">
      <x:c r="A2084" t="str">
        <x:v>15516</x:v>
      </x:c>
      <x:c r="B2084" t="str">
        <x:v>Заявка с сайта от Мадина  79285755656</x:v>
      </x:c>
      <x:c r="C2084" t="e">
        <x:f>HYPERLINK("https://belberrycrm.bitrix24.ru/crm/deal/details/15516/","https://belberrycrm.bitrix24.ru/crm/deal/details/15516/")</x:f>
      </x:c>
      <x:c r="D2084" t="str">
        <x:v>Реанимация</x:v>
      </x:c>
      <x:c r="E2084" t="str">
        <x:v>База для реанимации</x:v>
      </x:c>
      <x:c r="F2084" t="str">
        <x:v>Админ всея Belberry</x:v>
      </x:c>
      <x:c r="G2084" t="str">
        <x:v>нет</x:v>
      </x:c>
      <x:c r="H2084" t="str">
        <x:v>нет</x:v>
      </x:c>
    </x:row>
    <x:row r="2085">
      <x:c r="A2085" t="str">
        <x:v>15524</x:v>
      </x:c>
      <x:c r="B2085" t="str">
        <x:v>Заявка с сайта от Ислам 79896502999</x:v>
      </x:c>
      <x:c r="C2085" t="e">
        <x:f>HYPERLINK("https://belberrycrm.bitrix24.ru/crm/deal/details/15524/","https://belberrycrm.bitrix24.ru/crm/deal/details/15524/")</x:f>
      </x:c>
      <x:c r="D2085" t="str">
        <x:v>Реанимация</x:v>
      </x:c>
      <x:c r="E2085" t="str">
        <x:v>База для реанимации</x:v>
      </x:c>
      <x:c r="F2085" t="str">
        <x:v>Админ всея Belberry</x:v>
      </x:c>
      <x:c r="G2085" t="str">
        <x:v>нет</x:v>
      </x:c>
      <x:c r="H2085" t="str">
        <x:v>нет</x:v>
      </x:c>
    </x:row>
    <x:row r="2086">
      <x:c r="A2086" t="str">
        <x:v>15564</x:v>
      </x:c>
      <x:c r="B2086" t="str">
        <x:v>Анастасия</x:v>
      </x:c>
      <x:c r="C2086" t="e">
        <x:f>HYPERLINK("https://belberrycrm.bitrix24.ru/crm/deal/details/15564/","https://belberrycrm.bitrix24.ru/crm/deal/details/15564/")</x:f>
      </x:c>
      <x:c r="D2086" t="str">
        <x:v>Реанимация</x:v>
      </x:c>
      <x:c r="E2086" t="str">
        <x:v>База для реанимации</x:v>
      </x:c>
      <x:c r="F2086" t="str">
        <x:v>Админ всея Belberry</x:v>
      </x:c>
      <x:c r="G2086" t="str">
        <x:v>нет</x:v>
      </x:c>
      <x:c r="H2086" t="str">
        <x:v>нет</x:v>
      </x:c>
    </x:row>
    <x:row r="2087">
      <x:c r="A2087" t="str">
        <x:v>15570</x:v>
      </x:c>
      <x:c r="B2087" t="str">
        <x:v>Лия (Компанию и сайт пока не назвала)</x:v>
      </x:c>
      <x:c r="C2087" t="e">
        <x:f>HYPERLINK("https://belberrycrm.bitrix24.ru/crm/deal/details/15570/","https://belberrycrm.bitrix24.ru/crm/deal/details/15570/")</x:f>
      </x:c>
      <x:c r="D2087" t="str">
        <x:v>Реанимация</x:v>
      </x:c>
      <x:c r="E2087" t="str">
        <x:v>База для реанимации</x:v>
      </x:c>
      <x:c r="F2087" t="str">
        <x:v>Админ всея Belberry</x:v>
      </x:c>
      <x:c r="G2087" t="str">
        <x:v>нет</x:v>
      </x:c>
      <x:c r="H2087" t="str">
        <x:v>нет</x:v>
      </x:c>
    </x:row>
    <x:row r="2088">
      <x:c r="A2088" t="str">
        <x:v>15586</x:v>
      </x:c>
      <x:c r="B2088" t="str">
        <x:v>Александр</x:v>
      </x:c>
      <x:c r="C2088" t="e">
        <x:f>HYPERLINK("https://belberrycrm.bitrix24.ru/crm/deal/details/15586/","https://belberrycrm.bitrix24.ru/crm/deal/details/15586/")</x:f>
      </x:c>
      <x:c r="D2088" t="str">
        <x:v>Реанимация</x:v>
      </x:c>
      <x:c r="E2088" t="str">
        <x:v>База для реанимации</x:v>
      </x:c>
      <x:c r="F2088" t="str">
        <x:v>Админ всея Belberry</x:v>
      </x:c>
      <x:c r="G2088" t="str">
        <x:v>нет</x:v>
      </x:c>
      <x:c r="H2088" t="str">
        <x:v>нет</x:v>
      </x:c>
    </x:row>
    <x:row r="2089">
      <x:c r="A2089" t="str">
        <x:v>15590</x:v>
      </x:c>
      <x:c r="B2089" t="str">
        <x:v>Айдар</x:v>
      </x:c>
      <x:c r="C2089" t="e">
        <x:f>HYPERLINK("https://belberrycrm.bitrix24.ru/crm/deal/details/15590/","https://belberrycrm.bitrix24.ru/crm/deal/details/15590/")</x:f>
      </x:c>
      <x:c r="D2089" t="str">
        <x:v>Реанимация</x:v>
      </x:c>
      <x:c r="E2089" t="str">
        <x:v>База для реанимации</x:v>
      </x:c>
      <x:c r="F2089" t="str">
        <x:v>Админ всея Belberry</x:v>
      </x:c>
      <x:c r="G2089" t="str">
        <x:v>нет</x:v>
      </x:c>
      <x:c r="H2089" t="str">
        <x:v>нет</x:v>
      </x:c>
    </x:row>
    <x:row r="2090">
      <x:c r="A2090" t="str">
        <x:v>15594</x:v>
      </x:c>
      <x:c r="B2090" t="str">
        <x:v>Заявка с сайта от Исмаил 79639992040</x:v>
      </x:c>
      <x:c r="C2090" t="e">
        <x:f>HYPERLINK("https://belberrycrm.bitrix24.ru/crm/deal/details/15594/","https://belberrycrm.bitrix24.ru/crm/deal/details/15594/")</x:f>
      </x:c>
      <x:c r="D2090" t="str">
        <x:v>Реанимация</x:v>
      </x:c>
      <x:c r="E2090" t="str">
        <x:v>База для реанимации</x:v>
      </x:c>
      <x:c r="F2090" t="str">
        <x:v>Админ всея Belberry</x:v>
      </x:c>
      <x:c r="G2090" t="str">
        <x:v>нет</x:v>
      </x:c>
      <x:c r="H2090" t="str">
        <x:v>нет</x:v>
      </x:c>
    </x:row>
    <x:row r="2091">
      <x:c r="A2091" t="str">
        <x:v>15608</x:v>
      </x:c>
      <x:c r="B2091" t="str">
        <x:v>Юлия (психолог)</x:v>
      </x:c>
      <x:c r="C2091" t="e">
        <x:f>HYPERLINK("https://belberrycrm.bitrix24.ru/crm/deal/details/15608/","https://belberrycrm.bitrix24.ru/crm/deal/details/15608/")</x:f>
      </x:c>
      <x:c r="D2091" t="str">
        <x:v>Реанимация</x:v>
      </x:c>
      <x:c r="E2091" t="str">
        <x:v>База для реанимации</x:v>
      </x:c>
      <x:c r="F2091" t="str">
        <x:v>Админ всея Belberry</x:v>
      </x:c>
      <x:c r="G2091" t="str">
        <x:v>нет</x:v>
      </x:c>
      <x:c r="H2091" t="str">
        <x:v>нет</x:v>
      </x:c>
    </x:row>
    <x:row r="2092">
      <x:c r="A2092" t="str">
        <x:v>15638</x:v>
      </x:c>
      <x:c r="B2092" t="str">
        <x:v>Марьям Самвелян стоматолог</x:v>
      </x:c>
      <x:c r="C2092" t="e">
        <x:f>HYPERLINK("https://belberrycrm.bitrix24.ru/crm/deal/details/15638/","https://belberrycrm.bitrix24.ru/crm/deal/details/15638/")</x:f>
      </x:c>
      <x:c r="D2092" t="str">
        <x:v>Реанимация</x:v>
      </x:c>
      <x:c r="E2092" t="str">
        <x:v>База для реанимации</x:v>
      </x:c>
      <x:c r="F2092" t="str">
        <x:v>Админ всея Belberry</x:v>
      </x:c>
      <x:c r="G2092" t="str">
        <x:v>нет</x:v>
      </x:c>
      <x:c r="H2092" t="str">
        <x:v>нет</x:v>
      </x:c>
    </x:row>
    <x:row r="2093">
      <x:c r="A2093" t="str">
        <x:v>15644</x:v>
      </x:c>
      <x:c r="B2093" t="str">
        <x:v>Клиентология +79637779121</x:v>
      </x:c>
      <x:c r="C2093" t="e">
        <x:f>HYPERLINK("https://belberrycrm.bitrix24.ru/crm/deal/details/15644/","https://belberrycrm.bitrix24.ru/crm/deal/details/15644/")</x:f>
      </x:c>
      <x:c r="D2093" t="str">
        <x:v>Реанимация</x:v>
      </x:c>
      <x:c r="E2093" t="str">
        <x:v>База для реанимации</x:v>
      </x:c>
      <x:c r="F2093" t="str">
        <x:v>Админ всея Belberry</x:v>
      </x:c>
      <x:c r="G2093" t="str">
        <x:v>да</x:v>
      </x:c>
      <x:c r="H2093" t="str">
        <x:v>нет</x:v>
      </x:c>
    </x:row>
    <x:row r="2094">
      <x:c r="A2094" t="str">
        <x:v>15646</x:v>
      </x:c>
      <x:c r="B2094" t="str">
        <x:v>Каталина (стоматология)</x:v>
      </x:c>
      <x:c r="C2094" t="e">
        <x:f>HYPERLINK("https://belberrycrm.bitrix24.ru/crm/deal/details/15646/","https://belberrycrm.bitrix24.ru/crm/deal/details/15646/")</x:f>
      </x:c>
      <x:c r="D2094" t="str">
        <x:v>Реанимация</x:v>
      </x:c>
      <x:c r="E2094" t="str">
        <x:v>База для реанимации</x:v>
      </x:c>
      <x:c r="F2094" t="str">
        <x:v>Админ всея Belberry</x:v>
      </x:c>
      <x:c r="G2094" t="str">
        <x:v>нет</x:v>
      </x:c>
      <x:c r="H2094" t="str">
        <x:v>нет</x:v>
      </x:c>
    </x:row>
    <x:row r="2095">
      <x:c r="A2095" t="str">
        <x:v>15652</x:v>
      </x:c>
      <x:c r="B2095" t="str">
        <x:v>unkp.ru</x:v>
      </x:c>
      <x:c r="C2095" t="e">
        <x:f>HYPERLINK("https://belberrycrm.bitrix24.ru/crm/deal/details/15652/","https://belberrycrm.bitrix24.ru/crm/deal/details/15652/")</x:f>
      </x:c>
      <x:c r="D2095" t="str">
        <x:v>Реанимация</x:v>
      </x:c>
      <x:c r="E2095" t="str">
        <x:v>База для реанимации</x:v>
      </x:c>
      <x:c r="F2095" t="str">
        <x:v>Админ всея Belberry</x:v>
      </x:c>
      <x:c r="G2095" t="str">
        <x:v>да</x:v>
      </x:c>
      <x:c r="H2095" t="str">
        <x:v>нет</x:v>
      </x:c>
    </x:row>
    <x:row r="2096">
      <x:c r="A2096" t="str">
        <x:v>15660</x:v>
      </x:c>
      <x:c r="B2096" t="str">
        <x:v>Зелимхан (онко-прокто отделение rzd-medicine.ru)</x:v>
      </x:c>
      <x:c r="C2096" t="e">
        <x:f>HYPERLINK("https://belberrycrm.bitrix24.ru/crm/deal/details/15660/","https://belberrycrm.bitrix24.ru/crm/deal/details/15660/")</x:f>
      </x:c>
      <x:c r="D2096" t="str">
        <x:v>Реанимация</x:v>
      </x:c>
      <x:c r="E2096" t="str">
        <x:v>База для реанимации</x:v>
      </x:c>
      <x:c r="F2096" t="str">
        <x:v>Админ всея Belberry</x:v>
      </x:c>
      <x:c r="G2096" t="str">
        <x:v>нет</x:v>
      </x:c>
      <x:c r="H2096" t="str">
        <x:v>нет</x:v>
      </x:c>
    </x:row>
    <x:row r="2097">
      <x:c r="A2097" t="str">
        <x:v>15694</x:v>
      </x:c>
      <x:c r="B2097" t="str">
        <x:v>Клара психолог, интересует Дзен</x:v>
      </x:c>
      <x:c r="C2097" t="e">
        <x:f>HYPERLINK("https://belberrycrm.bitrix24.ru/crm/deal/details/15694/","https://belberrycrm.bitrix24.ru/crm/deal/details/15694/")</x:f>
      </x:c>
      <x:c r="D2097" t="str">
        <x:v>Реанимация</x:v>
      </x:c>
      <x:c r="E2097" t="str">
        <x:v>База для реанимации</x:v>
      </x:c>
      <x:c r="F2097" t="str">
        <x:v>Павел Фролов</x:v>
      </x:c>
      <x:c r="G2097" t="str">
        <x:v>нет</x:v>
      </x:c>
      <x:c r="H2097" t="str">
        <x:v>нет</x:v>
      </x:c>
    </x:row>
    <x:row r="2098">
      <x:c r="A2098" t="str">
        <x:v>15708</x:v>
      </x:c>
      <x:c r="B2098" t="str">
        <x:v>Заказ интернет-магазина №146</x:v>
      </x:c>
      <x:c r="C2098" t="e">
        <x:f>HYPERLINK("https://belberrycrm.bitrix24.ru/crm/deal/details/15708/","https://belberrycrm.bitrix24.ru/crm/deal/details/15708/")</x:f>
      </x:c>
      <x:c r="D2098" t="str">
        <x:v>Реанимация</x:v>
      </x:c>
      <x:c r="E2098" t="str">
        <x:v>АРХИВ Общая</x:v>
      </x:c>
      <x:c r="F2098" t="str">
        <x:v>Екатерина Апушкина</x:v>
      </x:c>
      <x:c r="G2098" t="str">
        <x:v>нет</x:v>
      </x:c>
      <x:c r="H2098" t="str">
        <x:v>нет</x:v>
      </x:c>
    </x:row>
    <x:row r="2099">
      <x:c r="A2099" t="str">
        <x:v>15718</x:v>
      </x:c>
      <x:c r="B2099" t="str">
        <x:v>Смородина Татьяна Николаевна невролог</x:v>
      </x:c>
      <x:c r="C2099" t="e">
        <x:f>HYPERLINK("https://belberrycrm.bitrix24.ru/crm/deal/details/15718/","https://belberrycrm.bitrix24.ru/crm/deal/details/15718/")</x:f>
      </x:c>
      <x:c r="D2099" t="str">
        <x:v>Реанимация</x:v>
      </x:c>
      <x:c r="E2099" t="str">
        <x:v>ПРОДАЖИ: Не сейчас</x:v>
      </x:c>
      <x:c r="F2099" t="str">
        <x:v>Анна Гудинова</x:v>
      </x:c>
      <x:c r="G2099" t="str">
        <x:v>нет</x:v>
      </x:c>
      <x:c r="H2099" t="str">
        <x:v>нет</x:v>
      </x:c>
    </x:row>
    <x:row r="2100">
      <x:c r="A2100" t="str">
        <x:v>15724</x:v>
      </x:c>
      <x:c r="B2100" t="str">
        <x:v>Заказ интернет-магазина №148</x:v>
      </x:c>
      <x:c r="C2100" t="e">
        <x:f>HYPERLINK("https://belberrycrm.bitrix24.ru/crm/deal/details/15724/","https://belberrycrm.bitrix24.ru/crm/deal/details/15724/")</x:f>
      </x:c>
      <x:c r="D2100" t="str">
        <x:v>Реанимация</x:v>
      </x:c>
      <x:c r="E2100" t="str">
        <x:v>АРХИВ Общая</x:v>
      </x:c>
      <x:c r="F2100" t="str">
        <x:v>Екатерина Апушкина</x:v>
      </x:c>
      <x:c r="G2100" t="str">
        <x:v>нет</x:v>
      </x:c>
      <x:c r="H2100" t="str">
        <x:v>нет</x:v>
      </x:c>
    </x:row>
    <x:row r="2101">
      <x:c r="A2101" t="str">
        <x:v>15726</x:v>
      </x:c>
      <x:c r="B2101" t="str">
        <x:v>Заказ интернет-магазина №150</x:v>
      </x:c>
      <x:c r="C2101" t="e">
        <x:f>HYPERLINK("https://belberrycrm.bitrix24.ru/crm/deal/details/15726/","https://belberrycrm.bitrix24.ru/crm/deal/details/15726/")</x:f>
      </x:c>
      <x:c r="D2101" t="str">
        <x:v>Реанимация</x:v>
      </x:c>
      <x:c r="E2101" t="str">
        <x:v>АРХИВ Общая</x:v>
      </x:c>
      <x:c r="F2101" t="str">
        <x:v>Екатерина Апушкина</x:v>
      </x:c>
      <x:c r="G2101" t="str">
        <x:v>нет</x:v>
      </x:c>
      <x:c r="H2101" t="str">
        <x:v>нет</x:v>
      </x:c>
    </x:row>
    <x:row r="2102">
      <x:c r="A2102" t="str">
        <x:v>15728</x:v>
      </x:c>
      <x:c r="B2102" t="str">
        <x:v>Заказ интернет-магазина №152</x:v>
      </x:c>
      <x:c r="C2102" t="e">
        <x:f>HYPERLINK("https://belberrycrm.bitrix24.ru/crm/deal/details/15728/","https://belberrycrm.bitrix24.ru/crm/deal/details/15728/")</x:f>
      </x:c>
      <x:c r="D2102" t="str">
        <x:v>Реанимация</x:v>
      </x:c>
      <x:c r="E2102" t="str">
        <x:v>АРХИВ Общая</x:v>
      </x:c>
      <x:c r="F2102" t="str">
        <x:v>Екатерина Апушкина</x:v>
      </x:c>
      <x:c r="G2102" t="str">
        <x:v>нет</x:v>
      </x:c>
      <x:c r="H2102" t="str">
        <x:v>нет</x:v>
      </x:c>
    </x:row>
    <x:row r="2103">
      <x:c r="A2103" t="str">
        <x:v>15746</x:v>
      </x:c>
      <x:c r="B2103" t="str">
        <x:v>Заказ интернет-магазина №154</x:v>
      </x:c>
      <x:c r="C2103" t="e">
        <x:f>HYPERLINK("https://belberrycrm.bitrix24.ru/crm/deal/details/15746/","https://belberrycrm.bitrix24.ru/crm/deal/details/15746/")</x:f>
      </x:c>
      <x:c r="D2103" t="str">
        <x:v>Реанимация</x:v>
      </x:c>
      <x:c r="E2103" t="str">
        <x:v>АРХИВ Общая</x:v>
      </x:c>
      <x:c r="F2103" t="str">
        <x:v>Екатерина Апушкина</x:v>
      </x:c>
      <x:c r="G2103" t="str">
        <x:v>нет</x:v>
      </x:c>
      <x:c r="H2103" t="str">
        <x:v>нет</x:v>
      </x:c>
    </x:row>
    <x:row r="2104">
      <x:c r="A2104" t="str">
        <x:v>15748</x:v>
      </x:c>
      <x:c r="B2104" t="str">
        <x:v>Заказ интернет-магазина №156</x:v>
      </x:c>
      <x:c r="C2104" t="e">
        <x:f>HYPERLINK("https://belberrycrm.bitrix24.ru/crm/deal/details/15748/","https://belberrycrm.bitrix24.ru/crm/deal/details/15748/")</x:f>
      </x:c>
      <x:c r="D2104" t="str">
        <x:v>Реанимация</x:v>
      </x:c>
      <x:c r="E2104" t="str">
        <x:v>АРХИВ Общая</x:v>
      </x:c>
      <x:c r="F2104" t="str">
        <x:v>Екатерина Апушкина</x:v>
      </x:c>
      <x:c r="G2104" t="str">
        <x:v>нет</x:v>
      </x:c>
      <x:c r="H2104" t="str">
        <x:v>нет</x:v>
      </x:c>
    </x:row>
    <x:row r="2105">
      <x:c r="A2105" t="str">
        <x:v>15752</x:v>
      </x:c>
      <x:c r="B2105" t="str">
        <x:v>newvettech.ru</x:v>
      </x:c>
      <x:c r="C2105" t="e">
        <x:f>HYPERLINK("https://belberrycrm.bitrix24.ru/crm/deal/details/15752/","https://belberrycrm.bitrix24.ru/crm/deal/details/15752/")</x:f>
      </x:c>
      <x:c r="D2105" t="str">
        <x:v>Реанимация</x:v>
      </x:c>
      <x:c r="E2105" t="str">
        <x:v>База для реанимации</x:v>
      </x:c>
      <x:c r="F2105" t="str">
        <x:v>Евгения Гордиенко</x:v>
      </x:c>
      <x:c r="G2105" t="str">
        <x:v>да</x:v>
      </x:c>
      <x:c r="H2105" t="str">
        <x:v>нет</x:v>
      </x:c>
    </x:row>
    <x:row r="2106">
      <x:c r="A2106" t="str">
        <x:v>15758</x:v>
      </x:c>
      <x:c r="B2106" t="str">
        <x:v>Заявка на покупку лицензии</x:v>
      </x:c>
      <x:c r="C2106" t="e">
        <x:f>HYPERLINK("https://belberrycrm.bitrix24.ru/crm/deal/details/15758/","https://belberrycrm.bitrix24.ru/crm/deal/details/15758/")</x:f>
      </x:c>
      <x:c r="D2106" t="str">
        <x:v>Реанимация</x:v>
      </x:c>
      <x:c r="E2106" t="str">
        <x:v>АРХИВ Общая</x:v>
      </x:c>
      <x:c r="F2106" t="str">
        <x:v>Екатерина Апушкина</x:v>
      </x:c>
      <x:c r="G2106" t="str">
        <x:v>нет</x:v>
      </x:c>
      <x:c r="H2106" t="str">
        <x:v>нет</x:v>
      </x:c>
    </x:row>
    <x:row r="2107">
      <x:c r="A2107" t="str">
        <x:v>15782</x:v>
      </x:c>
      <x:c r="B2107" t="str">
        <x:v>trace-it.ru</x:v>
      </x:c>
      <x:c r="C2107" t="e">
        <x:f>HYPERLINK("https://belberrycrm.bitrix24.ru/crm/deal/details/15782/","https://belberrycrm.bitrix24.ru/crm/deal/details/15782/")</x:f>
      </x:c>
      <x:c r="D2107" t="str">
        <x:v>Реанимация</x:v>
      </x:c>
      <x:c r="E2107" t="str">
        <x:v>База для реанимации</x:v>
      </x:c>
      <x:c r="F2107" t="str">
        <x:v>Евгения Гордиенко</x:v>
      </x:c>
      <x:c r="G2107" t="str">
        <x:v>нет</x:v>
      </x:c>
      <x:c r="H2107" t="str">
        <x:v>нет</x:v>
      </x:c>
    </x:row>
    <x:row r="2108">
      <x:c r="A2108" t="str">
        <x:v>15784</x:v>
      </x:c>
      <x:c r="B2108" t="str">
        <x:v>dr--dubkov.orgs.biz</x:v>
      </x:c>
      <x:c r="C2108" t="e">
        <x:f>HYPERLINK("https://belberrycrm.bitrix24.ru/crm/deal/details/15784/","https://belberrycrm.bitrix24.ru/crm/deal/details/15784/")</x:f>
      </x:c>
      <x:c r="D2108" t="str">
        <x:v>Реанимация</x:v>
      </x:c>
      <x:c r="E2108" t="str">
        <x:v>ПРОДАЖИ: Отвалы</x:v>
      </x:c>
      <x:c r="F2108" t="str">
        <x:v>Петр Дудин</x:v>
      </x:c>
      <x:c r="G2108" t="str">
        <x:v>да</x:v>
      </x:c>
      <x:c r="H2108" t="str">
        <x:v>нет</x:v>
      </x:c>
    </x:row>
    <x:row r="2109">
      <x:c r="A2109" t="str">
        <x:v>15788</x:v>
      </x:c>
      <x:c r="B2109" t="str">
        <x:v>ivdent.clients.site</x:v>
      </x:c>
      <x:c r="C2109" t="e">
        <x:f>HYPERLINK("https://belberrycrm.bitrix24.ru/crm/deal/details/15788/","https://belberrycrm.bitrix24.ru/crm/deal/details/15788/")</x:f>
      </x:c>
      <x:c r="D2109" t="str">
        <x:v>Реанимация</x:v>
      </x:c>
      <x:c r="E2109" t="str">
        <x:v>ПРОДАЖИ: Отвалы</x:v>
      </x:c>
      <x:c r="F2109" t="str">
        <x:v>Анна Гудинова</x:v>
      </x:c>
      <x:c r="G2109" t="str">
        <x:v>нет</x:v>
      </x:c>
      <x:c r="H2109" t="str">
        <x:v>нет</x:v>
      </x:c>
    </x:row>
    <x:row r="2110">
      <x:c r="A2110" t="str">
        <x:v>15794</x:v>
      </x:c>
      <x:c r="B2110" t="str">
        <x:v>drgalaev.ru</x:v>
      </x:c>
      <x:c r="C2110" t="e">
        <x:f>HYPERLINK("https://belberrycrm.bitrix24.ru/crm/deal/details/15794/","https://belberrycrm.bitrix24.ru/crm/deal/details/15794/")</x:f>
      </x:c>
      <x:c r="D2110" t="str">
        <x:v>Реанимация</x:v>
      </x:c>
      <x:c r="E2110" t="str">
        <x:v>База для реанимации</x:v>
      </x:c>
      <x:c r="F2110" t="str">
        <x:v>Петр Дудин</x:v>
      </x:c>
      <x:c r="G2110" t="str">
        <x:v>нет</x:v>
      </x:c>
      <x:c r="H2110" t="str">
        <x:v>нет</x:v>
      </x:c>
    </x:row>
    <x:row r="2111">
      <x:c r="A2111" t="str">
        <x:v>15796</x:v>
      </x:c>
      <x:c r="B2111" t="str">
        <x:v>Заявка с сайта от Лилит 79166872415</x:v>
      </x:c>
      <x:c r="C2111" t="e">
        <x:f>HYPERLINK("https://belberrycrm.bitrix24.ru/crm/deal/details/15796/","https://belberrycrm.bitrix24.ru/crm/deal/details/15796/")</x:f>
      </x:c>
      <x:c r="D2111" t="str">
        <x:v>Реанимация</x:v>
      </x:c>
      <x:c r="E2111" t="str">
        <x:v>ПРОДАЖИ: Отвалы</x:v>
      </x:c>
      <x:c r="F2111" t="str">
        <x:v>Петр Дудин</x:v>
      </x:c>
      <x:c r="G2111" t="str">
        <x:v>да</x:v>
      </x:c>
      <x:c r="H2111" t="str">
        <x:v>нет</x:v>
      </x:c>
    </x:row>
    <x:row r="2112">
      <x:c r="A2112" t="str">
        <x:v>15806</x:v>
      </x:c>
      <x:c r="B2112" t="str">
        <x:v>маркос-мебель.рф</x:v>
      </x:c>
      <x:c r="C2112" t="e">
        <x:f>HYPERLINK("https://belberrycrm.bitrix24.ru/crm/deal/details/15806/","https://belberrycrm.bitrix24.ru/crm/deal/details/15806/")</x:f>
      </x:c>
      <x:c r="D2112" t="str">
        <x:v>Реанимация</x:v>
      </x:c>
      <x:c r="E2112" t="str">
        <x:v>ПРОДАЖИ: Отвалы</x:v>
      </x:c>
      <x:c r="F2112" t="str">
        <x:v>Петр Дудин</x:v>
      </x:c>
      <x:c r="G2112" t="str">
        <x:v>да</x:v>
      </x:c>
      <x:c r="H2112" t="str">
        <x:v>нет</x:v>
      </x:c>
    </x:row>
    <x:row r="2113">
      <x:c r="A2113" t="str">
        <x:v>15810</x:v>
      </x:c>
      <x:c r="B2113" t="str">
        <x:v>amsclinic.ru</x:v>
      </x:c>
      <x:c r="C2113" t="e">
        <x:f>HYPERLINK("https://belberrycrm.bitrix24.ru/crm/deal/details/15810/","https://belberrycrm.bitrix24.ru/crm/deal/details/15810/")</x:f>
      </x:c>
      <x:c r="D2113" t="str">
        <x:v>Реанимация</x:v>
      </x:c>
      <x:c r="E2113" t="str">
        <x:v>Взят в работу</x:v>
      </x:c>
      <x:c r="F2113" t="str">
        <x:v>Анна Гудинова</x:v>
      </x:c>
      <x:c r="G2113" t="str">
        <x:v>да</x:v>
      </x:c>
      <x:c r="H2113" t="str">
        <x:v>нет</x:v>
      </x:c>
    </x:row>
    <x:row r="2114">
      <x:c r="A2114" t="str">
        <x:v>15824</x:v>
      </x:c>
      <x:c r="B2114" t="str">
        <x:v>jprettier.ru</x:v>
      </x:c>
      <x:c r="C2114" t="e">
        <x:f>HYPERLINK("https://belberrycrm.bitrix24.ru/crm/deal/details/15824/","https://belberrycrm.bitrix24.ru/crm/deal/details/15824/")</x:f>
      </x:c>
      <x:c r="D2114" t="str">
        <x:v>Реанимация</x:v>
      </x:c>
      <x:c r="E2114" t="str">
        <x:v>База для реанимации</x:v>
      </x:c>
      <x:c r="F2114" t="str">
        <x:v>Евгения Гордиенко</x:v>
      </x:c>
      <x:c r="G2114" t="str">
        <x:v>да</x:v>
      </x:c>
      <x:c r="H2114" t="str">
        <x:v>нет</x:v>
      </x:c>
    </x:row>
    <x:row r="2115">
      <x:c r="A2115" t="str">
        <x:v>15838</x:v>
      </x:c>
      <x:c r="B2115" t="str">
        <x:v>СЕМИЗОРОВ ЮРИЙ АЛЕКСАНДРОВИЧ</x:v>
      </x:c>
      <x:c r="C2115" t="e">
        <x:f>HYPERLINK("https://belberrycrm.bitrix24.ru/crm/deal/details/15838/","https://belberrycrm.bitrix24.ru/crm/deal/details/15838/")</x:f>
      </x:c>
      <x:c r="D2115" t="str">
        <x:v>Реанимация</x:v>
      </x:c>
      <x:c r="E2115" t="str">
        <x:v>ПРОДАЖИ: Отвалы</x:v>
      </x:c>
      <x:c r="F2115" t="str">
        <x:v>Евгения Гордиенко</x:v>
      </x:c>
      <x:c r="G2115" t="str">
        <x:v>нет</x:v>
      </x:c>
      <x:c r="H2115" t="str">
        <x:v>нет</x:v>
      </x:c>
    </x:row>
    <x:row r="2116">
      <x:c r="A2116" t="str">
        <x:v>15840</x:v>
      </x:c>
      <x:c r="B2116" t="str">
        <x:v>medsak.com</x:v>
      </x:c>
      <x:c r="C2116" t="e">
        <x:f>HYPERLINK("https://belberrycrm.bitrix24.ru/crm/deal/details/15840/","https://belberrycrm.bitrix24.ru/crm/deal/details/15840/")</x:f>
      </x:c>
      <x:c r="D2116" t="str">
        <x:v>Реанимация</x:v>
      </x:c>
      <x:c r="E2116" t="str">
        <x:v>ПРОДАЖИ: Отвалы</x:v>
      </x:c>
      <x:c r="F2116" t="str">
        <x:v>Анна Гудинова</x:v>
      </x:c>
      <x:c r="G2116" t="str">
        <x:v>нет</x:v>
      </x:c>
      <x:c r="H2116" t="str">
        <x:v>нет</x:v>
      </x:c>
    </x:row>
    <x:row r="2117">
      <x:c r="A2117" t="str">
        <x:v>15854</x:v>
      </x:c>
      <x:c r="B2117" t="str">
        <x:v>Сделка по обращению в Max (44925699)</x:v>
      </x:c>
      <x:c r="C2117" t="e">
        <x:f>HYPERLINK("https://belberrycrm.bitrix24.ru/crm/deal/details/15854/","https://belberrycrm.bitrix24.ru/crm/deal/details/15854/")</x:f>
      </x:c>
      <x:c r="D2117" t="str">
        <x:v>Реанимация</x:v>
      </x:c>
      <x:c r="E2117" t="str">
        <x:v>АРХИВ Общая</x:v>
      </x:c>
      <x:c r="F2117" t="str">
        <x:v>Екатерина Апушкина</x:v>
      </x:c>
      <x:c r="G2117" t="str">
        <x:v>нет</x:v>
      </x:c>
      <x:c r="H2117" t="str">
        <x:v>нет</x:v>
      </x:c>
    </x:row>
    <x:row r="2118">
      <x:c r="A2118" t="str">
        <x:v>15868</x:v>
      </x:c>
      <x:c r="B2118" t="str">
        <x:v>vosstanovleniemebeli.com</x:v>
      </x:c>
      <x:c r="C2118" t="e">
        <x:f>HYPERLINK("https://belberrycrm.bitrix24.ru/crm/deal/details/15868/","https://belberrycrm.bitrix24.ru/crm/deal/details/15868/")</x:f>
      </x:c>
      <x:c r="D2118" t="str">
        <x:v>Реанимация</x:v>
      </x:c>
      <x:c r="E2118" t="str">
        <x:v>ПРОДАЖИ: Отвалы</x:v>
      </x:c>
      <x:c r="F2118" t="str">
        <x:v>Евгения Гордиенко</x:v>
      </x:c>
      <x:c r="G2118" t="str">
        <x:v>да</x:v>
      </x:c>
      <x:c r="H2118" t="str">
        <x:v>нет</x:v>
      </x:c>
    </x:row>
    <x:row r="2119">
      <x:c r="A2119" t="str">
        <x:v>15880</x:v>
      </x:c>
      <x:c r="B2119" t="str">
        <x:v>univ.su</x:v>
      </x:c>
      <x:c r="C2119" t="e">
        <x:f>HYPERLINK("https://belberrycrm.bitrix24.ru/crm/deal/details/15880/","https://belberrycrm.bitrix24.ru/crm/deal/details/15880/")</x:f>
      </x:c>
      <x:c r="D2119" t="str">
        <x:v>Реанимация</x:v>
      </x:c>
      <x:c r="E2119" t="str">
        <x:v>База для реанимации</x:v>
      </x:c>
      <x:c r="F2119" t="str">
        <x:v>Евгения Гордиенко</x:v>
      </x:c>
      <x:c r="G2119" t="str">
        <x:v>да</x:v>
      </x:c>
      <x:c r="H2119" t="str">
        <x:v>нет</x:v>
      </x:c>
    </x:row>
    <x:row r="2120">
      <x:c r="A2120" t="str">
        <x:v>15886</x:v>
      </x:c>
      <x:c r="B2120" t="str">
        <x:v>dinstom.ru</x:v>
      </x:c>
      <x:c r="C2120" t="e">
        <x:f>HYPERLINK("https://belberrycrm.bitrix24.ru/crm/deal/details/15886/","https://belberrycrm.bitrix24.ru/crm/deal/details/15886/")</x:f>
      </x:c>
      <x:c r="D2120" t="str">
        <x:v>Реанимация</x:v>
      </x:c>
      <x:c r="E2120" t="str">
        <x:v>ПРОДАЖИ: Отвалы</x:v>
      </x:c>
      <x:c r="F2120" t="str">
        <x:v>Петр Дудин</x:v>
      </x:c>
      <x:c r="G2120" t="str">
        <x:v>нет</x:v>
      </x:c>
      <x:c r="H2120" t="str">
        <x:v>нет</x:v>
      </x:c>
    </x:row>
    <x:row r="2121">
      <x:c r="A2121" t="str">
        <x:v>15888</x:v>
      </x:c>
      <x:c r="B2121" t="str">
        <x:v>perezagruzkahm.ru</x:v>
      </x:c>
      <x:c r="C2121" t="e">
        <x:f>HYPERLINK("https://belberrycrm.bitrix24.ru/crm/deal/details/15888/","https://belberrycrm.bitrix24.ru/crm/deal/details/15888/")</x:f>
      </x:c>
      <x:c r="D2121" t="str">
        <x:v>Реанимация</x:v>
      </x:c>
      <x:c r="E2121" t="str">
        <x:v>База для реанимации</x:v>
      </x:c>
      <x:c r="F2121" t="str">
        <x:v>Евгения Гордиенко</x:v>
      </x:c>
      <x:c r="G2121" t="str">
        <x:v>нет</x:v>
      </x:c>
      <x:c r="H2121" t="str">
        <x:v>нет</x:v>
      </x:c>
    </x:row>
    <x:row r="2122">
      <x:c r="A2122" t="str">
        <x:v>15900</x:v>
      </x:c>
      <x:c r="B2122" t="str">
        <x:v>запчасть-авто.рф</x:v>
      </x:c>
      <x:c r="C2122" t="e">
        <x:f>HYPERLINK("https://belberrycrm.bitrix24.ru/crm/deal/details/15900/","https://belberrycrm.bitrix24.ru/crm/deal/details/15900/")</x:f>
      </x:c>
      <x:c r="D2122" t="str">
        <x:v>Реанимация</x:v>
      </x:c>
      <x:c r="E2122" t="str">
        <x:v>ПРОДАЖИ: Не сейчас</x:v>
      </x:c>
      <x:c r="F2122" t="str">
        <x:v>Петр Дудин</x:v>
      </x:c>
      <x:c r="G2122" t="str">
        <x:v>да</x:v>
      </x:c>
      <x:c r="H2122" t="str">
        <x:v>нет</x:v>
      </x:c>
    </x:row>
    <x:row r="2123">
      <x:c r="A2123" t="str">
        <x:v>15904</x:v>
      </x:c>
      <x:c r="B2123" t="str">
        <x:v>ИП Степик Денис Борисович</x:v>
      </x:c>
      <x:c r="C2123" t="e">
        <x:f>HYPERLINK("https://belberrycrm.bitrix24.ru/crm/deal/details/15904/","https://belberrycrm.bitrix24.ru/crm/deal/details/15904/")</x:f>
      </x:c>
      <x:c r="D2123" t="str">
        <x:v>Реанимация</x:v>
      </x:c>
      <x:c r="E2123" t="str">
        <x:v>База для реанимации</x:v>
      </x:c>
      <x:c r="F2123" t="str">
        <x:v>Петр Дудин</x:v>
      </x:c>
      <x:c r="G2123" t="str">
        <x:v>нет</x:v>
      </x:c>
      <x:c r="H2123" t="str">
        <x:v>нет</x:v>
      </x:c>
    </x:row>
    <x:row r="2124">
      <x:c r="A2124" t="str">
        <x:v>15918</x:v>
      </x:c>
      <x:c r="B2124" t="str">
        <x:v>rm-steel.com</x:v>
      </x:c>
      <x:c r="C2124" t="e">
        <x:f>HYPERLINK("https://belberrycrm.bitrix24.ru/crm/deal/details/15918/","https://belberrycrm.bitrix24.ru/crm/deal/details/15918/")</x:f>
      </x:c>
      <x:c r="D2124" t="str">
        <x:v>Реанимация</x:v>
      </x:c>
      <x:c r="E2124" t="str">
        <x:v>ПРОДАЖИ: Отвалы</x:v>
      </x:c>
      <x:c r="F2124" t="str">
        <x:v>Евгения Гордиенко</x:v>
      </x:c>
      <x:c r="G2124" t="str">
        <x:v>нет</x:v>
      </x:c>
      <x:c r="H2124" t="str">
        <x:v>нет</x:v>
      </x:c>
    </x:row>
    <x:row r="2125">
      <x:c r="A2125" t="str">
        <x:v>15938</x:v>
      </x:c>
      <x:c r="B2125" t="str">
        <x:v>Сергей (Косметология)</x:v>
      </x:c>
      <x:c r="C2125" t="e">
        <x:f>HYPERLINK("https://belberrycrm.bitrix24.ru/crm/deal/details/15938/","https://belberrycrm.bitrix24.ru/crm/deal/details/15938/")</x:f>
      </x:c>
      <x:c r="D2125" t="str">
        <x:v>Реанимация</x:v>
      </x:c>
      <x:c r="E2125" t="str">
        <x:v>База для реанимации</x:v>
      </x:c>
      <x:c r="F2125" t="str">
        <x:v>Анна Гудинова</x:v>
      </x:c>
      <x:c r="G2125" t="str">
        <x:v>нет</x:v>
      </x:c>
      <x:c r="H2125" t="str">
        <x:v>нет</x:v>
      </x:c>
    </x:row>
    <x:row r="2126">
      <x:c r="A2126" t="str">
        <x:v>15966</x:v>
      </x:c>
      <x:c r="B2126" t="str">
        <x:v>Даниил (бренд новый, косметика)</x:v>
      </x:c>
      <x:c r="C2126" t="e">
        <x:f>HYPERLINK("https://belberrycrm.bitrix24.ru/crm/deal/details/15966/","https://belberrycrm.bitrix24.ru/crm/deal/details/15966/")</x:f>
      </x:c>
      <x:c r="D2126" t="str">
        <x:v>Реанимация</x:v>
      </x:c>
      <x:c r="E2126" t="str">
        <x:v>База для реанимации</x:v>
      </x:c>
      <x:c r="F2126" t="str">
        <x:v>Евгения Гордиенко</x:v>
      </x:c>
      <x:c r="G2126" t="str">
        <x:v>нет</x:v>
      </x:c>
      <x:c r="H2126" t="str">
        <x:v>нет</x:v>
      </x:c>
    </x:row>
    <x:row r="2127">
      <x:c r="A2127" t="str">
        <x:v>15978</x:v>
      </x:c>
      <x:c r="B2127" t="str">
        <x:v>drserkanaygin.com</x:v>
      </x:c>
      <x:c r="C2127" t="e">
        <x:f>HYPERLINK("https://belberrycrm.bitrix24.ru/crm/deal/details/15978/","https://belberrycrm.bitrix24.ru/crm/deal/details/15978/")</x:f>
      </x:c>
      <x:c r="D2127" t="str">
        <x:v>Реанимация</x:v>
      </x:c>
      <x:c r="E2127" t="str">
        <x:v>Взят в работу</x:v>
      </x:c>
      <x:c r="F2127" t="str">
        <x:v>Анна Гудинова</x:v>
      </x:c>
      <x:c r="G2127" t="str">
        <x:v>нет</x:v>
      </x:c>
      <x:c r="H2127" t="str">
        <x:v>нет</x:v>
      </x:c>
    </x:row>
    <x:row r="2128">
      <x:c r="A2128" t="str">
        <x:v>15986</x:v>
      </x:c>
      <x:c r="B2128" t="str">
        <x:v>bg51.ru</x:v>
      </x:c>
      <x:c r="C2128" t="e">
        <x:f>HYPERLINK("https://belberrycrm.bitrix24.ru/crm/deal/details/15986/","https://belberrycrm.bitrix24.ru/crm/deal/details/15986/")</x:f>
      </x:c>
      <x:c r="D2128" t="str">
        <x:v>Реанимация</x:v>
      </x:c>
      <x:c r="E2128" t="str">
        <x:v>База для реанимации</x:v>
      </x:c>
      <x:c r="F2128" t="str">
        <x:v>Анна Гудинова</x:v>
      </x:c>
      <x:c r="G2128" t="str">
        <x:v>нет</x:v>
      </x:c>
      <x:c r="H2128" t="str">
        <x:v>нет</x:v>
      </x:c>
    </x:row>
    <x:row r="2129">
      <x:c r="A2129" t="str">
        <x:v>16022</x:v>
      </x:c>
      <x:c r="B2129" t="str">
        <x:v>woodw.ru</x:v>
      </x:c>
      <x:c r="C2129" t="e">
        <x:f>HYPERLINK("https://belberrycrm.bitrix24.ru/crm/deal/details/16022/","https://belberrycrm.bitrix24.ru/crm/deal/details/16022/")</x:f>
      </x:c>
      <x:c r="D2129" t="str">
        <x:v>Реанимация</x:v>
      </x:c>
      <x:c r="E2129" t="str">
        <x:v>База для реанимации</x:v>
      </x:c>
      <x:c r="F2129" t="str">
        <x:v>Евгения Гордиенко</x:v>
      </x:c>
      <x:c r="G2129" t="str">
        <x:v>нет</x:v>
      </x:c>
      <x:c r="H2129" t="str">
        <x:v>нет</x:v>
      </x:c>
    </x:row>
    <x:row r="2130">
      <x:c r="A2130" t="str">
        <x:v>16048</x:v>
      </x:c>
      <x:c r="B2130" t="str">
        <x:v>zhivotov.ru</x:v>
      </x:c>
      <x:c r="C2130" t="e">
        <x:f>HYPERLINK("https://belberrycrm.bitrix24.ru/crm/deal/details/16048/","https://belberrycrm.bitrix24.ru/crm/deal/details/16048/")</x:f>
      </x:c>
      <x:c r="D2130" t="str">
        <x:v>Реанимация</x:v>
      </x:c>
      <x:c r="E2130" t="str">
        <x:v>ПРОДАЖИ: Запрос цены</x:v>
      </x:c>
      <x:c r="F2130" t="str">
        <x:v>Петр Дудин</x:v>
      </x:c>
      <x:c r="G2130" t="str">
        <x:v>нет</x:v>
      </x:c>
      <x:c r="H2130" t="str">
        <x:v>нет</x:v>
      </x:c>
    </x:row>
    <x:row r="2131">
      <x:c r="A2131" t="str">
        <x:v>16050</x:v>
      </x:c>
      <x:c r="B2131" t="str">
        <x:v>Заказ интернет-магазина №160</x:v>
      </x:c>
      <x:c r="C2131" t="e">
        <x:f>HYPERLINK("https://belberrycrm.bitrix24.ru/crm/deal/details/16050/","https://belberrycrm.bitrix24.ru/crm/deal/details/16050/")</x:f>
      </x:c>
      <x:c r="D2131" t="str">
        <x:v>Реанимация</x:v>
      </x:c>
      <x:c r="E2131" t="str">
        <x:v>АРХИВ Общая</x:v>
      </x:c>
      <x:c r="F2131" t="str">
        <x:v>Екатерина Апушкина</x:v>
      </x:c>
      <x:c r="G2131" t="str">
        <x:v>нет</x:v>
      </x:c>
      <x:c r="H2131" t="str">
        <x:v>нет</x:v>
      </x:c>
    </x:row>
    <x:row r="2132">
      <x:c r="A2132" t="str">
        <x:v>16058</x:v>
      </x:c>
      <x:c r="B2132" t="str">
        <x:v>sunkarpremium.kz</x:v>
      </x:c>
      <x:c r="C2132" t="e">
        <x:f>HYPERLINK("https://belberrycrm.bitrix24.ru/crm/deal/details/16058/","https://belberrycrm.bitrix24.ru/crm/deal/details/16058/")</x:f>
      </x:c>
      <x:c r="D2132" t="str">
        <x:v>Реанимация</x:v>
      </x:c>
      <x:c r="E2132" t="str">
        <x:v>ПРОДАЖИ: Отвалы</x:v>
      </x:c>
      <x:c r="F2132" t="str">
        <x:v>Петр Дудин</x:v>
      </x:c>
      <x:c r="G2132" t="str">
        <x:v>нет</x:v>
      </x:c>
      <x:c r="H2132" t="str">
        <x:v>нет</x:v>
      </x:c>
    </x:row>
    <x:row r="2133">
      <x:c r="A2133" t="str">
        <x:v>16068</x:v>
      </x:c>
      <x:c r="B2133" t="str">
        <x:v>Заказ интернет-магазина №162</x:v>
      </x:c>
      <x:c r="C2133" t="e">
        <x:f>HYPERLINK("https://belberrycrm.bitrix24.ru/crm/deal/details/16068/","https://belberrycrm.bitrix24.ru/crm/deal/details/16068/")</x:f>
      </x:c>
      <x:c r="D2133" t="str">
        <x:v>Реанимация</x:v>
      </x:c>
      <x:c r="E2133" t="str">
        <x:v>АРХИВ Общая</x:v>
      </x:c>
      <x:c r="F2133" t="str">
        <x:v>Екатерина Апушкина</x:v>
      </x:c>
      <x:c r="G2133" t="str">
        <x:v>нет</x:v>
      </x:c>
      <x:c r="H2133" t="str">
        <x:v>нет</x:v>
      </x:c>
    </x:row>
    <x:row r="2134">
      <x:c r="A2134" t="str">
        <x:v>16074</x:v>
      </x:c>
      <x:c r="B2134" t="str">
        <x:v>Дмитрий Владимирович</x:v>
      </x:c>
      <x:c r="C2134" t="e">
        <x:f>HYPERLINK("https://belberrycrm.bitrix24.ru/crm/deal/details/16074/","https://belberrycrm.bitrix24.ru/crm/deal/details/16074/")</x:f>
      </x:c>
      <x:c r="D2134" t="str">
        <x:v>Реанимация</x:v>
      </x:c>
      <x:c r="E2134" t="str">
        <x:v>База для реанимации</x:v>
      </x:c>
      <x:c r="F2134" t="str">
        <x:v>Петр Дудин</x:v>
      </x:c>
      <x:c r="G2134" t="str">
        <x:v>нет</x:v>
      </x:c>
      <x:c r="H2134" t="str">
        <x:v>нет</x:v>
      </x:c>
    </x:row>
    <x:row r="2135">
      <x:c r="A2135" t="str">
        <x:v>16090</x:v>
      </x:c>
      <x:c r="B2135" t="str">
        <x:v>Заказ интернет-магазина №164</x:v>
      </x:c>
      <x:c r="C2135" t="e">
        <x:f>HYPERLINK("https://belberrycrm.bitrix24.ru/crm/deal/details/16090/","https://belberrycrm.bitrix24.ru/crm/deal/details/16090/")</x:f>
      </x:c>
      <x:c r="D2135" t="str">
        <x:v>Реанимация</x:v>
      </x:c>
      <x:c r="E2135" t="str">
        <x:v>АРХИВ Общая</x:v>
      </x:c>
      <x:c r="F2135" t="str">
        <x:v>Екатерина Апушкина</x:v>
      </x:c>
      <x:c r="G2135" t="str">
        <x:v>нет</x:v>
      </x:c>
      <x:c r="H2135" t="str">
        <x:v>нет</x:v>
      </x:c>
    </x:row>
    <x:row r="2136">
      <x:c r="A2136" t="str">
        <x:v>16134</x:v>
      </x:c>
      <x:c r="B2136" t="str">
        <x:v>Николай Стрекалов</x:v>
      </x:c>
      <x:c r="C2136" t="e">
        <x:f>HYPERLINK("https://belberrycrm.bitrix24.ru/crm/deal/details/16134/","https://belberrycrm.bitrix24.ru/crm/deal/details/16134/")</x:f>
      </x:c>
      <x:c r="D2136" t="str">
        <x:v>Реанимация</x:v>
      </x:c>
      <x:c r="E2136" t="str">
        <x:v>База для реанимации</x:v>
      </x:c>
      <x:c r="F2136" t="str">
        <x:v>Петр Дудин</x:v>
      </x:c>
      <x:c r="G2136" t="str">
        <x:v>нет</x:v>
      </x:c>
      <x:c r="H2136" t="str">
        <x:v>нет</x:v>
      </x:c>
    </x:row>
    <x:row r="2137">
      <x:c r="A2137" t="str">
        <x:v>16138</x:v>
      </x:c>
      <x:c r="B2137" t="str">
        <x:v>Заказ интернет-магазина №166</x:v>
      </x:c>
      <x:c r="C2137" t="e">
        <x:f>HYPERLINK("https://belberrycrm.bitrix24.ru/crm/deal/details/16138/","https://belberrycrm.bitrix24.ru/crm/deal/details/16138/")</x:f>
      </x:c>
      <x:c r="D2137" t="str">
        <x:v>Реанимация</x:v>
      </x:c>
      <x:c r="E2137" t="str">
        <x:v>АРХИВ Общая</x:v>
      </x:c>
      <x:c r="F2137" t="str">
        <x:v>Екатерина Апушкина</x:v>
      </x:c>
      <x:c r="G2137" t="str">
        <x:v>нет</x:v>
      </x:c>
      <x:c r="H2137" t="str">
        <x:v>нет</x:v>
      </x:c>
    </x:row>
    <x:row r="2138">
      <x:c r="A2138" t="str">
        <x:v>16162</x:v>
      </x:c>
      <x:c r="B2138" t="str">
        <x:v>rusago.ru</x:v>
      </x:c>
      <x:c r="C2138" t="e">
        <x:f>HYPERLINK("https://belberrycrm.bitrix24.ru/crm/deal/details/16162/","https://belberrycrm.bitrix24.ru/crm/deal/details/16162/")</x:f>
      </x:c>
      <x:c r="D2138" t="str">
        <x:v>Реанимация</x:v>
      </x:c>
      <x:c r="E2138" t="str">
        <x:v>ПРОДАЖИ: Отвалы</x:v>
      </x:c>
      <x:c r="F2138" t="str">
        <x:v>Анна Гудинова</x:v>
      </x:c>
      <x:c r="G2138" t="str">
        <x:v>да</x:v>
      </x:c>
      <x:c r="H2138" t="str">
        <x:v>нет</x:v>
      </x:c>
    </x:row>
    <x:row r="2139">
      <x:c r="A2139" t="str">
        <x:v>16168</x:v>
      </x:c>
      <x:c r="B2139" t="str">
        <x:v>Заказ интернет-магазина №168</x:v>
      </x:c>
      <x:c r="C2139" t="e">
        <x:f>HYPERLINK("https://belberrycrm.bitrix24.ru/crm/deal/details/16168/","https://belberrycrm.bitrix24.ru/crm/deal/details/16168/")</x:f>
      </x:c>
      <x:c r="D2139" t="str">
        <x:v>Реанимация</x:v>
      </x:c>
      <x:c r="E2139" t="str">
        <x:v>АРХИВ Общая</x:v>
      </x:c>
      <x:c r="F2139" t="str">
        <x:v>Екатерина Апушкина</x:v>
      </x:c>
      <x:c r="G2139" t="str">
        <x:v>нет</x:v>
      </x:c>
      <x:c r="H2139" t="str">
        <x:v>нет</x:v>
      </x:c>
    </x:row>
    <x:row r="2140">
      <x:c r="A2140" t="str">
        <x:v>16170</x:v>
      </x:c>
      <x:c r="B2140" t="str">
        <x:v>stomatolog1988.ru</x:v>
      </x:c>
      <x:c r="C2140" t="e">
        <x:f>HYPERLINK("https://belberrycrm.bitrix24.ru/crm/deal/details/16170/","https://belberrycrm.bitrix24.ru/crm/deal/details/16170/")</x:f>
      </x:c>
      <x:c r="D2140" t="str">
        <x:v>Реанимация</x:v>
      </x:c>
      <x:c r="E2140" t="str">
        <x:v>ПРОДАЖИ: Отвалы</x:v>
      </x:c>
      <x:c r="F2140" t="str">
        <x:v>Петр Дудин</x:v>
      </x:c>
      <x:c r="G2140" t="str">
        <x:v>нет</x:v>
      </x:c>
      <x:c r="H2140" t="str">
        <x:v>нет</x:v>
      </x:c>
    </x:row>
    <x:row r="2141">
      <x:c r="A2141" t="str">
        <x:v>16174</x:v>
      </x:c>
      <x:c r="B2141" t="str">
        <x:v>Заказ интернет-магазина №170</x:v>
      </x:c>
      <x:c r="C2141" t="e">
        <x:f>HYPERLINK("https://belberrycrm.bitrix24.ru/crm/deal/details/16174/","https://belberrycrm.bitrix24.ru/crm/deal/details/16174/")</x:f>
      </x:c>
      <x:c r="D2141" t="str">
        <x:v>Реанимация</x:v>
      </x:c>
      <x:c r="E2141" t="str">
        <x:v>АРХИВ Общая</x:v>
      </x:c>
      <x:c r="F2141" t="str">
        <x:v>Екатерина Апушкина</x:v>
      </x:c>
      <x:c r="G2141" t="str">
        <x:v>нет</x:v>
      </x:c>
      <x:c r="H2141" t="str">
        <x:v>нет</x:v>
      </x:c>
    </x:row>
    <x:row r="2142">
      <x:c r="A2142" t="str">
        <x:v>16244</x:v>
      </x:c>
      <x:c r="B2142" t="str">
        <x:v>Заказ интернет-магазина №172</x:v>
      </x:c>
      <x:c r="C2142" t="e">
        <x:f>HYPERLINK("https://belberrycrm.bitrix24.ru/crm/deal/details/16244/","https://belberrycrm.bitrix24.ru/crm/deal/details/16244/")</x:f>
      </x:c>
      <x:c r="D2142" t="str">
        <x:v>Реанимация</x:v>
      </x:c>
      <x:c r="E2142" t="str">
        <x:v>АРХИВ Общая</x:v>
      </x:c>
      <x:c r="F2142" t="str">
        <x:v>Екатерина Апушкина</x:v>
      </x:c>
      <x:c r="G2142" t="str">
        <x:v>нет</x:v>
      </x:c>
      <x:c r="H2142" t="str">
        <x:v>нет</x:v>
      </x:c>
    </x:row>
    <x:row r="2143">
      <x:c r="A2143" t="str">
        <x:v>16258</x:v>
      </x:c>
      <x:c r="B2143" t="str">
        <x:v>avrora.agency</x:v>
      </x:c>
      <x:c r="C2143" t="e">
        <x:f>HYPERLINK("https://belberrycrm.bitrix24.ru/crm/deal/details/16258/","https://belberrycrm.bitrix24.ru/crm/deal/details/16258/")</x:f>
      </x:c>
      <x:c r="D2143" t="str">
        <x:v>Реанимация</x:v>
      </x:c>
      <x:c r="E2143" t="str">
        <x:v>Взят в работу</x:v>
      </x:c>
      <x:c r="F2143" t="str">
        <x:v>Анна Гудинова</x:v>
      </x:c>
      <x:c r="G2143" t="str">
        <x:v>да</x:v>
      </x:c>
      <x:c r="H2143" t="str">
        <x:v>нет</x:v>
      </x:c>
    </x:row>
    <x:row r="2144">
      <x:c r="A2144" t="str">
        <x:v>16280</x:v>
      </x:c>
      <x:c r="B2144" t="str">
        <x:v>Заказ интернет-магазина №174</x:v>
      </x:c>
      <x:c r="C2144" t="e">
        <x:f>HYPERLINK("https://belberrycrm.bitrix24.ru/crm/deal/details/16280/","https://belberrycrm.bitrix24.ru/crm/deal/details/16280/")</x:f>
      </x:c>
      <x:c r="D2144" t="str">
        <x:v>Реанимация</x:v>
      </x:c>
      <x:c r="E2144" t="str">
        <x:v>АРХИВ Общая</x:v>
      </x:c>
      <x:c r="F2144" t="str">
        <x:v>Екатерина Апушкина</x:v>
      </x:c>
      <x:c r="G2144" t="str">
        <x:v>нет</x:v>
      </x:c>
      <x:c r="H2144" t="str">
        <x:v>нет</x:v>
      </x:c>
    </x:row>
    <x:row r="2145">
      <x:c r="A2145" t="str">
        <x:v>16284</x:v>
      </x:c>
      <x:c r="B2145" t="str">
        <x:v>Юлия Психолог</x:v>
      </x:c>
      <x:c r="C2145" t="e">
        <x:f>HYPERLINK("https://belberrycrm.bitrix24.ru/crm/deal/details/16284/","https://belberrycrm.bitrix24.ru/crm/deal/details/16284/")</x:f>
      </x:c>
      <x:c r="D2145" t="str">
        <x:v>Реанимация</x:v>
      </x:c>
      <x:c r="E2145" t="str">
        <x:v>База для реанимации</x:v>
      </x:c>
      <x:c r="F2145" t="str">
        <x:v>Петр Дудин</x:v>
      </x:c>
      <x:c r="G2145" t="str">
        <x:v>нет</x:v>
      </x:c>
      <x:c r="H2145" t="str">
        <x:v>нет</x:v>
      </x:c>
    </x:row>
    <x:row r="2146">
      <x:c r="A2146" t="str">
        <x:v>16314</x:v>
      </x:c>
      <x:c r="B2146" t="str">
        <x:v>Заказ интернет-магазина №176</x:v>
      </x:c>
      <x:c r="C2146" t="e">
        <x:f>HYPERLINK("https://belberrycrm.bitrix24.ru/crm/deal/details/16314/","https://belberrycrm.bitrix24.ru/crm/deal/details/16314/")</x:f>
      </x:c>
      <x:c r="D2146" t="str">
        <x:v>Реанимация</x:v>
      </x:c>
      <x:c r="E2146" t="str">
        <x:v>АРХИВ Общая</x:v>
      </x:c>
      <x:c r="F2146" t="str">
        <x:v>Екатерина Апушкина</x:v>
      </x:c>
      <x:c r="G2146" t="str">
        <x:v>нет</x:v>
      </x:c>
      <x:c r="H2146" t="str">
        <x:v>нет</x:v>
      </x:c>
    </x:row>
    <x:row r="2147">
      <x:c r="A2147" t="str">
        <x:v>16316</x:v>
      </x:c>
      <x:c r="B2147" t="str">
        <x:v>Заказ интернет-магазина №178</x:v>
      </x:c>
      <x:c r="C2147" t="e">
        <x:f>HYPERLINK("https://belberrycrm.bitrix24.ru/crm/deal/details/16316/","https://belberrycrm.bitrix24.ru/crm/deal/details/16316/")</x:f>
      </x:c>
      <x:c r="D2147" t="str">
        <x:v>Реанимация</x:v>
      </x:c>
      <x:c r="E2147" t="str">
        <x:v>АРХИВ Общая</x:v>
      </x:c>
      <x:c r="F2147" t="str">
        <x:v>Екатерина Апушкина</x:v>
      </x:c>
      <x:c r="G2147" t="str">
        <x:v>нет</x:v>
      </x:c>
      <x:c r="H2147" t="str">
        <x:v>нет</x:v>
      </x:c>
    </x:row>
    <x:row r="2148">
      <x:c r="A2148" t="str">
        <x:v>16566</x:v>
      </x:c>
      <x:c r="B2148" t="str">
        <x:v>avangard-denta.ru</x:v>
      </x:c>
      <x:c r="C2148" t="e">
        <x:f>HYPERLINK("https://belberrycrm.bitrix24.ru/crm/deal/details/16566/","https://belberrycrm.bitrix24.ru/crm/deal/details/16566/")</x:f>
      </x:c>
      <x:c r="D2148" t="str">
        <x:v>Реанимация</x:v>
      </x:c>
      <x:c r="E2148" t="str">
        <x:v>ЛИДЫ: База бывших клиентов</x:v>
      </x:c>
      <x:c r="F2148" t="str">
        <x:v>Админ всея Belberry</x:v>
      </x:c>
      <x:c r="G2148" t="str">
        <x:v>нет</x:v>
      </x:c>
      <x:c r="H2148" t="str">
        <x:v>нет</x:v>
      </x:c>
    </x:row>
    <x:row r="2149">
      <x:c r="A2149" t="str">
        <x:v>16568</x:v>
      </x:c>
      <x:c r="B2149" t="str">
        <x:v>московский-доктор.рф</x:v>
      </x:c>
      <x:c r="C2149" t="e">
        <x:f>HYPERLINK("https://belberrycrm.bitrix24.ru/crm/deal/details/16568/","https://belberrycrm.bitrix24.ru/crm/deal/details/16568/")</x:f>
      </x:c>
      <x:c r="D2149" t="str">
        <x:v>Реанимация</x:v>
      </x:c>
      <x:c r="E2149" t="str">
        <x:v>ЛИДЫ: База бывших клиентов</x:v>
      </x:c>
      <x:c r="F2149" t="str">
        <x:v>Админ всея Belberry</x:v>
      </x:c>
      <x:c r="G2149" t="str">
        <x:v>нет</x:v>
      </x:c>
      <x:c r="H2149" t="str">
        <x:v>нет</x:v>
      </x:c>
    </x:row>
    <x:row r="2150">
      <x:c r="A2150" t="str">
        <x:v>16572</x:v>
      </x:c>
      <x:c r="B2150" t="str">
        <x:v>alerta-clinic.ru</x:v>
      </x:c>
      <x:c r="C2150" t="e">
        <x:f>HYPERLINK("https://belberrycrm.bitrix24.ru/crm/deal/details/16572/","https://belberrycrm.bitrix24.ru/crm/deal/details/16572/")</x:f>
      </x:c>
      <x:c r="D2150" t="str">
        <x:v>Реанимация</x:v>
      </x:c>
      <x:c r="E2150" t="str">
        <x:v>ЛИДЫ: База бывших клиентов</x:v>
      </x:c>
      <x:c r="F2150" t="str">
        <x:v>Админ всея Belberry</x:v>
      </x:c>
      <x:c r="G2150" t="str">
        <x:v>нет</x:v>
      </x:c>
      <x:c r="H2150" t="str">
        <x:v>нет</x:v>
      </x:c>
    </x:row>
    <x:row r="2151">
      <x:c r="A2151" t="str">
        <x:v>16574</x:v>
      </x:c>
      <x:c r="B2151" t="str">
        <x:v>antica-stom.ru</x:v>
      </x:c>
      <x:c r="C2151" t="e">
        <x:f>HYPERLINK("https://belberrycrm.bitrix24.ru/crm/deal/details/16574/","https://belberrycrm.bitrix24.ru/crm/deal/details/16574/")</x:f>
      </x:c>
      <x:c r="D2151" t="str">
        <x:v>Реанимация</x:v>
      </x:c>
      <x:c r="E2151" t="str">
        <x:v>ЛИДЫ: База бывших клиентов</x:v>
      </x:c>
      <x:c r="F2151" t="str">
        <x:v>Админ всея Belberry</x:v>
      </x:c>
      <x:c r="G2151" t="str">
        <x:v>нет</x:v>
      </x:c>
      <x:c r="H2151" t="str">
        <x:v>нет</x:v>
      </x:c>
    </x:row>
    <x:row r="2152">
      <x:c r="A2152" t="str">
        <x:v>16578</x:v>
      </x:c>
      <x:c r="B2152" t="str">
        <x:v>denteyaclinic.ru</x:v>
      </x:c>
      <x:c r="C2152" t="e">
        <x:f>HYPERLINK("https://belberrycrm.bitrix24.ru/crm/deal/details/16578/","https://belberrycrm.bitrix24.ru/crm/deal/details/16578/")</x:f>
      </x:c>
      <x:c r="D2152" t="str">
        <x:v>Реанимация</x:v>
      </x:c>
      <x:c r="E2152" t="str">
        <x:v>ЛИДЫ: База бывших клиентов</x:v>
      </x:c>
      <x:c r="F2152" t="str">
        <x:v>Админ всея Belberry</x:v>
      </x:c>
      <x:c r="G2152" t="str">
        <x:v>нет</x:v>
      </x:c>
      <x:c r="H2152" t="str">
        <x:v>нет</x:v>
      </x:c>
    </x:row>
    <x:row r="2153">
      <x:c r="A2153" t="str">
        <x:v>16584</x:v>
      </x:c>
      <x:c r="B2153" t="str">
        <x:v>gelios-med.ru</x:v>
      </x:c>
      <x:c r="C2153" t="e">
        <x:f>HYPERLINK("https://belberrycrm.bitrix24.ru/crm/deal/details/16584/","https://belberrycrm.bitrix24.ru/crm/deal/details/16584/")</x:f>
      </x:c>
      <x:c r="D2153" t="str">
        <x:v>Реанимация</x:v>
      </x:c>
      <x:c r="E2153" t="str">
        <x:v>ЛИДЫ: База бывших клиентов</x:v>
      </x:c>
      <x:c r="F2153" t="str">
        <x:v>Админ всея Belberry</x:v>
      </x:c>
      <x:c r="G2153" t="str">
        <x:v>нет</x:v>
      </x:c>
      <x:c r="H2153" t="str">
        <x:v>нет</x:v>
      </x:c>
    </x:row>
    <x:row r="2154">
      <x:c r="A2154" t="str">
        <x:v>16586</x:v>
      </x:c>
      <x:c r="B2154" t="str">
        <x:v>listratenkov.ru</x:v>
      </x:c>
      <x:c r="C2154" t="e">
        <x:f>HYPERLINK("https://belberrycrm.bitrix24.ru/crm/deal/details/16586/","https://belberrycrm.bitrix24.ru/crm/deal/details/16586/")</x:f>
      </x:c>
      <x:c r="D2154" t="str">
        <x:v>Реанимация</x:v>
      </x:c>
      <x:c r="E2154" t="str">
        <x:v>ЛИДЫ: База бывших клиентов</x:v>
      </x:c>
      <x:c r="F2154" t="str">
        <x:v>Админ всея Belberry</x:v>
      </x:c>
      <x:c r="G2154" t="str">
        <x:v>нет</x:v>
      </x:c>
      <x:c r="H2154" t="str">
        <x:v>нет</x:v>
      </x:c>
    </x:row>
    <x:row r="2155">
      <x:c r="A2155" t="str">
        <x:v>16588</x:v>
      </x:c>
      <x:c r="B2155" t="str">
        <x:v>medvedent.ru</x:v>
      </x:c>
      <x:c r="C2155" t="e">
        <x:f>HYPERLINK("https://belberrycrm.bitrix24.ru/crm/deal/details/16588/","https://belberrycrm.bitrix24.ru/crm/deal/details/16588/")</x:f>
      </x:c>
      <x:c r="D2155" t="str">
        <x:v>Реанимация</x:v>
      </x:c>
      <x:c r="E2155" t="str">
        <x:v>ЛИДЫ: База бывших клиентов</x:v>
      </x:c>
      <x:c r="F2155" t="str">
        <x:v>Админ всея Belberry</x:v>
      </x:c>
      <x:c r="G2155" t="str">
        <x:v>нет</x:v>
      </x:c>
      <x:c r="H2155" t="str">
        <x:v>нет</x:v>
      </x:c>
    </x:row>
    <x:row r="2156">
      <x:c r="A2156" t="str">
        <x:v>16594</x:v>
      </x:c>
      <x:c r="B2156" t="str">
        <x:v>soliddent.ru</x:v>
      </x:c>
      <x:c r="C2156" t="e">
        <x:f>HYPERLINK("https://belberrycrm.bitrix24.ru/crm/deal/details/16594/","https://belberrycrm.bitrix24.ru/crm/deal/details/16594/")</x:f>
      </x:c>
      <x:c r="D2156" t="str">
        <x:v>Реанимация</x:v>
      </x:c>
      <x:c r="E2156" t="str">
        <x:v>ЛИДЫ: База бывших клиентов</x:v>
      </x:c>
      <x:c r="F2156" t="str">
        <x:v>Админ всея Belberry</x:v>
      </x:c>
      <x:c r="G2156" t="str">
        <x:v>нет</x:v>
      </x:c>
      <x:c r="H2156" t="str">
        <x:v>нет</x:v>
      </x:c>
    </x:row>
    <x:row r="2157">
      <x:c r="A2157" t="str">
        <x:v>16598</x:v>
      </x:c>
      <x:c r="B2157" t="str">
        <x:v>dentalmoscow.ru</x:v>
      </x:c>
      <x:c r="C2157" t="e">
        <x:f>HYPERLINK("https://belberrycrm.bitrix24.ru/crm/deal/details/16598/","https://belberrycrm.bitrix24.ru/crm/deal/details/16598/")</x:f>
      </x:c>
      <x:c r="D2157" t="str">
        <x:v>Реанимация</x:v>
      </x:c>
      <x:c r="E2157" t="str">
        <x:v>ЛИДЫ: База бывших клиентов</x:v>
      </x:c>
      <x:c r="F2157" t="str">
        <x:v>Админ всея Belberry</x:v>
      </x:c>
      <x:c r="G2157" t="str">
        <x:v>нет</x:v>
      </x:c>
      <x:c r="H2157" t="str">
        <x:v>нет</x:v>
      </x:c>
    </x:row>
    <x:row r="2158">
      <x:c r="A2158" t="str">
        <x:v>16600</x:v>
      </x:c>
      <x:c r="B2158" t="str">
        <x:v>klinikams.ru</x:v>
      </x:c>
      <x:c r="C2158" t="e">
        <x:f>HYPERLINK("https://belberrycrm.bitrix24.ru/crm/deal/details/16600/","https://belberrycrm.bitrix24.ru/crm/deal/details/16600/")</x:f>
      </x:c>
      <x:c r="D2158" t="str">
        <x:v>Реанимация</x:v>
      </x:c>
      <x:c r="E2158" t="str">
        <x:v>ЛИДЫ: База бывших клиентов</x:v>
      </x:c>
      <x:c r="F2158" t="str">
        <x:v>Админ всея Belberry</x:v>
      </x:c>
      <x:c r="G2158" t="str">
        <x:v>нет</x:v>
      </x:c>
      <x:c r="H2158" t="str">
        <x:v>нет</x:v>
      </x:c>
    </x:row>
    <x:row r="2159">
      <x:c r="A2159" t="str">
        <x:v>16604</x:v>
      </x:c>
      <x:c r="B2159" t="str">
        <x:v>vsstom.ru</x:v>
      </x:c>
      <x:c r="C2159" t="e">
        <x:f>HYPERLINK("https://belberrycrm.bitrix24.ru/crm/deal/details/16604/","https://belberrycrm.bitrix24.ru/crm/deal/details/16604/")</x:f>
      </x:c>
      <x:c r="D2159" t="str">
        <x:v>Реанимация</x:v>
      </x:c>
      <x:c r="E2159" t="str">
        <x:v>ЛИДЫ: База бывших клиентов</x:v>
      </x:c>
      <x:c r="F2159" t="str">
        <x:v>Админ всея Belberry</x:v>
      </x:c>
      <x:c r="G2159" t="str">
        <x:v>да</x:v>
      </x:c>
      <x:c r="H2159" t="str">
        <x:v>нет</x:v>
      </x:c>
    </x:row>
    <x:row r="2160">
      <x:c r="A2160" t="str">
        <x:v>16608</x:v>
      </x:c>
      <x:c r="B2160" t="str">
        <x:v>yeclinic.ru</x:v>
      </x:c>
      <x:c r="C2160" t="e">
        <x:f>HYPERLINK("https://belberrycrm.bitrix24.ru/crm/deal/details/16608/","https://belberrycrm.bitrix24.ru/crm/deal/details/16608/")</x:f>
      </x:c>
      <x:c r="D2160" t="str">
        <x:v>Реанимация</x:v>
      </x:c>
      <x:c r="E2160" t="str">
        <x:v>ЛИДЫ: База бывших клиентов</x:v>
      </x:c>
      <x:c r="F2160" t="str">
        <x:v>Админ всея Belberry</x:v>
      </x:c>
      <x:c r="G2160" t="str">
        <x:v>да</x:v>
      </x:c>
      <x:c r="H2160" t="str">
        <x:v>нет</x:v>
      </x:c>
    </x:row>
    <x:row r="2161">
      <x:c r="A2161" t="str">
        <x:v>16610</x:v>
      </x:c>
      <x:c r="B2161" t="str">
        <x:v>yusupovs.com</x:v>
      </x:c>
      <x:c r="C2161" t="e">
        <x:f>HYPERLINK("https://belberrycrm.bitrix24.ru/crm/deal/details/16610/","https://belberrycrm.bitrix24.ru/crm/deal/details/16610/")</x:f>
      </x:c>
      <x:c r="D2161" t="str">
        <x:v>Реанимация</x:v>
      </x:c>
      <x:c r="E2161" t="str">
        <x:v>ЛИДЫ: База бывших клиентов</x:v>
      </x:c>
      <x:c r="F2161" t="str">
        <x:v>Админ всея Belberry</x:v>
      </x:c>
      <x:c r="G2161" t="str">
        <x:v>нет</x:v>
      </x:c>
      <x:c r="H2161" t="str">
        <x:v>нет</x:v>
      </x:c>
    </x:row>
    <x:row r="2162">
      <x:c r="A2162" t="str">
        <x:v>16616</x:v>
      </x:c>
      <x:c r="B2162" t="str">
        <x:v>medis-spb.ru</x:v>
      </x:c>
      <x:c r="C2162" t="e">
        <x:f>HYPERLINK("https://belberrycrm.bitrix24.ru/crm/deal/details/16616/","https://belberrycrm.bitrix24.ru/crm/deal/details/16616/")</x:f>
      </x:c>
      <x:c r="D2162" t="str">
        <x:v>Реанимация</x:v>
      </x:c>
      <x:c r="E2162" t="str">
        <x:v>ЛИДЫ: База бывших клиентов</x:v>
      </x:c>
      <x:c r="F2162" t="str">
        <x:v>Админ всея Belberry</x:v>
      </x:c>
      <x:c r="G2162" t="str">
        <x:v>нет</x:v>
      </x:c>
      <x:c r="H2162" t="str">
        <x:v>нет</x:v>
      </x:c>
    </x:row>
    <x:row r="2163">
      <x:c r="A2163" t="str">
        <x:v>16622</x:v>
      </x:c>
      <x:c r="B2163" t="str">
        <x:v>fivestarsdent.ru</x:v>
      </x:c>
      <x:c r="C2163" t="e">
        <x:f>HYPERLINK("https://belberrycrm.bitrix24.ru/crm/deal/details/16622/","https://belberrycrm.bitrix24.ru/crm/deal/details/16622/")</x:f>
      </x:c>
      <x:c r="D2163" t="str">
        <x:v>Реанимация</x:v>
      </x:c>
      <x:c r="E2163" t="str">
        <x:v>ЛИДЫ: База бывших клиентов</x:v>
      </x:c>
      <x:c r="F2163" t="str">
        <x:v>Админ всея Belberry</x:v>
      </x:c>
      <x:c r="G2163" t="str">
        <x:v>нет</x:v>
      </x:c>
      <x:c r="H2163" t="str">
        <x:v>нет</x:v>
      </x:c>
    </x:row>
    <x:row r="2164">
      <x:c r="A2164" t="str">
        <x:v>16626</x:v>
      </x:c>
      <x:c r="B2164" t="str">
        <x:v>medical-star24.ru</x:v>
      </x:c>
      <x:c r="C2164" t="e">
        <x:f>HYPERLINK("https://belberrycrm.bitrix24.ru/crm/deal/details/16626/","https://belberrycrm.bitrix24.ru/crm/deal/details/16626/")</x:f>
      </x:c>
      <x:c r="D2164" t="str">
        <x:v>Реанимация</x:v>
      </x:c>
      <x:c r="E2164" t="str">
        <x:v>ЛИДЫ: База бывших клиентов</x:v>
      </x:c>
      <x:c r="F2164" t="str">
        <x:v>Админ всея Belberry</x:v>
      </x:c>
      <x:c r="G2164" t="str">
        <x:v>нет</x:v>
      </x:c>
      <x:c r="H2164" t="str">
        <x:v>нет</x:v>
      </x:c>
    </x:row>
    <x:row r="2165">
      <x:c r="A2165" t="str">
        <x:v>16628</x:v>
      </x:c>
      <x:c r="B2165" t="str">
        <x:v>teodorus.art</x:v>
      </x:c>
      <x:c r="C2165" t="e">
        <x:f>HYPERLINK("https://belberrycrm.bitrix24.ru/crm/deal/details/16628/","https://belberrycrm.bitrix24.ru/crm/deal/details/16628/")</x:f>
      </x:c>
      <x:c r="D2165" t="str">
        <x:v>Реанимация</x:v>
      </x:c>
      <x:c r="E2165" t="str">
        <x:v>ЛИДЫ: База бывших клиентов</x:v>
      </x:c>
      <x:c r="F2165" t="str">
        <x:v>Админ всея Belberry</x:v>
      </x:c>
      <x:c r="G2165" t="str">
        <x:v>нет</x:v>
      </x:c>
      <x:c r="H2165" t="str">
        <x:v>нет</x:v>
      </x:c>
    </x:row>
    <x:row r="2166">
      <x:c r="A2166" t="str">
        <x:v>16636</x:v>
      </x:c>
      <x:c r="B2166" t="str">
        <x:v>bodyestetic.ru</x:v>
      </x:c>
      <x:c r="C2166" t="e">
        <x:f>HYPERLINK("https://belberrycrm.bitrix24.ru/crm/deal/details/16636/","https://belberrycrm.bitrix24.ru/crm/deal/details/16636/")</x:f>
      </x:c>
      <x:c r="D2166" t="str">
        <x:v>Реанимация</x:v>
      </x:c>
      <x:c r="E2166" t="str">
        <x:v>ЛИДЫ: База бывших клиентов</x:v>
      </x:c>
      <x:c r="F2166" t="str">
        <x:v>Админ всея Belberry</x:v>
      </x:c>
      <x:c r="G2166" t="str">
        <x:v>нет</x:v>
      </x:c>
      <x:c r="H2166" t="str">
        <x:v>нет</x:v>
      </x:c>
    </x:row>
    <x:row r="2167">
      <x:c r="A2167" t="str">
        <x:v>16638</x:v>
      </x:c>
      <x:c r="B2167" t="str">
        <x:v>dentpremium.ru</x:v>
      </x:c>
      <x:c r="C2167" t="e">
        <x:f>HYPERLINK("https://belberrycrm.bitrix24.ru/crm/deal/details/16638/","https://belberrycrm.bitrix24.ru/crm/deal/details/16638/")</x:f>
      </x:c>
      <x:c r="D2167" t="str">
        <x:v>Реанимация</x:v>
      </x:c>
      <x:c r="E2167" t="str">
        <x:v>ЛИДЫ: База бывших клиентов</x:v>
      </x:c>
      <x:c r="F2167" t="str">
        <x:v>Админ всея Belberry</x:v>
      </x:c>
      <x:c r="G2167" t="str">
        <x:v>нет</x:v>
      </x:c>
      <x:c r="H2167" t="str">
        <x:v>нет</x:v>
      </x:c>
    </x:row>
    <x:row r="2168">
      <x:c r="A2168" t="str">
        <x:v>16642</x:v>
      </x:c>
      <x:c r="B2168" t="str">
        <x:v>forsmile.ru</x:v>
      </x:c>
      <x:c r="C2168" t="e">
        <x:f>HYPERLINK("https://belberrycrm.bitrix24.ru/crm/deal/details/16642/","https://belberrycrm.bitrix24.ru/crm/deal/details/16642/")</x:f>
      </x:c>
      <x:c r="D2168" t="str">
        <x:v>Реанимация</x:v>
      </x:c>
      <x:c r="E2168" t="str">
        <x:v>ЛИДЫ: База бывших клиентов</x:v>
      </x:c>
      <x:c r="F2168" t="str">
        <x:v>Админ всея Belberry</x:v>
      </x:c>
      <x:c r="G2168" t="str">
        <x:v>нет</x:v>
      </x:c>
      <x:c r="H2168" t="str">
        <x:v>нет</x:v>
      </x:c>
    </x:row>
    <x:row r="2169">
      <x:c r="A2169" t="str">
        <x:v>16644</x:v>
      </x:c>
      <x:c r="B2169" t="str">
        <x:v>glarus51.ru</x:v>
      </x:c>
      <x:c r="C2169" t="e">
        <x:f>HYPERLINK("https://belberrycrm.bitrix24.ru/crm/deal/details/16644/","https://belberrycrm.bitrix24.ru/crm/deal/details/16644/")</x:f>
      </x:c>
      <x:c r="D2169" t="str">
        <x:v>Реанимация</x:v>
      </x:c>
      <x:c r="E2169" t="str">
        <x:v>ЛИДЫ: База бывших клиентов</x:v>
      </x:c>
      <x:c r="F2169" t="str">
        <x:v>Админ всея Belberry</x:v>
      </x:c>
      <x:c r="G2169" t="str">
        <x:v>нет</x:v>
      </x:c>
      <x:c r="H2169" t="str">
        <x:v>нет</x:v>
      </x:c>
    </x:row>
    <x:row r="2170">
      <x:c r="A2170" t="str">
        <x:v>16648</x:v>
      </x:c>
      <x:c r="B2170" t="str">
        <x:v>med-alliance.ru</x:v>
      </x:c>
      <x:c r="C2170" t="e">
        <x:f>HYPERLINK("https://belberrycrm.bitrix24.ru/crm/deal/details/16648/","https://belberrycrm.bitrix24.ru/crm/deal/details/16648/")</x:f>
      </x:c>
      <x:c r="D2170" t="str">
        <x:v>Реанимация</x:v>
      </x:c>
      <x:c r="E2170" t="str">
        <x:v>ЛИДЫ: База бывших клиентов</x:v>
      </x:c>
      <x:c r="F2170" t="str">
        <x:v>Админ всея Belberry</x:v>
      </x:c>
      <x:c r="G2170" t="str">
        <x:v>нет</x:v>
      </x:c>
      <x:c r="H2170" t="str">
        <x:v>нет</x:v>
      </x:c>
    </x:row>
    <x:row r="2171">
      <x:c r="A2171" t="str">
        <x:v>16652</x:v>
      </x:c>
      <x:c r="B2171" t="str">
        <x:v>missdent.ru</x:v>
      </x:c>
      <x:c r="C2171" t="e">
        <x:f>HYPERLINK("https://belberrycrm.bitrix24.ru/crm/deal/details/16652/","https://belberrycrm.bitrix24.ru/crm/deal/details/16652/")</x:f>
      </x:c>
      <x:c r="D2171" t="str">
        <x:v>Реанимация</x:v>
      </x:c>
      <x:c r="E2171" t="str">
        <x:v>ЛИДЫ: База бывших клиентов</x:v>
      </x:c>
      <x:c r="F2171" t="str">
        <x:v>Админ всея Belberry</x:v>
      </x:c>
      <x:c r="G2171" t="str">
        <x:v>нет</x:v>
      </x:c>
      <x:c r="H2171" t="str">
        <x:v>нет</x:v>
      </x:c>
    </x:row>
    <x:row r="2172">
      <x:c r="A2172" t="str">
        <x:v>16656</x:v>
      </x:c>
      <x:c r="B2172" t="str">
        <x:v>podocenter.ru</x:v>
      </x:c>
      <x:c r="C2172" t="e">
        <x:f>HYPERLINK("https://belberrycrm.bitrix24.ru/crm/deal/details/16656/","https://belberrycrm.bitrix24.ru/crm/deal/details/16656/")</x:f>
      </x:c>
      <x:c r="D2172" t="str">
        <x:v>Реанимация</x:v>
      </x:c>
      <x:c r="E2172" t="str">
        <x:v>ЛИДЫ: База бывших клиентов</x:v>
      </x:c>
      <x:c r="F2172" t="str">
        <x:v>Админ всея Belberry</x:v>
      </x:c>
      <x:c r="G2172" t="str">
        <x:v>да</x:v>
      </x:c>
      <x:c r="H2172" t="str">
        <x:v>нет</x:v>
      </x:c>
    </x:row>
    <x:row r="2173">
      <x:c r="A2173" t="str">
        <x:v>16658</x:v>
      </x:c>
      <x:c r="B2173" t="str">
        <x:v>stominmoscow.ru</x:v>
      </x:c>
      <x:c r="C2173" t="e">
        <x:f>HYPERLINK("https://belberrycrm.bitrix24.ru/crm/deal/details/16658/","https://belberrycrm.bitrix24.ru/crm/deal/details/16658/")</x:f>
      </x:c>
      <x:c r="D2173" t="str">
        <x:v>Реанимация</x:v>
      </x:c>
      <x:c r="E2173" t="str">
        <x:v>ЛИДЫ: База бывших клиентов</x:v>
      </x:c>
      <x:c r="F2173" t="str">
        <x:v>Админ всея Belberry</x:v>
      </x:c>
      <x:c r="G2173" t="str">
        <x:v>нет</x:v>
      </x:c>
      <x:c r="H2173" t="str">
        <x:v>нет</x:v>
      </x:c>
    </x:row>
    <x:row r="2174">
      <x:c r="A2174" t="str">
        <x:v>16660</x:v>
      </x:c>
      <x:c r="B2174" t="str">
        <x:v>trilogia.clinic</x:v>
      </x:c>
      <x:c r="C2174" t="e">
        <x:f>HYPERLINK("https://belberrycrm.bitrix24.ru/crm/deal/details/16660/","https://belberrycrm.bitrix24.ru/crm/deal/details/16660/")</x:f>
      </x:c>
      <x:c r="D2174" t="str">
        <x:v>Реанимация</x:v>
      </x:c>
      <x:c r="E2174" t="str">
        <x:v>ЛИДЫ: База бывших клиентов</x:v>
      </x:c>
      <x:c r="F2174" t="str">
        <x:v>Админ всея Belberry</x:v>
      </x:c>
      <x:c r="G2174" t="str">
        <x:v>нет</x:v>
      </x:c>
      <x:c r="H2174" t="str">
        <x:v>нет</x:v>
      </x:c>
    </x:row>
    <x:row r="2175">
      <x:c r="A2175" t="str">
        <x:v>16662</x:v>
      </x:c>
      <x:c r="B2175" t="str">
        <x:v>vizhuvse.ru</x:v>
      </x:c>
      <x:c r="C2175" t="e">
        <x:f>HYPERLINK("https://belberrycrm.bitrix24.ru/crm/deal/details/16662/","https://belberrycrm.bitrix24.ru/crm/deal/details/16662/")</x:f>
      </x:c>
      <x:c r="D2175" t="str">
        <x:v>Реанимация</x:v>
      </x:c>
      <x:c r="E2175" t="str">
        <x:v>ЛИДЫ: База бывших клиентов</x:v>
      </x:c>
      <x:c r="F2175" t="str">
        <x:v>Админ всея Belberry</x:v>
      </x:c>
      <x:c r="G2175" t="str">
        <x:v>нет</x:v>
      </x:c>
      <x:c r="H2175" t="str">
        <x:v>нет</x:v>
      </x:c>
    </x:row>
    <x:row r="2176">
      <x:c r="A2176" t="str">
        <x:v>16664</x:v>
      </x:c>
      <x:c r="B2176" t="str">
        <x:v>noradent-med.ru</x:v>
      </x:c>
      <x:c r="C2176" t="e">
        <x:f>HYPERLINK("https://belberrycrm.bitrix24.ru/crm/deal/details/16664/","https://belberrycrm.bitrix24.ru/crm/deal/details/16664/")</x:f>
      </x:c>
      <x:c r="D2176" t="str">
        <x:v>Реанимация</x:v>
      </x:c>
      <x:c r="E2176" t="str">
        <x:v>ЛИДЫ: База бывших клиентов</x:v>
      </x:c>
      <x:c r="F2176" t="str">
        <x:v>Админ всея Belberry</x:v>
      </x:c>
      <x:c r="G2176" t="str">
        <x:v>да</x:v>
      </x:c>
      <x:c r="H2176" t="str">
        <x:v>нет</x:v>
      </x:c>
    </x:row>
    <x:row r="2177">
      <x:c r="A2177" t="str">
        <x:v>16666</x:v>
      </x:c>
      <x:c r="B2177" t="str">
        <x:v>body-project.ru</x:v>
      </x:c>
      <x:c r="C2177" t="e">
        <x:f>HYPERLINK("https://belberrycrm.bitrix24.ru/crm/deal/details/16666/","https://belberrycrm.bitrix24.ru/crm/deal/details/16666/")</x:f>
      </x:c>
      <x:c r="D2177" t="str">
        <x:v>Реанимация</x:v>
      </x:c>
      <x:c r="E2177" t="str">
        <x:v>ЛИДЫ: База бывших клиентов</x:v>
      </x:c>
      <x:c r="F2177" t="str">
        <x:v>Админ всея Belberry</x:v>
      </x:c>
      <x:c r="G2177" t="str">
        <x:v>нет</x:v>
      </x:c>
      <x:c r="H2177" t="str">
        <x:v>нет</x:v>
      </x:c>
    </x:row>
    <x:row r="2178">
      <x:c r="A2178" t="str">
        <x:v>16668</x:v>
      </x:c>
      <x:c r="B2178" t="str">
        <x:v>dentalnatureoflife.ru</x:v>
      </x:c>
      <x:c r="C2178" t="e">
        <x:f>HYPERLINK("https://belberrycrm.bitrix24.ru/crm/deal/details/16668/","https://belberrycrm.bitrix24.ru/crm/deal/details/16668/")</x:f>
      </x:c>
      <x:c r="D2178" t="str">
        <x:v>Реанимация</x:v>
      </x:c>
      <x:c r="E2178" t="str">
        <x:v>ЛИДЫ: База бывших клиентов</x:v>
      </x:c>
      <x:c r="F2178" t="str">
        <x:v>Админ всея Belberry</x:v>
      </x:c>
      <x:c r="G2178" t="str">
        <x:v>нет</x:v>
      </x:c>
      <x:c r="H2178" t="str">
        <x:v>нет</x:v>
      </x:c>
    </x:row>
    <x:row r="2179">
      <x:c r="A2179" t="str">
        <x:v>16670</x:v>
      </x:c>
      <x:c r="B2179" t="str">
        <x:v>infacial.ru</x:v>
      </x:c>
      <x:c r="C2179" t="e">
        <x:f>HYPERLINK("https://belberrycrm.bitrix24.ru/crm/deal/details/16670/","https://belberrycrm.bitrix24.ru/crm/deal/details/16670/")</x:f>
      </x:c>
      <x:c r="D2179" t="str">
        <x:v>Реанимация</x:v>
      </x:c>
      <x:c r="E2179" t="str">
        <x:v>ЛИДЫ: База бывших клиентов</x:v>
      </x:c>
      <x:c r="F2179" t="str">
        <x:v>Админ всея Belberry</x:v>
      </x:c>
      <x:c r="G2179" t="str">
        <x:v>нет</x:v>
      </x:c>
      <x:c r="H2179" t="str">
        <x:v>нет</x:v>
      </x:c>
    </x:row>
    <x:row r="2180">
      <x:c r="A2180" t="str">
        <x:v>16672</x:v>
      </x:c>
      <x:c r="B2180" t="str">
        <x:v>bioniclinic.ru</x:v>
      </x:c>
      <x:c r="C2180" t="e">
        <x:f>HYPERLINK("https://belberrycrm.bitrix24.ru/crm/deal/details/16672/","https://belberrycrm.bitrix24.ru/crm/deal/details/16672/")</x:f>
      </x:c>
      <x:c r="D2180" t="str">
        <x:v>Реанимация</x:v>
      </x:c>
      <x:c r="E2180" t="str">
        <x:v>ЛИДЫ: База бывших клиентов</x:v>
      </x:c>
      <x:c r="F2180" t="str">
        <x:v>Админ всея Belberry</x:v>
      </x:c>
      <x:c r="G2180" t="str">
        <x:v>нет</x:v>
      </x:c>
      <x:c r="H2180" t="str">
        <x:v>нет</x:v>
      </x:c>
    </x:row>
    <x:row r="2181">
      <x:c r="A2181" t="str">
        <x:v>16674</x:v>
      </x:c>
      <x:c r="B2181" t="str">
        <x:v>medikryadom.ru</x:v>
      </x:c>
      <x:c r="C2181" t="e">
        <x:f>HYPERLINK("https://belberrycrm.bitrix24.ru/crm/deal/details/16674/","https://belberrycrm.bitrix24.ru/crm/deal/details/16674/")</x:f>
      </x:c>
      <x:c r="D2181" t="str">
        <x:v>Реанимация</x:v>
      </x:c>
      <x:c r="E2181" t="str">
        <x:v>ЛИДЫ: База бывших клиентов</x:v>
      </x:c>
      <x:c r="F2181" t="str">
        <x:v>Админ всея Belberry</x:v>
      </x:c>
      <x:c r="G2181" t="str">
        <x:v>нет</x:v>
      </x:c>
      <x:c r="H2181" t="str">
        <x:v>нет</x:v>
      </x:c>
    </x:row>
    <x:row r="2182">
      <x:c r="A2182" t="str">
        <x:v>16676</x:v>
      </x:c>
      <x:c r="B2182" t="str">
        <x:v>lipclinic.ru</x:v>
      </x:c>
      <x:c r="C2182" t="e">
        <x:f>HYPERLINK("https://belberrycrm.bitrix24.ru/crm/deal/details/16676/","https://belberrycrm.bitrix24.ru/crm/deal/details/16676/")</x:f>
      </x:c>
      <x:c r="D2182" t="str">
        <x:v>Реанимация</x:v>
      </x:c>
      <x:c r="E2182" t="str">
        <x:v>ЛИДЫ: База бывших клиентов</x:v>
      </x:c>
      <x:c r="F2182" t="str">
        <x:v>Админ всея Belberry</x:v>
      </x:c>
      <x:c r="G2182" t="str">
        <x:v>нет</x:v>
      </x:c>
      <x:c r="H2182" t="str">
        <x:v>нет</x:v>
      </x:c>
    </x:row>
    <x:row r="2183">
      <x:c r="A2183" t="str">
        <x:v>16678</x:v>
      </x:c>
      <x:c r="B2183" t="str">
        <x:v>avivir.ru</x:v>
      </x:c>
      <x:c r="C2183" t="e">
        <x:f>HYPERLINK("https://belberrycrm.bitrix24.ru/crm/deal/details/16678/","https://belberrycrm.bitrix24.ru/crm/deal/details/16678/")</x:f>
      </x:c>
      <x:c r="D2183" t="str">
        <x:v>Реанимация</x:v>
      </x:c>
      <x:c r="E2183" t="str">
        <x:v>ЛИДЫ: База бывших клиентов</x:v>
      </x:c>
      <x:c r="F2183" t="str">
        <x:v>Админ всея Belberry</x:v>
      </x:c>
      <x:c r="G2183" t="str">
        <x:v>нет</x:v>
      </x:c>
      <x:c r="H2183" t="str">
        <x:v>нет</x:v>
      </x:c>
    </x:row>
    <x:row r="2184">
      <x:c r="A2184" t="str">
        <x:v>16680</x:v>
      </x:c>
      <x:c r="B2184" t="str">
        <x:v>lazerstom.ru</x:v>
      </x:c>
      <x:c r="C2184" t="e">
        <x:f>HYPERLINK("https://belberrycrm.bitrix24.ru/crm/deal/details/16680/","https://belberrycrm.bitrix24.ru/crm/deal/details/16680/")</x:f>
      </x:c>
      <x:c r="D2184" t="str">
        <x:v>Реанимация</x:v>
      </x:c>
      <x:c r="E2184" t="str">
        <x:v>ЛИДЫ: База бывших клиентов</x:v>
      </x:c>
      <x:c r="F2184" t="str">
        <x:v>Админ всея Belberry</x:v>
      </x:c>
      <x:c r="G2184" t="str">
        <x:v>нет</x:v>
      </x:c>
      <x:c r="H2184" t="str">
        <x:v>нет</x:v>
      </x:c>
    </x:row>
    <x:row r="2185">
      <x:c r="A2185" t="str">
        <x:v>16686</x:v>
      </x:c>
      <x:c r="B2185" t="str">
        <x:v>neweuropa.ru</x:v>
      </x:c>
      <x:c r="C2185" t="e">
        <x:f>HYPERLINK("https://belberrycrm.bitrix24.ru/crm/deal/details/16686/","https://belberrycrm.bitrix24.ru/crm/deal/details/16686/")</x:f>
      </x:c>
      <x:c r="D2185" t="str">
        <x:v>Реанимация</x:v>
      </x:c>
      <x:c r="E2185" t="str">
        <x:v>ЛИДЫ: База бывших клиентов</x:v>
      </x:c>
      <x:c r="F2185" t="str">
        <x:v>Админ всея Belberry</x:v>
      </x:c>
      <x:c r="G2185" t="str">
        <x:v>нет</x:v>
      </x:c>
      <x:c r="H2185" t="str">
        <x:v>нет</x:v>
      </x:c>
    </x:row>
    <x:row r="2186">
      <x:c r="A2186" t="str">
        <x:v>16690</x:v>
      </x:c>
      <x:c r="B2186" t="str">
        <x:v>cmdkaluga.ru</x:v>
      </x:c>
      <x:c r="C2186" t="e">
        <x:f>HYPERLINK("https://belberrycrm.bitrix24.ru/crm/deal/details/16690/","https://belberrycrm.bitrix24.ru/crm/deal/details/16690/")</x:f>
      </x:c>
      <x:c r="D2186" t="str">
        <x:v>Реанимация</x:v>
      </x:c>
      <x:c r="E2186" t="str">
        <x:v>ЛИДЫ: База бывших клиентов</x:v>
      </x:c>
      <x:c r="F2186" t="str">
        <x:v>Админ всея Belberry</x:v>
      </x:c>
      <x:c r="G2186" t="str">
        <x:v>нет</x:v>
      </x:c>
      <x:c r="H2186" t="str">
        <x:v>нет</x:v>
      </x:c>
    </x:row>
    <x:row r="2187">
      <x:c r="A2187" t="str">
        <x:v>16692</x:v>
      </x:c>
      <x:c r="B2187" t="str">
        <x:v>стоматология-ступино.рф</x:v>
      </x:c>
      <x:c r="C2187" t="e">
        <x:f>HYPERLINK("https://belberrycrm.bitrix24.ru/crm/deal/details/16692/","https://belberrycrm.bitrix24.ru/crm/deal/details/16692/")</x:f>
      </x:c>
      <x:c r="D2187" t="str">
        <x:v>Реанимация</x:v>
      </x:c>
      <x:c r="E2187" t="str">
        <x:v>ЛИДЫ: База бывших клиентов</x:v>
      </x:c>
      <x:c r="F2187" t="str">
        <x:v>Админ всея Belberry</x:v>
      </x:c>
      <x:c r="G2187" t="str">
        <x:v>нет</x:v>
      </x:c>
      <x:c r="H2187" t="str">
        <x:v>нет</x:v>
      </x:c>
    </x:row>
    <x:row r="2188">
      <x:c r="A2188" t="str">
        <x:v>16694</x:v>
      </x:c>
      <x:c r="B2188" t="str">
        <x:v>mobileortho.ru</x:v>
      </x:c>
      <x:c r="C2188" t="e">
        <x:f>HYPERLINK("https://belberrycrm.bitrix24.ru/crm/deal/details/16694/","https://belberrycrm.bitrix24.ru/crm/deal/details/16694/")</x:f>
      </x:c>
      <x:c r="D2188" t="str">
        <x:v>Реанимация</x:v>
      </x:c>
      <x:c r="E2188" t="str">
        <x:v>ЛИДЫ: База бывших клиентов</x:v>
      </x:c>
      <x:c r="F2188" t="str">
        <x:v>Админ всея Belberry</x:v>
      </x:c>
      <x:c r="G2188" t="str">
        <x:v>да</x:v>
      </x:c>
      <x:c r="H2188" t="str">
        <x:v>нет</x:v>
      </x:c>
    </x:row>
    <x:row r="2189">
      <x:c r="A2189" t="str">
        <x:v>16696</x:v>
      </x:c>
      <x:c r="B2189" t="str">
        <x:v>smile.beta-izex.ru</x:v>
      </x:c>
      <x:c r="C2189" t="e">
        <x:f>HYPERLINK("https://belberrycrm.bitrix24.ru/crm/deal/details/16696/","https://belberrycrm.bitrix24.ru/crm/deal/details/16696/")</x:f>
      </x:c>
      <x:c r="D2189" t="str">
        <x:v>Реанимация</x:v>
      </x:c>
      <x:c r="E2189" t="str">
        <x:v>ЛИДЫ: База бывших клиентов</x:v>
      </x:c>
      <x:c r="F2189" t="str">
        <x:v>Админ всея Belberry</x:v>
      </x:c>
      <x:c r="G2189" t="str">
        <x:v>нет</x:v>
      </x:c>
      <x:c r="H2189" t="str">
        <x:v>нет</x:v>
      </x:c>
    </x:row>
    <x:row r="2190">
      <x:c r="A2190" t="str">
        <x:v>16698</x:v>
      </x:c>
      <x:c r="B2190" t="str">
        <x:v>proktology-md.ru</x:v>
      </x:c>
      <x:c r="C2190" t="e">
        <x:f>HYPERLINK("https://belberrycrm.bitrix24.ru/crm/deal/details/16698/","https://belberrycrm.bitrix24.ru/crm/deal/details/16698/")</x:f>
      </x:c>
      <x:c r="D2190" t="str">
        <x:v>Реанимация</x:v>
      </x:c>
      <x:c r="E2190" t="str">
        <x:v>ЛИДЫ: База бывших клиентов</x:v>
      </x:c>
      <x:c r="F2190" t="str">
        <x:v>Админ всея Belberry</x:v>
      </x:c>
      <x:c r="G2190" t="str">
        <x:v>нет</x:v>
      </x:c>
      <x:c r="H2190" t="str">
        <x:v>нет</x:v>
      </x:c>
    </x:row>
    <x:row r="2191">
      <x:c r="A2191" t="str">
        <x:v>16704</x:v>
      </x:c>
      <x:c r="B2191" t="str">
        <x:v>beauty-care.moscow</x:v>
      </x:c>
      <x:c r="C2191" t="e">
        <x:f>HYPERLINK("https://belberrycrm.bitrix24.ru/crm/deal/details/16704/","https://belberrycrm.bitrix24.ru/crm/deal/details/16704/")</x:f>
      </x:c>
      <x:c r="D2191" t="str">
        <x:v>Реанимация</x:v>
      </x:c>
      <x:c r="E2191" t="str">
        <x:v>ЛИДЫ: База бывших клиентов</x:v>
      </x:c>
      <x:c r="F2191" t="str">
        <x:v>Админ всея Belberry</x:v>
      </x:c>
      <x:c r="G2191" t="str">
        <x:v>нет</x:v>
      </x:c>
      <x:c r="H2191" t="str">
        <x:v>нет</x:v>
      </x:c>
    </x:row>
    <x:row r="2192">
      <x:c r="A2192" t="str">
        <x:v>16712</x:v>
      </x:c>
      <x:c r="B2192" t="str">
        <x:v>mameto.ru</x:v>
      </x:c>
      <x:c r="C2192" t="e">
        <x:f>HYPERLINK("https://belberrycrm.bitrix24.ru/crm/deal/details/16712/","https://belberrycrm.bitrix24.ru/crm/deal/details/16712/")</x:f>
      </x:c>
      <x:c r="D2192" t="str">
        <x:v>Реанимация</x:v>
      </x:c>
      <x:c r="E2192" t="str">
        <x:v>ЛИДЫ: База бывших клиентов</x:v>
      </x:c>
      <x:c r="F2192" t="str">
        <x:v>Админ всея Belberry</x:v>
      </x:c>
      <x:c r="G2192" t="str">
        <x:v>да</x:v>
      </x:c>
      <x:c r="H2192" t="str">
        <x:v>нет</x:v>
      </x:c>
    </x:row>
    <x:row r="2193">
      <x:c r="A2193" t="str">
        <x:v>16714</x:v>
      </x:c>
      <x:c r="B2193" t="str">
        <x:v>idealdental-spb.ru</x:v>
      </x:c>
      <x:c r="C2193" t="e">
        <x:f>HYPERLINK("https://belberrycrm.bitrix24.ru/crm/deal/details/16714/","https://belberrycrm.bitrix24.ru/crm/deal/details/16714/")</x:f>
      </x:c>
      <x:c r="D2193" t="str">
        <x:v>Реанимация</x:v>
      </x:c>
      <x:c r="E2193" t="str">
        <x:v>ЛИДЫ: База бывших клиентов</x:v>
      </x:c>
      <x:c r="F2193" t="str">
        <x:v>Админ всея Belberry</x:v>
      </x:c>
      <x:c r="G2193" t="str">
        <x:v>нет</x:v>
      </x:c>
      <x:c r="H2193" t="str">
        <x:v>нет</x:v>
      </x:c>
    </x:row>
    <x:row r="2194">
      <x:c r="A2194" t="str">
        <x:v>16718</x:v>
      </x:c>
      <x:c r="B2194" t="str">
        <x:v>drpogodin.ru</x:v>
      </x:c>
      <x:c r="C2194" t="e">
        <x:f>HYPERLINK("https://belberrycrm.bitrix24.ru/crm/deal/details/16718/","https://belberrycrm.bitrix24.ru/crm/deal/details/16718/")</x:f>
      </x:c>
      <x:c r="D2194" t="str">
        <x:v>Реанимация</x:v>
      </x:c>
      <x:c r="E2194" t="str">
        <x:v>ЛИДЫ: База бывших клиентов</x:v>
      </x:c>
      <x:c r="F2194" t="str">
        <x:v>Админ всея Belberry</x:v>
      </x:c>
      <x:c r="G2194" t="str">
        <x:v>нет</x:v>
      </x:c>
      <x:c r="H2194" t="str">
        <x:v>нет</x:v>
      </x:c>
    </x:row>
    <x:row r="2195">
      <x:c r="A2195" t="str">
        <x:v>16724</x:v>
      </x:c>
      <x:c r="B2195" t="str">
        <x:v>tensclinic.ru</x:v>
      </x:c>
      <x:c r="C2195" t="e">
        <x:f>HYPERLINK("https://belberrycrm.bitrix24.ru/crm/deal/details/16724/","https://belberrycrm.bitrix24.ru/crm/deal/details/16724/")</x:f>
      </x:c>
      <x:c r="D2195" t="str">
        <x:v>Реанимация</x:v>
      </x:c>
      <x:c r="E2195" t="str">
        <x:v>ЛИДЫ: База бывших клиентов</x:v>
      </x:c>
      <x:c r="F2195" t="str">
        <x:v>Админ всея Belberry</x:v>
      </x:c>
      <x:c r="G2195" t="str">
        <x:v>нет</x:v>
      </x:c>
      <x:c r="H2195" t="str">
        <x:v>нет</x:v>
      </x:c>
    </x:row>
    <x:row r="2196">
      <x:c r="A2196" t="str">
        <x:v>16728</x:v>
      </x:c>
      <x:c r="B2196" t="str">
        <x:v>Секрет Афродиты Косметология</x:v>
      </x:c>
      <x:c r="C2196" t="e">
        <x:f>HYPERLINK("https://belberrycrm.bitrix24.ru/crm/deal/details/16728/","https://belberrycrm.bitrix24.ru/crm/deal/details/16728/")</x:f>
      </x:c>
      <x:c r="D2196" t="str">
        <x:v>Реанимация</x:v>
      </x:c>
      <x:c r="E2196" t="str">
        <x:v>ЛИДЫ: База бывших клиентов</x:v>
      </x:c>
      <x:c r="F2196" t="str">
        <x:v>Админ всея Belberry</x:v>
      </x:c>
      <x:c r="G2196" t="str">
        <x:v>да</x:v>
      </x:c>
      <x:c r="H2196" t="str">
        <x:v>нет</x:v>
      </x:c>
    </x:row>
    <x:row r="2197">
      <x:c r="A2197" t="str">
        <x:v>16730</x:v>
      </x:c>
      <x:c r="B2197" t="str">
        <x:v>selmedline.ru</x:v>
      </x:c>
      <x:c r="C2197" t="e">
        <x:f>HYPERLINK("https://belberrycrm.bitrix24.ru/crm/deal/details/16730/","https://belberrycrm.bitrix24.ru/crm/deal/details/16730/")</x:f>
      </x:c>
      <x:c r="D2197" t="str">
        <x:v>Реанимация</x:v>
      </x:c>
      <x:c r="E2197" t="str">
        <x:v>ЛИДЫ: База бывших клиентов</x:v>
      </x:c>
      <x:c r="F2197" t="str">
        <x:v>Админ всея Belberry</x:v>
      </x:c>
      <x:c r="G2197" t="str">
        <x:v>нет</x:v>
      </x:c>
      <x:c r="H2197" t="str">
        <x:v>нет</x:v>
      </x:c>
    </x:row>
    <x:row r="2198">
      <x:c r="A2198" t="str">
        <x:v>16736</x:v>
      </x:c>
      <x:c r="B2198" t="str">
        <x:v>clinican.ru</x:v>
      </x:c>
      <x:c r="C2198" t="e">
        <x:f>HYPERLINK("https://belberrycrm.bitrix24.ru/crm/deal/details/16736/","https://belberrycrm.bitrix24.ru/crm/deal/details/16736/")</x:f>
      </x:c>
      <x:c r="D2198" t="str">
        <x:v>Реанимация</x:v>
      </x:c>
      <x:c r="E2198" t="str">
        <x:v>ЛИДЫ: База бывших клиентов</x:v>
      </x:c>
      <x:c r="F2198" t="str">
        <x:v>Админ всея Belberry</x:v>
      </x:c>
      <x:c r="G2198" t="str">
        <x:v>нет</x:v>
      </x:c>
      <x:c r="H2198" t="str">
        <x:v>нет</x:v>
      </x:c>
    </x:row>
    <x:row r="2199">
      <x:c r="A2199" t="str">
        <x:v>16740</x:v>
      </x:c>
      <x:c r="B2199" t="str">
        <x:v>metoyou-cosm.ru</x:v>
      </x:c>
      <x:c r="C2199" t="e">
        <x:f>HYPERLINK("https://belberrycrm.bitrix24.ru/crm/deal/details/16740/","https://belberrycrm.bitrix24.ru/crm/deal/details/16740/")</x:f>
      </x:c>
      <x:c r="D2199" t="str">
        <x:v>Реанимация</x:v>
      </x:c>
      <x:c r="E2199" t="str">
        <x:v>ЛИДЫ: База бывших клиентов</x:v>
      </x:c>
      <x:c r="F2199" t="str">
        <x:v>Админ всея Belberry</x:v>
      </x:c>
      <x:c r="G2199" t="str">
        <x:v>нет</x:v>
      </x:c>
      <x:c r="H2199" t="str">
        <x:v>нет</x:v>
      </x:c>
    </x:row>
    <x:row r="2200">
      <x:c r="A2200" t="str">
        <x:v>16756</x:v>
      </x:c>
      <x:c r="B2200" t="str">
        <x:v>dentaplan.ru</x:v>
      </x:c>
      <x:c r="C2200" t="e">
        <x:f>HYPERLINK("https://belberrycrm.bitrix24.ru/crm/deal/details/16756/","https://belberrycrm.bitrix24.ru/crm/deal/details/16756/")</x:f>
      </x:c>
      <x:c r="D2200" t="str">
        <x:v>Реанимация</x:v>
      </x:c>
      <x:c r="E2200" t="str">
        <x:v>ЛИДЫ: База бывших клиентов</x:v>
      </x:c>
      <x:c r="F2200" t="str">
        <x:v>Админ всея Belberry</x:v>
      </x:c>
      <x:c r="G2200" t="str">
        <x:v>нет</x:v>
      </x:c>
      <x:c r="H2200" t="str">
        <x:v>нет</x:v>
      </x:c>
    </x:row>
    <x:row r="2201">
      <x:c r="A2201" t="str">
        <x:v>16758</x:v>
      </x:c>
      <x:c r="B2201" t="str">
        <x:v>skdent.ru</x:v>
      </x:c>
      <x:c r="C2201" t="e">
        <x:f>HYPERLINK("https://belberrycrm.bitrix24.ru/crm/deal/details/16758/","https://belberrycrm.bitrix24.ru/crm/deal/details/16758/")</x:f>
      </x:c>
      <x:c r="D2201" t="str">
        <x:v>Реанимация</x:v>
      </x:c>
      <x:c r="E2201" t="str">
        <x:v>ЛИДЫ: База бывших клиентов</x:v>
      </x:c>
      <x:c r="F2201" t="str">
        <x:v>Админ всея Belberry</x:v>
      </x:c>
      <x:c r="G2201" t="str">
        <x:v>нет</x:v>
      </x:c>
      <x:c r="H2201" t="str">
        <x:v>нет</x:v>
      </x:c>
    </x:row>
    <x:row r="2202">
      <x:c r="A2202" t="str">
        <x:v>18574</x:v>
      </x:c>
      <x:c r="B2202" t="str">
        <x:v>aleks-dent.ru</x:v>
      </x:c>
      <x:c r="C2202" t="e">
        <x:f>HYPERLINK("https://belberrycrm.bitrix24.ru/crm/deal/details/18574/","https://belberrycrm.bitrix24.ru/crm/deal/details/18574/")</x:f>
      </x:c>
      <x:c r="D2202" t="str">
        <x:v>Реанимация</x:v>
      </x:c>
      <x:c r="E2202" t="str">
        <x:v>ЛИДЫ: Отвалы</x:v>
      </x:c>
      <x:c r="F2202" t="str">
        <x:v>Евгения Гордиенко</x:v>
      </x:c>
      <x:c r="G2202" t="str">
        <x:v>нет</x:v>
      </x:c>
      <x:c r="H2202" t="str">
        <x:v>нет</x:v>
      </x:c>
    </x:row>
    <x:row r="2203">
      <x:c r="A2203" t="str">
        <x:v>18578</x:v>
      </x:c>
      <x:c r="B2203" t="str">
        <x:v>beautydent.ru</x:v>
      </x:c>
      <x:c r="C2203" t="e">
        <x:f>HYPERLINK("https://belberrycrm.bitrix24.ru/crm/deal/details/18578/","https://belberrycrm.bitrix24.ru/crm/deal/details/18578/")</x:f>
      </x:c>
      <x:c r="D2203" t="str">
        <x:v>Реанимация</x:v>
      </x:c>
      <x:c r="E2203" t="str">
        <x:v>ЛИДЫ: Отвалы</x:v>
      </x:c>
      <x:c r="F2203" t="str">
        <x:v>Петр Дудин</x:v>
      </x:c>
      <x:c r="G2203" t="str">
        <x:v>нет</x:v>
      </x:c>
      <x:c r="H2203" t="str">
        <x:v>нет</x:v>
      </x:c>
    </x:row>
    <x:row r="2204">
      <x:c r="A2204" t="str">
        <x:v>18586</x:v>
      </x:c>
      <x:c r="B2204" t="str">
        <x:v>implanti-zubov.ru</x:v>
      </x:c>
      <x:c r="C2204" t="e">
        <x:f>HYPERLINK("https://belberrycrm.bitrix24.ru/crm/deal/details/18586/","https://belberrycrm.bitrix24.ru/crm/deal/details/18586/")</x:f>
      </x:c>
      <x:c r="D2204" t="str">
        <x:v>Реанимация</x:v>
      </x:c>
      <x:c r="E2204" t="str">
        <x:v>ЛИДЫ: Отвалы</x:v>
      </x:c>
      <x:c r="F2204" t="str">
        <x:v>Дарья Исаева</x:v>
      </x:c>
      <x:c r="G2204" t="str">
        <x:v>нет</x:v>
      </x:c>
      <x:c r="H2204" t="str">
        <x:v>нет</x:v>
      </x:c>
    </x:row>
    <x:row r="2205">
      <x:c r="A2205" t="str">
        <x:v>18590</x:v>
      </x:c>
      <x:c r="B2205" t="str">
        <x:v>medgorod-clinic.ru</x:v>
      </x:c>
      <x:c r="C2205" t="e">
        <x:f>HYPERLINK("https://belberrycrm.bitrix24.ru/crm/deal/details/18590/","https://belberrycrm.bitrix24.ru/crm/deal/details/18590/")</x:f>
      </x:c>
      <x:c r="D2205" t="str">
        <x:v>Реанимация</x:v>
      </x:c>
      <x:c r="E2205" t="str">
        <x:v>ЛИДЫ: Отвалы</x:v>
      </x:c>
      <x:c r="F2205" t="str">
        <x:v>Мария Ус</x:v>
      </x:c>
      <x:c r="G2205" t="str">
        <x:v>нет</x:v>
      </x:c>
      <x:c r="H2205" t="str">
        <x:v>нет</x:v>
      </x:c>
    </x:row>
    <x:row r="2206">
      <x:c r="A2206" t="str">
        <x:v>18592</x:v>
      </x:c>
      <x:c r="B2206" t="str">
        <x:v>clinic-slimness.ru</x:v>
      </x:c>
      <x:c r="C2206" t="e">
        <x:f>HYPERLINK("https://belberrycrm.bitrix24.ru/crm/deal/details/18592/","https://belberrycrm.bitrix24.ru/crm/deal/details/18592/")</x:f>
      </x:c>
      <x:c r="D2206" t="str">
        <x:v>Реанимация</x:v>
      </x:c>
      <x:c r="E2206" t="str">
        <x:v>ЛИДЫ: Отвалы</x:v>
      </x:c>
      <x:c r="F2206" t="str">
        <x:v>Руслан Дмитриев</x:v>
      </x:c>
      <x:c r="G2206" t="str">
        <x:v>нет</x:v>
      </x:c>
      <x:c r="H2206" t="str">
        <x:v>нет</x:v>
      </x:c>
    </x:row>
    <x:row r="2207">
      <x:c r="A2207" t="str">
        <x:v>18608</x:v>
      </x:c>
      <x:c r="B2207" t="str">
        <x:v>akcon.ru</x:v>
      </x:c>
      <x:c r="C2207" t="e">
        <x:f>HYPERLINK("https://belberrycrm.bitrix24.ru/crm/deal/details/18608/","https://belberrycrm.bitrix24.ru/crm/deal/details/18608/")</x:f>
      </x:c>
      <x:c r="D2207" t="str">
        <x:v>Реанимация</x:v>
      </x:c>
      <x:c r="E2207" t="str">
        <x:v>ЛИДЫ: Отвалы</x:v>
      </x:c>
      <x:c r="F2207" t="str">
        <x:v>Дарья Исаева</x:v>
      </x:c>
      <x:c r="G2207" t="str">
        <x:v>нет</x:v>
      </x:c>
      <x:c r="H2207" t="str">
        <x:v>нет</x:v>
      </x:c>
    </x:row>
    <x:row r="2208">
      <x:c r="A2208" t="str">
        <x:v>18622</x:v>
      </x:c>
      <x:c r="B2208" t="str">
        <x:v>ortolime.ru</x:v>
      </x:c>
      <x:c r="C2208" t="e">
        <x:f>HYPERLINK("https://belberrycrm.bitrix24.ru/crm/deal/details/18622/","https://belberrycrm.bitrix24.ru/crm/deal/details/18622/")</x:f>
      </x:c>
      <x:c r="D2208" t="str">
        <x:v>Реанимация</x:v>
      </x:c>
      <x:c r="E2208" t="str">
        <x:v>ЛИДЫ: Отвалы</x:v>
      </x:c>
      <x:c r="F2208" t="str">
        <x:v>Дарья Исаева</x:v>
      </x:c>
      <x:c r="G2208" t="str">
        <x:v>нет</x:v>
      </x:c>
      <x:c r="H2208" t="str">
        <x:v>нет</x:v>
      </x:c>
    </x:row>
    <x:row r="2209">
      <x:c r="A2209" t="str">
        <x:v>18640</x:v>
      </x:c>
      <x:c r="B2209" t="str">
        <x:v>altravita-ivf.ru</x:v>
      </x:c>
      <x:c r="C2209" t="e">
        <x:f>HYPERLINK("https://belberrycrm.bitrix24.ru/crm/deal/details/18640/","https://belberrycrm.bitrix24.ru/crm/deal/details/18640/")</x:f>
      </x:c>
      <x:c r="D2209" t="str">
        <x:v>Реанимация</x:v>
      </x:c>
      <x:c r="E2209" t="str">
        <x:v>ЛИДЫ: Отвалы</x:v>
      </x:c>
      <x:c r="F2209" t="str">
        <x:v>Дарья Исаева</x:v>
      </x:c>
      <x:c r="G2209" t="str">
        <x:v>да</x:v>
      </x:c>
      <x:c r="H2209" t="str">
        <x:v>нет</x:v>
      </x:c>
    </x:row>
    <x:row r="2210">
      <x:c r="A2210" t="str">
        <x:v>18646</x:v>
      </x:c>
      <x:c r="B2210" t="str">
        <x:v>doctor-kuznetsov.ru</x:v>
      </x:c>
      <x:c r="C2210" t="e">
        <x:f>HYPERLINK("https://belberrycrm.bitrix24.ru/crm/deal/details/18646/","https://belberrycrm.bitrix24.ru/crm/deal/details/18646/")</x:f>
      </x:c>
      <x:c r="D2210" t="str">
        <x:v>Реанимация</x:v>
      </x:c>
      <x:c r="E2210" t="str">
        <x:v>ЛИДЫ: Отвалы</x:v>
      </x:c>
      <x:c r="F2210" t="str">
        <x:v>Дарья Исаева</x:v>
      </x:c>
      <x:c r="G2210" t="str">
        <x:v>нет</x:v>
      </x:c>
      <x:c r="H2210" t="str">
        <x:v>нет</x:v>
      </x:c>
    </x:row>
    <x:row r="2211">
      <x:c r="A2211" t="str">
        <x:v>18654</x:v>
      </x:c>
      <x:c r="B2211" t="str">
        <x:v>3z.ru</x:v>
      </x:c>
      <x:c r="C2211" t="e">
        <x:f>HYPERLINK("https://belberrycrm.bitrix24.ru/crm/deal/details/18654/","https://belberrycrm.bitrix24.ru/crm/deal/details/18654/")</x:f>
      </x:c>
      <x:c r="D2211" t="str">
        <x:v>Реанимация</x:v>
      </x:c>
      <x:c r="E2211" t="str">
        <x:v>ЛИДЫ: Отвалы</x:v>
      </x:c>
      <x:c r="F2211" t="str">
        <x:v>Петр Дудин</x:v>
      </x:c>
      <x:c r="G2211" t="str">
        <x:v>нет</x:v>
      </x:c>
      <x:c r="H2211" t="str">
        <x:v>нет</x:v>
      </x:c>
    </x:row>
    <x:row r="2212">
      <x:c r="A2212" t="str">
        <x:v>18678</x:v>
      </x:c>
      <x:c r="B2212" t="str">
        <x:v>dpclinic.ru</x:v>
      </x:c>
      <x:c r="C2212" t="e">
        <x:f>HYPERLINK("https://belberrycrm.bitrix24.ru/crm/deal/details/18678/","https://belberrycrm.bitrix24.ru/crm/deal/details/18678/")</x:f>
      </x:c>
      <x:c r="D2212" t="str">
        <x:v>Реанимация</x:v>
      </x:c>
      <x:c r="E2212" t="str">
        <x:v>ЛИДЫ: Отвалы</x:v>
      </x:c>
      <x:c r="F2212" t="str">
        <x:v>Александр Голядкин</x:v>
      </x:c>
      <x:c r="G2212" t="str">
        <x:v>нет</x:v>
      </x:c>
      <x:c r="H2212" t="str">
        <x:v>нет</x:v>
      </x:c>
    </x:row>
    <x:row r="2213">
      <x:c r="A2213" t="str">
        <x:v>18714</x:v>
      </x:c>
      <x:c r="B2213" t="str">
        <x:v>premiera812.ru</x:v>
      </x:c>
      <x:c r="C2213" t="e">
        <x:f>HYPERLINK("https://belberrycrm.bitrix24.ru/crm/deal/details/18714/","https://belberrycrm.bitrix24.ru/crm/deal/details/18714/")</x:f>
      </x:c>
      <x:c r="D2213" t="str">
        <x:v>Реанимация</x:v>
      </x:c>
      <x:c r="E2213" t="str">
        <x:v>ЛИДЫ: Отвалы</x:v>
      </x:c>
      <x:c r="F2213" t="str">
        <x:v>Дарья Исаева</x:v>
      </x:c>
      <x:c r="G2213" t="str">
        <x:v>нет</x:v>
      </x:c>
      <x:c r="H2213" t="str">
        <x:v>нет</x:v>
      </x:c>
    </x:row>
    <x:row r="2214">
      <x:c r="A2214" t="str">
        <x:v>18718</x:v>
      </x:c>
      <x:c r="B2214" t="str">
        <x:v>pulmo.ru</x:v>
      </x:c>
      <x:c r="C2214" t="e">
        <x:f>HYPERLINK("https://belberrycrm.bitrix24.ru/crm/deal/details/18718/","https://belberrycrm.bitrix24.ru/crm/deal/details/18718/")</x:f>
      </x:c>
      <x:c r="D2214" t="str">
        <x:v>Реанимация</x:v>
      </x:c>
      <x:c r="E2214" t="str">
        <x:v>ЛИДЫ: Отвалы</x:v>
      </x:c>
      <x:c r="F2214" t="str">
        <x:v>Дарья Исаева</x:v>
      </x:c>
      <x:c r="G2214" t="str">
        <x:v>нет</x:v>
      </x:c>
      <x:c r="H2214" t="str">
        <x:v>нет</x:v>
      </x:c>
    </x:row>
    <x:row r="2215">
      <x:c r="A2215" t="str">
        <x:v>18732</x:v>
      </x:c>
      <x:c r="B2215" t="str">
        <x:v>drkonnikov.ru</x:v>
      </x:c>
      <x:c r="C2215" t="e">
        <x:f>HYPERLINK("https://belberrycrm.bitrix24.ru/crm/deal/details/18732/","https://belberrycrm.bitrix24.ru/crm/deal/details/18732/")</x:f>
      </x:c>
      <x:c r="D2215" t="str">
        <x:v>Реанимация</x:v>
      </x:c>
      <x:c r="E2215" t="str">
        <x:v>ЛИДЫ: Отвалы</x:v>
      </x:c>
      <x:c r="F2215" t="str">
        <x:v>Петр Дудин</x:v>
      </x:c>
      <x:c r="G2215" t="str">
        <x:v>нет</x:v>
      </x:c>
      <x:c r="H2215" t="str">
        <x:v>нет</x:v>
      </x:c>
    </x:row>
    <x:row r="2216">
      <x:c r="A2216" t="str">
        <x:v>18734</x:v>
      </x:c>
      <x:c r="B2216" t="str">
        <x:v>ecstom.ru</x:v>
      </x:c>
      <x:c r="C2216" t="e">
        <x:f>HYPERLINK("https://belberrycrm.bitrix24.ru/crm/deal/details/18734/","https://belberrycrm.bitrix24.ru/crm/deal/details/18734/")</x:f>
      </x:c>
      <x:c r="D2216" t="str">
        <x:v>Реанимация</x:v>
      </x:c>
      <x:c r="E2216" t="str">
        <x:v>ЛИДЫ: Отвалы</x:v>
      </x:c>
      <x:c r="F2216" t="str">
        <x:v>Петр Дудин</x:v>
      </x:c>
      <x:c r="G2216" t="str">
        <x:v>да</x:v>
      </x:c>
      <x:c r="H2216" t="str">
        <x:v>нет</x:v>
      </x:c>
    </x:row>
    <x:row r="2217">
      <x:c r="A2217" t="str">
        <x:v>18744</x:v>
      </x:c>
      <x:c r="B2217" t="str">
        <x:v>osteopat.center</x:v>
      </x:c>
      <x:c r="C2217" t="e">
        <x:f>HYPERLINK("https://belberrycrm.bitrix24.ru/crm/deal/details/18744/","https://belberrycrm.bitrix24.ru/crm/deal/details/18744/")</x:f>
      </x:c>
      <x:c r="D2217" t="str">
        <x:v>Реанимация</x:v>
      </x:c>
      <x:c r="E2217" t="str">
        <x:v>ЛИДЫ: Отвалы</x:v>
      </x:c>
      <x:c r="F2217" t="str">
        <x:v>Дарья Исаева</x:v>
      </x:c>
      <x:c r="G2217" t="str">
        <x:v>нет</x:v>
      </x:c>
      <x:c r="H2217" t="str">
        <x:v>нет</x:v>
      </x:c>
    </x:row>
    <x:row r="2218">
      <x:c r="A2218" t="str">
        <x:v>18752</x:v>
      </x:c>
      <x:c r="B2218" t="str">
        <x:v>parket-floor.ru</x:v>
      </x:c>
      <x:c r="C2218" t="e">
        <x:f>HYPERLINK("https://belberrycrm.bitrix24.ru/crm/deal/details/18752/","https://belberrycrm.bitrix24.ru/crm/deal/details/18752/")</x:f>
      </x:c>
      <x:c r="D2218" t="str">
        <x:v>Реанимация</x:v>
      </x:c>
      <x:c r="E2218" t="str">
        <x:v>ЛИДЫ: Отвалы</x:v>
      </x:c>
      <x:c r="F2218" t="str">
        <x:v>Евгения Гордиенко</x:v>
      </x:c>
      <x:c r="G2218" t="str">
        <x:v>нет</x:v>
      </x:c>
      <x:c r="H2218" t="str">
        <x:v>нет</x:v>
      </x:c>
    </x:row>
    <x:row r="2219">
      <x:c r="A2219" t="str">
        <x:v>18764</x:v>
      </x:c>
      <x:c r="B2219" t="str">
        <x:v>mission32.ru</x:v>
      </x:c>
      <x:c r="C2219" t="e">
        <x:f>HYPERLINK("https://belberrycrm.bitrix24.ru/crm/deal/details/18764/","https://belberrycrm.bitrix24.ru/crm/deal/details/18764/")</x:f>
      </x:c>
      <x:c r="D2219" t="str">
        <x:v>Реанимация</x:v>
      </x:c>
      <x:c r="E2219" t="str">
        <x:v>ЛИДЫ: Отвалы</x:v>
      </x:c>
      <x:c r="F2219" t="str">
        <x:v>Петр Дудин</x:v>
      </x:c>
      <x:c r="G2219" t="str">
        <x:v>нет</x:v>
      </x:c>
      <x:c r="H2219" t="str">
        <x:v>нет</x:v>
      </x:c>
    </x:row>
    <x:row r="2220">
      <x:c r="A2220" t="str">
        <x:v>18766</x:v>
      </x:c>
      <x:c r="B2220" t="str">
        <x:v>e-co.ru</x:v>
      </x:c>
      <x:c r="C2220" t="e">
        <x:f>HYPERLINK("https://belberrycrm.bitrix24.ru/crm/deal/details/18766/","https://belberrycrm.bitrix24.ru/crm/deal/details/18766/")</x:f>
      </x:c>
      <x:c r="D2220" t="str">
        <x:v>Реанимация</x:v>
      </x:c>
      <x:c r="E2220" t="str">
        <x:v>ЛИДЫ: Отвалы</x:v>
      </x:c>
      <x:c r="F2220" t="str">
        <x:v>Александр Голядкин</x:v>
      </x:c>
      <x:c r="G2220" t="str">
        <x:v>нет</x:v>
      </x:c>
      <x:c r="H2220" t="str">
        <x:v>нет</x:v>
      </x:c>
    </x:row>
    <x:row r="2221">
      <x:c r="A2221" t="str">
        <x:v>18770</x:v>
      </x:c>
      <x:c r="B2221" t="str">
        <x:v>vls-engineering.ru</x:v>
      </x:c>
      <x:c r="C2221" t="e">
        <x:f>HYPERLINK("https://belberrycrm.bitrix24.ru/crm/deal/details/18770/","https://belberrycrm.bitrix24.ru/crm/deal/details/18770/")</x:f>
      </x:c>
      <x:c r="D2221" t="str">
        <x:v>Реанимация</x:v>
      </x:c>
      <x:c r="E2221" t="str">
        <x:v>ЛИДЫ: Отвалы</x:v>
      </x:c>
      <x:c r="F2221" t="str">
        <x:v>Александр Голядкин</x:v>
      </x:c>
      <x:c r="G2221" t="str">
        <x:v>нет</x:v>
      </x:c>
      <x:c r="H2221" t="str">
        <x:v>нет</x:v>
      </x:c>
    </x:row>
    <x:row r="2222">
      <x:c r="A2222" t="str">
        <x:v>18780</x:v>
      </x:c>
      <x:c r="B2222" t="str">
        <x:v>sb-market.ru</x:v>
      </x:c>
      <x:c r="C2222" t="e">
        <x:f>HYPERLINK("https://belberrycrm.bitrix24.ru/crm/deal/details/18780/","https://belberrycrm.bitrix24.ru/crm/deal/details/18780/")</x:f>
      </x:c>
      <x:c r="D2222" t="str">
        <x:v>Реанимация</x:v>
      </x:c>
      <x:c r="E2222" t="str">
        <x:v>ЛИДЫ: Отвалы</x:v>
      </x:c>
      <x:c r="F2222" t="str">
        <x:v>Александр Голядкин</x:v>
      </x:c>
      <x:c r="G2222" t="str">
        <x:v>нет</x:v>
      </x:c>
      <x:c r="H2222" t="str">
        <x:v>нет</x:v>
      </x:c>
    </x:row>
    <x:row r="2223">
      <x:c r="A2223" t="str">
        <x:v>18782</x:v>
      </x:c>
      <x:c r="B2223" t="str">
        <x:v>tcomponent.ru</x:v>
      </x:c>
      <x:c r="C2223" t="e">
        <x:f>HYPERLINK("https://belberrycrm.bitrix24.ru/crm/deal/details/18782/","https://belberrycrm.bitrix24.ru/crm/deal/details/18782/")</x:f>
      </x:c>
      <x:c r="D2223" t="str">
        <x:v>Реанимация</x:v>
      </x:c>
      <x:c r="E2223" t="str">
        <x:v>ЛИДЫ: Отвалы</x:v>
      </x:c>
      <x:c r="F2223" t="str">
        <x:v>Александр Голядкин</x:v>
      </x:c>
      <x:c r="G2223" t="str">
        <x:v>нет</x:v>
      </x:c>
      <x:c r="H2223" t="str">
        <x:v>нет</x:v>
      </x:c>
    </x:row>
    <x:row r="2224">
      <x:c r="A2224" t="str">
        <x:v>18790</x:v>
      </x:c>
      <x:c r="B2224" t="str">
        <x:v>osmaclinic.ru</x:v>
      </x:c>
      <x:c r="C2224" t="e">
        <x:f>HYPERLINK("https://belberrycrm.bitrix24.ru/crm/deal/details/18790/","https://belberrycrm.bitrix24.ru/crm/deal/details/18790/")</x:f>
      </x:c>
      <x:c r="D2224" t="str">
        <x:v>Реанимация</x:v>
      </x:c>
      <x:c r="E2224" t="str">
        <x:v>ЛИДЫ: Отвалы</x:v>
      </x:c>
      <x:c r="F2224" t="str">
        <x:v>Петр Дудин</x:v>
      </x:c>
      <x:c r="G2224" t="str">
        <x:v>нет</x:v>
      </x:c>
      <x:c r="H2224" t="str">
        <x:v>нет</x:v>
      </x:c>
    </x:row>
    <x:row r="2225">
      <x:c r="A2225" t="str">
        <x:v>18794</x:v>
      </x:c>
      <x:c r="B2225" t="str">
        <x:v>ns.dental</x:v>
      </x:c>
      <x:c r="C2225" t="e">
        <x:f>HYPERLINK("https://belberrycrm.bitrix24.ru/crm/deal/details/18794/","https://belberrycrm.bitrix24.ru/crm/deal/details/18794/")</x:f>
      </x:c>
      <x:c r="D2225" t="str">
        <x:v>Реанимация</x:v>
      </x:c>
      <x:c r="E2225" t="str">
        <x:v>ЛИДЫ: Отвалы</x:v>
      </x:c>
      <x:c r="F2225" t="str">
        <x:v>Дарья Исаева</x:v>
      </x:c>
      <x:c r="G2225" t="str">
        <x:v>нет</x:v>
      </x:c>
      <x:c r="H2225" t="str">
        <x:v>нет</x:v>
      </x:c>
    </x:row>
    <x:row r="2226">
      <x:c r="A2226" t="str">
        <x:v>18798</x:v>
      </x:c>
      <x:c r="B2226" t="str">
        <x:v>kira-med.ru</x:v>
      </x:c>
      <x:c r="C2226" t="e">
        <x:f>HYPERLINK("https://belberrycrm.bitrix24.ru/crm/deal/details/18798/","https://belberrycrm.bitrix24.ru/crm/deal/details/18798/")</x:f>
      </x:c>
      <x:c r="D2226" t="str">
        <x:v>Реанимация</x:v>
      </x:c>
      <x:c r="E2226" t="str">
        <x:v>ЛИДЫ: Отвалы</x:v>
      </x:c>
      <x:c r="F2226" t="str">
        <x:v>Петр Дудин</x:v>
      </x:c>
      <x:c r="G2226" t="str">
        <x:v>да</x:v>
      </x:c>
      <x:c r="H2226" t="str">
        <x:v>нет</x:v>
      </x:c>
    </x:row>
    <x:row r="2227">
      <x:c r="A2227" t="str">
        <x:v>18804</x:v>
      </x:c>
      <x:c r="B2227" t="str">
        <x:v>stomaluxx.ru</x:v>
      </x:c>
      <x:c r="C2227" t="e">
        <x:f>HYPERLINK("https://belberrycrm.bitrix24.ru/crm/deal/details/18804/","https://belberrycrm.bitrix24.ru/crm/deal/details/18804/")</x:f>
      </x:c>
      <x:c r="D2227" t="str">
        <x:v>Реанимация</x:v>
      </x:c>
      <x:c r="E2227" t="str">
        <x:v>ЛИДЫ: Отвалы</x:v>
      </x:c>
      <x:c r="F2227" t="str">
        <x:v>Евгения Гордиенко</x:v>
      </x:c>
      <x:c r="G2227" t="str">
        <x:v>нет</x:v>
      </x:c>
      <x:c r="H2227" t="str">
        <x:v>нет</x:v>
      </x:c>
    </x:row>
    <x:row r="2228">
      <x:c r="A2228" t="str">
        <x:v>18806</x:v>
      </x:c>
      <x:c r="B2228" t="str">
        <x:v>ubic.tech</x:v>
      </x:c>
      <x:c r="C2228" t="e">
        <x:f>HYPERLINK("https://belberrycrm.bitrix24.ru/crm/deal/details/18806/","https://belberrycrm.bitrix24.ru/crm/deal/details/18806/")</x:f>
      </x:c>
      <x:c r="D2228" t="str">
        <x:v>Реанимация</x:v>
      </x:c>
      <x:c r="E2228" t="str">
        <x:v>ЛИДЫ: Отвалы</x:v>
      </x:c>
      <x:c r="F2228" t="str">
        <x:v>Александр Голядкин</x:v>
      </x:c>
      <x:c r="G2228" t="str">
        <x:v>нет</x:v>
      </x:c>
      <x:c r="H2228" t="str">
        <x:v>нет</x:v>
      </x:c>
    </x:row>
    <x:row r="2229">
      <x:c r="A2229" t="str">
        <x:v>18826</x:v>
      </x:c>
      <x:c r="B2229" t="str">
        <x:v>terem-pro.ru</x:v>
      </x:c>
      <x:c r="C2229" t="e">
        <x:f>HYPERLINK("https://belberrycrm.bitrix24.ru/crm/deal/details/18826/","https://belberrycrm.bitrix24.ru/crm/deal/details/18826/")</x:f>
      </x:c>
      <x:c r="D2229" t="str">
        <x:v>Реанимация</x:v>
      </x:c>
      <x:c r="E2229" t="str">
        <x:v>ЛИДЫ: Отвалы</x:v>
      </x:c>
      <x:c r="F2229" t="str">
        <x:v>Александр Голядкин</x:v>
      </x:c>
      <x:c r="G2229" t="str">
        <x:v>да</x:v>
      </x:c>
      <x:c r="H2229" t="str">
        <x:v>нет</x:v>
      </x:c>
    </x:row>
    <x:row r="2230">
      <x:c r="A2230" t="str">
        <x:v>18836</x:v>
      </x:c>
      <x:c r="B2230" t="str">
        <x:v>spektrlkm.ru</x:v>
      </x:c>
      <x:c r="C2230" t="e">
        <x:f>HYPERLINK("https://belberrycrm.bitrix24.ru/crm/deal/details/18836/","https://belberrycrm.bitrix24.ru/crm/deal/details/18836/")</x:f>
      </x:c>
      <x:c r="D2230" t="str">
        <x:v>Реанимация</x:v>
      </x:c>
      <x:c r="E2230" t="str">
        <x:v>ЛИДЫ: Отвалы</x:v>
      </x:c>
      <x:c r="F2230" t="str">
        <x:v>Александр Голядкин</x:v>
      </x:c>
      <x:c r="G2230" t="str">
        <x:v>нет</x:v>
      </x:c>
      <x:c r="H2230" t="str">
        <x:v>нет</x:v>
      </x:c>
    </x:row>
    <x:row r="2231">
      <x:c r="A2231" t="str">
        <x:v>18838</x:v>
      </x:c>
      <x:c r="B2231" t="str">
        <x:v>sro-pravda.ru</x:v>
      </x:c>
      <x:c r="C2231" t="e">
        <x:f>HYPERLINK("https://belberrycrm.bitrix24.ru/crm/deal/details/18838/","https://belberrycrm.bitrix24.ru/crm/deal/details/18838/")</x:f>
      </x:c>
      <x:c r="D2231" t="str">
        <x:v>Реанимация</x:v>
      </x:c>
      <x:c r="E2231" t="str">
        <x:v>ЛИДЫ: Отвалы</x:v>
      </x:c>
      <x:c r="F2231" t="str">
        <x:v>Александр Голядкин</x:v>
      </x:c>
      <x:c r="G2231" t="str">
        <x:v>нет</x:v>
      </x:c>
      <x:c r="H2231" t="str">
        <x:v>нет</x:v>
      </x:c>
    </x:row>
    <x:row r="2232">
      <x:c r="A2232" t="str">
        <x:v>18848</x:v>
      </x:c>
      <x:c r="B2232" t="str">
        <x:v>Климат Контроль</x:v>
      </x:c>
      <x:c r="C2232" t="e">
        <x:f>HYPERLINK("https://belberrycrm.bitrix24.ru/crm/deal/details/18848/","https://belberrycrm.bitrix24.ru/crm/deal/details/18848/")</x:f>
      </x:c>
      <x:c r="D2232" t="str">
        <x:v>Реанимация</x:v>
      </x:c>
      <x:c r="E2232" t="str">
        <x:v>ЛИДЫ: Отвалы</x:v>
      </x:c>
      <x:c r="F2232" t="str">
        <x:v>Дарья Исаева</x:v>
      </x:c>
      <x:c r="G2232" t="str">
        <x:v>да</x:v>
      </x:c>
      <x:c r="H2232" t="str">
        <x:v>нет</x:v>
      </x:c>
    </x:row>
    <x:row r="2233">
      <x:c r="A2233" t="str">
        <x:v>18868</x:v>
      </x:c>
      <x:c r="B2233" t="str">
        <x:v>hayat-smile.ru</x:v>
      </x:c>
      <x:c r="C2233" t="e">
        <x:f>HYPERLINK("https://belberrycrm.bitrix24.ru/crm/deal/details/18868/","https://belberrycrm.bitrix24.ru/crm/deal/details/18868/")</x:f>
      </x:c>
      <x:c r="D2233" t="str">
        <x:v>Реанимация</x:v>
      </x:c>
      <x:c r="E2233" t="str">
        <x:v>ЛИДЫ: Отвалы</x:v>
      </x:c>
      <x:c r="F2233" t="str">
        <x:v>Дарья Исаева</x:v>
      </x:c>
      <x:c r="G2233" t="str">
        <x:v>да</x:v>
      </x:c>
      <x:c r="H2233" t="str">
        <x:v>нет</x:v>
      </x:c>
    </x:row>
    <x:row r="2234">
      <x:c r="A2234" t="str">
        <x:v>18888</x:v>
      </x:c>
      <x:c r="B2234" t="str">
        <x:v>Звонок от 79011295756</x:v>
      </x:c>
      <x:c r="C2234" t="e">
        <x:f>HYPERLINK("https://belberrycrm.bitrix24.ru/crm/deal/details/18888/","https://belberrycrm.bitrix24.ru/crm/deal/details/18888/")</x:f>
      </x:c>
      <x:c r="D2234" t="str">
        <x:v>Реанимация</x:v>
      </x:c>
      <x:c r="E2234" t="str">
        <x:v>ЛИДЫ: Отвалы</x:v>
      </x:c>
      <x:c r="F2234" t="str">
        <x:v>Евгения Гордиенко</x:v>
      </x:c>
      <x:c r="G2234" t="str">
        <x:v>нет</x:v>
      </x:c>
      <x:c r="H2234" t="str">
        <x:v>нет</x:v>
      </x:c>
    </x:row>
    <x:row r="2235">
      <x:c r="A2235" t="str">
        <x:v>18890</x:v>
      </x:c>
      <x:c r="B2235" t="str">
        <x:v>Заказ интернет-магазина №180</x:v>
      </x:c>
      <x:c r="C2235" t="e">
        <x:f>HYPERLINK("https://belberrycrm.bitrix24.ru/crm/deal/details/18890/","https://belberrycrm.bitrix24.ru/crm/deal/details/18890/")</x:f>
      </x:c>
      <x:c r="D2235" t="str">
        <x:v>Реанимация</x:v>
      </x:c>
      <x:c r="E2235" t="str">
        <x:v>АРХИВ Общая</x:v>
      </x:c>
      <x:c r="F2235" t="str">
        <x:v>Екатерина Апушкина</x:v>
      </x:c>
      <x:c r="G2235" t="str">
        <x:v>нет</x:v>
      </x:c>
      <x:c r="H2235" t="str">
        <x:v>нет</x:v>
      </x:c>
    </x:row>
    <x:row r="2236">
      <x:c r="A2236" t="str">
        <x:v>18898</x:v>
      </x:c>
      <x:c r="B2236" t="str">
        <x:v>medcentr-posad.ru</x:v>
      </x:c>
      <x:c r="C2236" t="e">
        <x:f>HYPERLINK("https://belberrycrm.bitrix24.ru/crm/deal/details/18898/","https://belberrycrm.bitrix24.ru/crm/deal/details/18898/")</x:f>
      </x:c>
      <x:c r="D2236" t="str">
        <x:v>Реанимация</x:v>
      </x:c>
      <x:c r="E2236" t="str">
        <x:v>ЛИДЫ: Отвалы</x:v>
      </x:c>
      <x:c r="F2236" t="str">
        <x:v>Руслан Дмитриев</x:v>
      </x:c>
      <x:c r="G2236" t="str">
        <x:v>нет</x:v>
      </x:c>
      <x:c r="H2236" t="str">
        <x:v>нет</x:v>
      </x:c>
    </x:row>
    <x:row r="2237">
      <x:c r="A2237" t="str">
        <x:v>18922</x:v>
      </x:c>
      <x:c r="B2237" t="str">
        <x:v>altodent.ru</x:v>
      </x:c>
      <x:c r="C2237" t="e">
        <x:f>HYPERLINK("https://belberrycrm.bitrix24.ru/crm/deal/details/18922/","https://belberrycrm.bitrix24.ru/crm/deal/details/18922/")</x:f>
      </x:c>
      <x:c r="D2237" t="str">
        <x:v>Реанимация</x:v>
      </x:c>
      <x:c r="E2237" t="str">
        <x:v>ЛИДЫ: Отвалы</x:v>
      </x:c>
      <x:c r="F2237" t="str">
        <x:v>Александр Голядкин</x:v>
      </x:c>
      <x:c r="G2237" t="str">
        <x:v>нет</x:v>
      </x:c>
      <x:c r="H2237" t="str">
        <x:v>нет</x:v>
      </x:c>
    </x:row>
    <x:row r="2238">
      <x:c r="A2238" t="str">
        <x:v>18924</x:v>
      </x:c>
      <x:c r="B2238" t="str">
        <x:v>angel-dent.ru</x:v>
      </x:c>
      <x:c r="C2238" t="e">
        <x:f>HYPERLINK("https://belberrycrm.bitrix24.ru/crm/deal/details/18924/","https://belberrycrm.bitrix24.ru/crm/deal/details/18924/")</x:f>
      </x:c>
      <x:c r="D2238" t="str">
        <x:v>Реанимация</x:v>
      </x:c>
      <x:c r="E2238" t="str">
        <x:v>ЛИДЫ: Отвалы</x:v>
      </x:c>
      <x:c r="F2238" t="str">
        <x:v>Дарья Исаева</x:v>
      </x:c>
      <x:c r="G2238" t="str">
        <x:v>нет</x:v>
      </x:c>
      <x:c r="H2238" t="str">
        <x:v>нет</x:v>
      </x:c>
    </x:row>
    <x:row r="2239">
      <x:c r="A2239" t="str">
        <x:v>18926</x:v>
      </x:c>
      <x:c r="B2239" t="str">
        <x:v>arsmedical.ru</x:v>
      </x:c>
      <x:c r="C2239" t="e">
        <x:f>HYPERLINK("https://belberrycrm.bitrix24.ru/crm/deal/details/18926/","https://belberrycrm.bitrix24.ru/crm/deal/details/18926/")</x:f>
      </x:c>
      <x:c r="D2239" t="str">
        <x:v>Реанимация</x:v>
      </x:c>
      <x:c r="E2239" t="str">
        <x:v>ЛИДЫ: Отвалы</x:v>
      </x:c>
      <x:c r="F2239" t="str">
        <x:v>Александр Голядкин</x:v>
      </x:c>
      <x:c r="G2239" t="str">
        <x:v>нет</x:v>
      </x:c>
      <x:c r="H2239" t="str">
        <x:v>нет</x:v>
      </x:c>
    </x:row>
    <x:row r="2240">
      <x:c r="A2240" t="str">
        <x:v>18952</x:v>
      </x:c>
      <x:c r="B2240" t="str">
        <x:v>dentalclub32.ru</x:v>
      </x:c>
      <x:c r="C2240" t="e">
        <x:f>HYPERLINK("https://belberrycrm.bitrix24.ru/crm/deal/details/18952/","https://belberrycrm.bitrix24.ru/crm/deal/details/18952/")</x:f>
      </x:c>
      <x:c r="D2240" t="str">
        <x:v>Реанимация</x:v>
      </x:c>
      <x:c r="E2240" t="str">
        <x:v>ЛИДЫ: Отвалы</x:v>
      </x:c>
      <x:c r="F2240" t="str">
        <x:v>Дарья Исаева</x:v>
      </x:c>
      <x:c r="G2240" t="str">
        <x:v>нет</x:v>
      </x:c>
      <x:c r="H2240" t="str">
        <x:v>нет</x:v>
      </x:c>
    </x:row>
    <x:row r="2241">
      <x:c r="A2241" t="str">
        <x:v>18954</x:v>
      </x:c>
      <x:c r="B2241" t="str">
        <x:v>dentalnew.ru</x:v>
      </x:c>
      <x:c r="C2241" t="e">
        <x:f>HYPERLINK("https://belberrycrm.bitrix24.ru/crm/deal/details/18954/","https://belberrycrm.bitrix24.ru/crm/deal/details/18954/")</x:f>
      </x:c>
      <x:c r="D2241" t="str">
        <x:v>Реанимация</x:v>
      </x:c>
      <x:c r="E2241" t="str">
        <x:v>ЛИДЫ: Отвалы</x:v>
      </x:c>
      <x:c r="F2241" t="str">
        <x:v>Дарья Исаева</x:v>
      </x:c>
      <x:c r="G2241" t="str">
        <x:v>нет</x:v>
      </x:c>
      <x:c r="H2241" t="str">
        <x:v>нет</x:v>
      </x:c>
    </x:row>
    <x:row r="2242">
      <x:c r="A2242" t="str">
        <x:v>18964</x:v>
      </x:c>
      <x:c r="B2242" t="str">
        <x:v>doctortai.ru</x:v>
      </x:c>
      <x:c r="C2242" t="e">
        <x:f>HYPERLINK("https://belberrycrm.bitrix24.ru/crm/deal/details/18964/","https://belberrycrm.bitrix24.ru/crm/deal/details/18964/")</x:f>
      </x:c>
      <x:c r="D2242" t="str">
        <x:v>Реанимация</x:v>
      </x:c>
      <x:c r="E2242" t="str">
        <x:v>ЛИДЫ: Отвалы</x:v>
      </x:c>
      <x:c r="F2242" t="str">
        <x:v>Дарья Исаева</x:v>
      </x:c>
      <x:c r="G2242" t="str">
        <x:v>нет</x:v>
      </x:c>
      <x:c r="H2242" t="str">
        <x:v>нет</x:v>
      </x:c>
    </x:row>
    <x:row r="2243">
      <x:c r="A2243" t="str">
        <x:v>18966</x:v>
      </x:c>
      <x:c r="B2243" t="str">
        <x:v>doctortsarev.ru</x:v>
      </x:c>
      <x:c r="C2243" t="e">
        <x:f>HYPERLINK("https://belberrycrm.bitrix24.ru/crm/deal/details/18966/","https://belberrycrm.bitrix24.ru/crm/deal/details/18966/")</x:f>
      </x:c>
      <x:c r="D2243" t="str">
        <x:v>Реанимация</x:v>
      </x:c>
      <x:c r="E2243" t="str">
        <x:v>ЛИДЫ: Отвалы</x:v>
      </x:c>
      <x:c r="F2243" t="str">
        <x:v>Екатерина Кохтачева</x:v>
      </x:c>
      <x:c r="G2243" t="str">
        <x:v>нет</x:v>
      </x:c>
      <x:c r="H2243" t="str">
        <x:v>нет</x:v>
      </x:c>
    </x:row>
    <x:row r="2244">
      <x:c r="A2244" t="str">
        <x:v>18970</x:v>
      </x:c>
      <x:c r="B2244" t="str">
        <x:v>emasclinic.ru</x:v>
      </x:c>
      <x:c r="C2244" t="e">
        <x:f>HYPERLINK("https://belberrycrm.bitrix24.ru/crm/deal/details/18970/","https://belberrycrm.bitrix24.ru/crm/deal/details/18970/")</x:f>
      </x:c>
      <x:c r="D2244" t="str">
        <x:v>Реанимация</x:v>
      </x:c>
      <x:c r="E2244" t="str">
        <x:v>ЛИДЫ: Отвалы</x:v>
      </x:c>
      <x:c r="F2244" t="str">
        <x:v>Мария Ус</x:v>
      </x:c>
      <x:c r="G2244" t="str">
        <x:v>нет</x:v>
      </x:c>
      <x:c r="H2244" t="str">
        <x:v>нет</x:v>
      </x:c>
    </x:row>
    <x:row r="2245">
      <x:c r="A2245" t="str">
        <x:v>18994</x:v>
      </x:c>
      <x:c r="B2245" t="str">
        <x:v>margaritakoroleva.ru</x:v>
      </x:c>
      <x:c r="C2245" t="e">
        <x:f>HYPERLINK("https://belberrycrm.bitrix24.ru/crm/deal/details/18994/","https://belberrycrm.bitrix24.ru/crm/deal/details/18994/")</x:f>
      </x:c>
      <x:c r="D2245" t="str">
        <x:v>Реанимация</x:v>
      </x:c>
      <x:c r="E2245" t="str">
        <x:v>ЛИДЫ: Отвалы</x:v>
      </x:c>
      <x:c r="F2245" t="str">
        <x:v>Дарья Исаева</x:v>
      </x:c>
      <x:c r="G2245" t="str">
        <x:v>нет</x:v>
      </x:c>
      <x:c r="H2245" t="str">
        <x:v>нет</x:v>
      </x:c>
    </x:row>
    <x:row r="2246">
      <x:c r="A2246" t="str">
        <x:v>19012</x:v>
      </x:c>
      <x:c r="B2246" t="str">
        <x:v>mhc-r.ru</x:v>
      </x:c>
      <x:c r="C2246" t="e">
        <x:f>HYPERLINK("https://belberrycrm.bitrix24.ru/crm/deal/details/19012/","https://belberrycrm.bitrix24.ru/crm/deal/details/19012/")</x:f>
      </x:c>
      <x:c r="D2246" t="str">
        <x:v>Реанимация</x:v>
      </x:c>
      <x:c r="E2246" t="str">
        <x:v>ЛИДЫ: Отвалы</x:v>
      </x:c>
      <x:c r="F2246" t="str">
        <x:v>Дарья Исаева</x:v>
      </x:c>
      <x:c r="G2246" t="str">
        <x:v>нет</x:v>
      </x:c>
      <x:c r="H2246" t="str">
        <x:v>нет</x:v>
      </x:c>
    </x:row>
    <x:row r="2247">
      <x:c r="A2247" t="str">
        <x:v>19024</x:v>
      </x:c>
      <x:c r="B2247" t="str">
        <x:v>rcrosinka.ru</x:v>
      </x:c>
      <x:c r="C2247" t="e">
        <x:f>HYPERLINK("https://belberrycrm.bitrix24.ru/crm/deal/details/19024/","https://belberrycrm.bitrix24.ru/crm/deal/details/19024/")</x:f>
      </x:c>
      <x:c r="D2247" t="str">
        <x:v>Реанимация</x:v>
      </x:c>
      <x:c r="E2247" t="str">
        <x:v>ЛИДЫ: Отвалы</x:v>
      </x:c>
      <x:c r="F2247" t="str">
        <x:v>Екатерина Кохтачева</x:v>
      </x:c>
      <x:c r="G2247" t="str">
        <x:v>нет</x:v>
      </x:c>
      <x:c r="H2247" t="str">
        <x:v>нет</x:v>
      </x:c>
    </x:row>
    <x:row r="2248">
      <x:c r="A2248" t="str">
        <x:v>19028</x:v>
      </x:c>
      <x:c r="B2248" t="str">
        <x:v>rimc-rambam.ru</x:v>
      </x:c>
      <x:c r="C2248" t="e">
        <x:f>HYPERLINK("https://belberrycrm.bitrix24.ru/crm/deal/details/19028/","https://belberrycrm.bitrix24.ru/crm/deal/details/19028/")</x:f>
      </x:c>
      <x:c r="D2248" t="str">
        <x:v>Реанимация</x:v>
      </x:c>
      <x:c r="E2248" t="str">
        <x:v>ЛИДЫ: Отвалы</x:v>
      </x:c>
      <x:c r="F2248" t="str">
        <x:v>Петр Дудин</x:v>
      </x:c>
      <x:c r="G2248" t="str">
        <x:v>нет</x:v>
      </x:c>
      <x:c r="H2248" t="str">
        <x:v>нет</x:v>
      </x:c>
    </x:row>
    <x:row r="2249">
      <x:c r="A2249" t="str">
        <x:v>19030</x:v>
      </x:c>
      <x:c r="B2249" t="str">
        <x:v>dr-knyazkin.ru</x:v>
      </x:c>
      <x:c r="C2249" t="e">
        <x:f>HYPERLINK("https://belberrycrm.bitrix24.ru/crm/deal/details/19030/","https://belberrycrm.bitrix24.ru/crm/deal/details/19030/")</x:f>
      </x:c>
      <x:c r="D2249" t="str">
        <x:v>Реанимация</x:v>
      </x:c>
      <x:c r="E2249" t="str">
        <x:v>ЛИДЫ: Отвалы</x:v>
      </x:c>
      <x:c r="F2249" t="str">
        <x:v>Дарья Исаева</x:v>
      </x:c>
      <x:c r="G2249" t="str">
        <x:v>да</x:v>
      </x:c>
      <x:c r="H2249" t="str">
        <x:v>нет</x:v>
      </x:c>
    </x:row>
    <x:row r="2250">
      <x:c r="A2250" t="str">
        <x:v>19032</x:v>
      </x:c>
      <x:c r="B2250" t="str">
        <x:v>skoromed-klinika.ru</x:v>
      </x:c>
      <x:c r="C2250" t="e">
        <x:f>HYPERLINK("https://belberrycrm.bitrix24.ru/crm/deal/details/19032/","https://belberrycrm.bitrix24.ru/crm/deal/details/19032/")</x:f>
      </x:c>
      <x:c r="D2250" t="str">
        <x:v>Реанимация</x:v>
      </x:c>
      <x:c r="E2250" t="str">
        <x:v>ЛИДЫ: Отвалы</x:v>
      </x:c>
      <x:c r="F2250" t="str">
        <x:v>Дарья Исаева</x:v>
      </x:c>
      <x:c r="G2250" t="str">
        <x:v>нет</x:v>
      </x:c>
      <x:c r="H2250" t="str">
        <x:v>нет</x:v>
      </x:c>
    </x:row>
    <x:row r="2251">
      <x:c r="A2251" t="str">
        <x:v>19044</x:v>
      </x:c>
      <x:c r="B2251" t="str">
        <x:v>stomatologia-forest.ru</x:v>
      </x:c>
      <x:c r="C2251" t="e">
        <x:f>HYPERLINK("https://belberrycrm.bitrix24.ru/crm/deal/details/19044/","https://belberrycrm.bitrix24.ru/crm/deal/details/19044/")</x:f>
      </x:c>
      <x:c r="D2251" t="str">
        <x:v>Реанимация</x:v>
      </x:c>
      <x:c r="E2251" t="str">
        <x:v>ЛИДЫ: Отвалы</x:v>
      </x:c>
      <x:c r="F2251" t="str">
        <x:v>Дарья Исаева</x:v>
      </x:c>
      <x:c r="G2251" t="str">
        <x:v>нет</x:v>
      </x:c>
      <x:c r="H2251" t="str">
        <x:v>нет</x:v>
      </x:c>
    </x:row>
    <x:row r="2252">
      <x:c r="A2252" t="str">
        <x:v>19046</x:v>
      </x:c>
      <x:c r="B2252" t="str">
        <x:v>lumident24.ru</x:v>
      </x:c>
      <x:c r="C2252" t="e">
        <x:f>HYPERLINK("https://belberrycrm.bitrix24.ru/crm/deal/details/19046/","https://belberrycrm.bitrix24.ru/crm/deal/details/19046/")</x:f>
      </x:c>
      <x:c r="D2252" t="str">
        <x:v>Реанимация</x:v>
      </x:c>
      <x:c r="E2252" t="str">
        <x:v>ЛИДЫ: Отвалы</x:v>
      </x:c>
      <x:c r="F2252" t="str">
        <x:v>Дарья Исаева</x:v>
      </x:c>
      <x:c r="G2252" t="str">
        <x:v>нет</x:v>
      </x:c>
      <x:c r="H2252" t="str">
        <x:v>нет</x:v>
      </x:c>
    </x:row>
    <x:row r="2253">
      <x:c r="A2253" t="str">
        <x:v>19048</x:v>
      </x:c>
      <x:c r="B2253" t="str">
        <x:v>tavi-dent.ru</x:v>
      </x:c>
      <x:c r="C2253" t="e">
        <x:f>HYPERLINK("https://belberrycrm.bitrix24.ru/crm/deal/details/19048/","https://belberrycrm.bitrix24.ru/crm/deal/details/19048/")</x:f>
      </x:c>
      <x:c r="D2253" t="str">
        <x:v>Реанимация</x:v>
      </x:c>
      <x:c r="E2253" t="str">
        <x:v>ЛИДЫ: Отвалы</x:v>
      </x:c>
      <x:c r="F2253" t="str">
        <x:v>Дарья Исаева</x:v>
      </x:c>
      <x:c r="G2253" t="str">
        <x:v>нет</x:v>
      </x:c>
      <x:c r="H2253" t="str">
        <x:v>нет</x:v>
      </x:c>
    </x:row>
    <x:row r="2254">
      <x:c r="A2254" t="str">
        <x:v>19060</x:v>
      </x:c>
      <x:c r="B2254" t="str">
        <x:v>venacentr.ru</x:v>
      </x:c>
      <x:c r="C2254" t="e">
        <x:f>HYPERLINK("https://belberrycrm.bitrix24.ru/crm/deal/details/19060/","https://belberrycrm.bitrix24.ru/crm/deal/details/19060/")</x:f>
      </x:c>
      <x:c r="D2254" t="str">
        <x:v>Реанимация</x:v>
      </x:c>
      <x:c r="E2254" t="str">
        <x:v>ЛИДЫ: Отвалы</x:v>
      </x:c>
      <x:c r="F2254" t="str">
        <x:v>Екатерина Кохтачева</x:v>
      </x:c>
      <x:c r="G2254" t="str">
        <x:v>нет</x:v>
      </x:c>
      <x:c r="H2254" t="str">
        <x:v>нет</x:v>
      </x:c>
    </x:row>
    <x:row r="2255">
      <x:c r="A2255" t="str">
        <x:v>19062</x:v>
      </x:c>
      <x:c r="B2255" t="str">
        <x:v>venerologia.ru</x:v>
      </x:c>
      <x:c r="C2255" t="e">
        <x:f>HYPERLINK("https://belberrycrm.bitrix24.ru/crm/deal/details/19062/","https://belberrycrm.bitrix24.ru/crm/deal/details/19062/")</x:f>
      </x:c>
      <x:c r="D2255" t="str">
        <x:v>Реанимация</x:v>
      </x:c>
      <x:c r="E2255" t="str">
        <x:v>ЛИДЫ: Отвалы</x:v>
      </x:c>
      <x:c r="F2255" t="str">
        <x:v>Александр Голядкин</x:v>
      </x:c>
      <x:c r="G2255" t="str">
        <x:v>да</x:v>
      </x:c>
      <x:c r="H2255" t="str">
        <x:v>нет</x:v>
      </x:c>
    </x:row>
    <x:row r="2256">
      <x:c r="A2256" t="str">
        <x:v>19070</x:v>
      </x:c>
      <x:c r="B2256" t="str">
        <x:v>vivast.ru</x:v>
      </x:c>
      <x:c r="C2256" t="e">
        <x:f>HYPERLINK("https://belberrycrm.bitrix24.ru/crm/deal/details/19070/","https://belberrycrm.bitrix24.ru/crm/deal/details/19070/")</x:f>
      </x:c>
      <x:c r="D2256" t="str">
        <x:v>Реанимация</x:v>
      </x:c>
      <x:c r="E2256" t="str">
        <x:v>ЛИДЫ: Отвалы</x:v>
      </x:c>
      <x:c r="F2256" t="str">
        <x:v>Дарья Исаева</x:v>
      </x:c>
      <x:c r="G2256" t="str">
        <x:v>нет</x:v>
      </x:c>
      <x:c r="H2256" t="str">
        <x:v>нет</x:v>
      </x:c>
    </x:row>
    <x:row r="2257">
      <x:c r="A2257" t="str">
        <x:v>19090</x:v>
      </x:c>
      <x:c r="B2257" t="str">
        <x:v>centre-trichology.ru</x:v>
      </x:c>
      <x:c r="C2257" t="e">
        <x:f>HYPERLINK("https://belberrycrm.bitrix24.ru/crm/deal/details/19090/","https://belberrycrm.bitrix24.ru/crm/deal/details/19090/")</x:f>
      </x:c>
      <x:c r="D2257" t="str">
        <x:v>Реанимация</x:v>
      </x:c>
      <x:c r="E2257" t="str">
        <x:v>ЛИДЫ: Отвалы</x:v>
      </x:c>
      <x:c r="F2257" t="str">
        <x:v>Дарья Исаева</x:v>
      </x:c>
      <x:c r="G2257" t="str">
        <x:v>нет</x:v>
      </x:c>
      <x:c r="H2257" t="str">
        <x:v>нет</x:v>
      </x:c>
    </x:row>
    <x:row r="2258">
      <x:c r="A2258" t="str">
        <x:v>19096</x:v>
      </x:c>
      <x:c r="B2258" t="str">
        <x:v>dentaleclinic.ru</x:v>
      </x:c>
      <x:c r="C2258" t="e">
        <x:f>HYPERLINK("https://belberrycrm.bitrix24.ru/crm/deal/details/19096/","https://belberrycrm.bitrix24.ru/crm/deal/details/19096/")</x:f>
      </x:c>
      <x:c r="D2258" t="str">
        <x:v>Реанимация</x:v>
      </x:c>
      <x:c r="E2258" t="str">
        <x:v>ЛИДЫ: Отвалы</x:v>
      </x:c>
      <x:c r="F2258" t="str">
        <x:v>Дарья Исаева</x:v>
      </x:c>
      <x:c r="G2258" t="str">
        <x:v>нет</x:v>
      </x:c>
      <x:c r="H2258" t="str">
        <x:v>нет</x:v>
      </x:c>
    </x:row>
    <x:row r="2259">
      <x:c r="A2259" t="str">
        <x:v>19102</x:v>
      </x:c>
      <x:c r="B2259" t="str">
        <x:v>dzdorovie.ru</x:v>
      </x:c>
      <x:c r="C2259" t="e">
        <x:f>HYPERLINK("https://belberrycrm.bitrix24.ru/crm/deal/details/19102/","https://belberrycrm.bitrix24.ru/crm/deal/details/19102/")</x:f>
      </x:c>
      <x:c r="D2259" t="str">
        <x:v>Реанимация</x:v>
      </x:c>
      <x:c r="E2259" t="str">
        <x:v>ЛИДЫ: Отвалы</x:v>
      </x:c>
      <x:c r="F2259" t="str">
        <x:v>Дарья Исаева</x:v>
      </x:c>
      <x:c r="G2259" t="str">
        <x:v>нет</x:v>
      </x:c>
      <x:c r="H2259" t="str">
        <x:v>нет</x:v>
      </x:c>
    </x:row>
    <x:row r="2260">
      <x:c r="A2260" t="str">
        <x:v>19104</x:v>
      </x:c>
      <x:c r="B2260" t="str">
        <x:v>edem-dent.ru</x:v>
      </x:c>
      <x:c r="C2260" t="e">
        <x:f>HYPERLINK("https://belberrycrm.bitrix24.ru/crm/deal/details/19104/","https://belberrycrm.bitrix24.ru/crm/deal/details/19104/")</x:f>
      </x:c>
      <x:c r="D2260" t="str">
        <x:v>Реанимация</x:v>
      </x:c>
      <x:c r="E2260" t="str">
        <x:v>ЛИДЫ: Отвалы</x:v>
      </x:c>
      <x:c r="F2260" t="str">
        <x:v>Дарья Исаева</x:v>
      </x:c>
      <x:c r="G2260" t="str">
        <x:v>нет</x:v>
      </x:c>
      <x:c r="H2260" t="str">
        <x:v>нет</x:v>
      </x:c>
    </x:row>
    <x:row r="2261">
      <x:c r="A2261" t="str">
        <x:v>19116</x:v>
      </x:c>
      <x:c r="B2261" t="str">
        <x:v>idealmaximum.ru</x:v>
      </x:c>
      <x:c r="C2261" t="e">
        <x:f>HYPERLINK("https://belberrycrm.bitrix24.ru/crm/deal/details/19116/","https://belberrycrm.bitrix24.ru/crm/deal/details/19116/")</x:f>
      </x:c>
      <x:c r="D2261" t="str">
        <x:v>Реанимация</x:v>
      </x:c>
      <x:c r="E2261" t="str">
        <x:v>ЛИДЫ: Отвалы</x:v>
      </x:c>
      <x:c r="F2261" t="str">
        <x:v>Дарья Исаева</x:v>
      </x:c>
      <x:c r="G2261" t="str">
        <x:v>нет</x:v>
      </x:c>
      <x:c r="H2261" t="str">
        <x:v>нет</x:v>
      </x:c>
    </x:row>
    <x:row r="2262">
      <x:c r="A2262" t="str">
        <x:v>19138</x:v>
      </x:c>
      <x:c r="B2262" t="str">
        <x:v>pedklin.ru</x:v>
      </x:c>
      <x:c r="C2262" t="e">
        <x:f>HYPERLINK("https://belberrycrm.bitrix24.ru/crm/deal/details/19138/","https://belberrycrm.bitrix24.ru/crm/deal/details/19138/")</x:f>
      </x:c>
      <x:c r="D2262" t="str">
        <x:v>Реанимация</x:v>
      </x:c>
      <x:c r="E2262" t="str">
        <x:v>ЛИДЫ: Отвалы</x:v>
      </x:c>
      <x:c r="F2262" t="str">
        <x:v>Екатерина Кохтачева</x:v>
      </x:c>
      <x:c r="G2262" t="str">
        <x:v>да</x:v>
      </x:c>
      <x:c r="H2262" t="str">
        <x:v>нет</x:v>
      </x:c>
    </x:row>
    <x:row r="2263">
      <x:c r="A2263" t="str">
        <x:v>19142</x:v>
      </x:c>
      <x:c r="B2263" t="str">
        <x:v>profnauka.ru</x:v>
      </x:c>
      <x:c r="C2263" t="e">
        <x:f>HYPERLINK("https://belberrycrm.bitrix24.ru/crm/deal/details/19142/","https://belberrycrm.bitrix24.ru/crm/deal/details/19142/")</x:f>
      </x:c>
      <x:c r="D2263" t="str">
        <x:v>Реанимация</x:v>
      </x:c>
      <x:c r="E2263" t="str">
        <x:v>ЛИДЫ: Отвалы</x:v>
      </x:c>
      <x:c r="F2263" t="str">
        <x:v>Дарья Исаева</x:v>
      </x:c>
      <x:c r="G2263" t="str">
        <x:v>нет</x:v>
      </x:c>
      <x:c r="H2263" t="str">
        <x:v>нет</x:v>
      </x:c>
    </x:row>
    <x:row r="2264">
      <x:c r="A2264" t="str">
        <x:v>19154</x:v>
      </x:c>
      <x:c r="B2264" t="str">
        <x:v>med.vam-spravka.ru</x:v>
      </x:c>
      <x:c r="C2264" t="e">
        <x:f>HYPERLINK("https://belberrycrm.bitrix24.ru/crm/deal/details/19154/","https://belberrycrm.bitrix24.ru/crm/deal/details/19154/")</x:f>
      </x:c>
      <x:c r="D2264" t="str">
        <x:v>Реанимация</x:v>
      </x:c>
      <x:c r="E2264" t="str">
        <x:v>ЛИДЫ: Отвалы</x:v>
      </x:c>
      <x:c r="F2264" t="str">
        <x:v>Дарья Исаева</x:v>
      </x:c>
      <x:c r="G2264" t="str">
        <x:v>нет</x:v>
      </x:c>
      <x:c r="H2264" t="str">
        <x:v>нет</x:v>
      </x:c>
    </x:row>
    <x:row r="2265">
      <x:c r="A2265" t="str">
        <x:v>19168</x:v>
      </x:c>
      <x:c r="B2265" t="str">
        <x:v>clinichelp.ru</x:v>
      </x:c>
      <x:c r="C2265" t="e">
        <x:f>HYPERLINK("https://belberrycrm.bitrix24.ru/crm/deal/details/19168/","https://belberrycrm.bitrix24.ru/crm/deal/details/19168/")</x:f>
      </x:c>
      <x:c r="D2265" t="str">
        <x:v>Реанимация</x:v>
      </x:c>
      <x:c r="E2265" t="str">
        <x:v>ЛИДЫ: Отвалы</x:v>
      </x:c>
      <x:c r="F2265" t="str">
        <x:v>Дарья Исаева</x:v>
      </x:c>
      <x:c r="G2265" t="str">
        <x:v>нет</x:v>
      </x:c>
      <x:c r="H2265" t="str">
        <x:v>нет</x:v>
      </x:c>
    </x:row>
    <x:row r="2266">
      <x:c r="A2266" t="str">
        <x:v>19180</x:v>
      </x:c>
      <x:c r="B2266" t="str">
        <x:v>moscow-stomatolog.ru</x:v>
      </x:c>
      <x:c r="C2266" t="e">
        <x:f>HYPERLINK("https://belberrycrm.bitrix24.ru/crm/deal/details/19180/","https://belberrycrm.bitrix24.ru/crm/deal/details/19180/")</x:f>
      </x:c>
      <x:c r="D2266" t="str">
        <x:v>Реанимация</x:v>
      </x:c>
      <x:c r="E2266" t="str">
        <x:v>ЛИДЫ: Отвалы</x:v>
      </x:c>
      <x:c r="F2266" t="str">
        <x:v>Дарья Исаева</x:v>
      </x:c>
      <x:c r="G2266" t="str">
        <x:v>нет</x:v>
      </x:c>
      <x:c r="H2266" t="str">
        <x:v>нет</x:v>
      </x:c>
    </x:row>
    <x:row r="2267">
      <x:c r="A2267" t="str">
        <x:v>19184</x:v>
      </x:c>
      <x:c r="B2267" t="str">
        <x:v>ooo-blagodat.ru</x:v>
      </x:c>
      <x:c r="C2267" t="e">
        <x:f>HYPERLINK("https://belberrycrm.bitrix24.ru/crm/deal/details/19184/","https://belberrycrm.bitrix24.ru/crm/deal/details/19184/")</x:f>
      </x:c>
      <x:c r="D2267" t="str">
        <x:v>Реанимация</x:v>
      </x:c>
      <x:c r="E2267" t="str">
        <x:v>ЛИДЫ: Отвалы</x:v>
      </x:c>
      <x:c r="F2267" t="str">
        <x:v>Дарья Исаева</x:v>
      </x:c>
      <x:c r="G2267" t="str">
        <x:v>да</x:v>
      </x:c>
      <x:c r="H2267" t="str">
        <x:v>нет</x:v>
      </x:c>
    </x:row>
    <x:row r="2268">
      <x:c r="A2268" t="str">
        <x:v>19204</x:v>
      </x:c>
      <x:c r="B2268" t="str">
        <x:v>Заказ интернет-магазина №182</x:v>
      </x:c>
      <x:c r="C2268" t="e">
        <x:f>HYPERLINK("https://belberrycrm.bitrix24.ru/crm/deal/details/19204/","https://belberrycrm.bitrix24.ru/crm/deal/details/19204/")</x:f>
      </x:c>
      <x:c r="D2268" t="str">
        <x:v>Реанимация</x:v>
      </x:c>
      <x:c r="E2268" t="str">
        <x:v>АРХИВ Общая</x:v>
      </x:c>
      <x:c r="F2268" t="str">
        <x:v>Анна Гудинова</x:v>
      </x:c>
      <x:c r="G2268" t="str">
        <x:v>нет</x:v>
      </x:c>
      <x:c r="H2268" t="str">
        <x:v>нет</x:v>
      </x:c>
    </x:row>
    <x:row r="2269">
      <x:c r="A2269" t="str">
        <x:v>19214</x:v>
      </x:c>
      <x:c r="B2269" t="str">
        <x:v>glassvita.ru</x:v>
      </x:c>
      <x:c r="C2269" t="e">
        <x:f>HYPERLINK("https://belberrycrm.bitrix24.ru/crm/deal/details/19214/","https://belberrycrm.bitrix24.ru/crm/deal/details/19214/")</x:f>
      </x:c>
      <x:c r="D2269" t="str">
        <x:v>Реанимация</x:v>
      </x:c>
      <x:c r="E2269" t="str">
        <x:v>ЛИДЫ: Отвалы</x:v>
      </x:c>
      <x:c r="F2269" t="str">
        <x:v>Дарья Исаева</x:v>
      </x:c>
      <x:c r="G2269" t="str">
        <x:v>нет</x:v>
      </x:c>
      <x:c r="H2269" t="str">
        <x:v>нет</x:v>
      </x:c>
    </x:row>
    <x:row r="2270">
      <x:c r="A2270" t="str">
        <x:v>19220</x:v>
      </x:c>
      <x:c r="B2270" t="str">
        <x:v>dental-na-warshawke.ru</x:v>
      </x:c>
      <x:c r="C2270" t="e">
        <x:f>HYPERLINK("https://belberrycrm.bitrix24.ru/crm/deal/details/19220/","https://belberrycrm.bitrix24.ru/crm/deal/details/19220/")</x:f>
      </x:c>
      <x:c r="D2270" t="str">
        <x:v>Реанимация</x:v>
      </x:c>
      <x:c r="E2270" t="str">
        <x:v>ЛИДЫ: Отвалы</x:v>
      </x:c>
      <x:c r="F2270" t="str">
        <x:v>Дарья Исаева</x:v>
      </x:c>
      <x:c r="G2270" t="str">
        <x:v>нет</x:v>
      </x:c>
      <x:c r="H2270" t="str">
        <x:v>нет</x:v>
      </x:c>
    </x:row>
    <x:row r="2271">
      <x:c r="A2271" t="str">
        <x:v>19228</x:v>
      </x:c>
      <x:c r="B2271" t="str">
        <x:v>1-stomatologiya.ru</x:v>
      </x:c>
      <x:c r="C2271" t="e">
        <x:f>HYPERLINK("https://belberrycrm.bitrix24.ru/crm/deal/details/19228/","https://belberrycrm.bitrix24.ru/crm/deal/details/19228/")</x:f>
      </x:c>
      <x:c r="D2271" t="str">
        <x:v>Реанимация</x:v>
      </x:c>
      <x:c r="E2271" t="str">
        <x:v>ЛИДЫ: Отвалы</x:v>
      </x:c>
      <x:c r="F2271" t="str">
        <x:v>Александр Голядкин</x:v>
      </x:c>
      <x:c r="G2271" t="str">
        <x:v>нет</x:v>
      </x:c>
      <x:c r="H2271" t="str">
        <x:v>нет</x:v>
      </x:c>
    </x:row>
    <x:row r="2272">
      <x:c r="A2272" t="str">
        <x:v>19232</x:v>
      </x:c>
      <x:c r="B2272" t="str">
        <x:v>a2spa.ru</x:v>
      </x:c>
      <x:c r="C2272" t="e">
        <x:f>HYPERLINK("https://belberrycrm.bitrix24.ru/crm/deal/details/19232/","https://belberrycrm.bitrix24.ru/crm/deal/details/19232/")</x:f>
      </x:c>
      <x:c r="D2272" t="str">
        <x:v>Реанимация</x:v>
      </x:c>
      <x:c r="E2272" t="str">
        <x:v>ЛИДЫ: Отвалы</x:v>
      </x:c>
      <x:c r="F2272" t="str">
        <x:v>Дарья Исаева</x:v>
      </x:c>
      <x:c r="G2272" t="str">
        <x:v>нет</x:v>
      </x:c>
      <x:c r="H2272" t="str">
        <x:v>нет</x:v>
      </x:c>
    </x:row>
    <x:row r="2273">
      <x:c r="A2273" t="str">
        <x:v>19270</x:v>
      </x:c>
      <x:c r="B2273" t="str">
        <x:v>implantdentals.ru</x:v>
      </x:c>
      <x:c r="C2273" t="e">
        <x:f>HYPERLINK("https://belberrycrm.bitrix24.ru/crm/deal/details/19270/","https://belberrycrm.bitrix24.ru/crm/deal/details/19270/")</x:f>
      </x:c>
      <x:c r="D2273" t="str">
        <x:v>Реанимация</x:v>
      </x:c>
      <x:c r="E2273" t="str">
        <x:v>ЛИДЫ: Отвалы</x:v>
      </x:c>
      <x:c r="F2273" t="str">
        <x:v>Александр Голядкин</x:v>
      </x:c>
      <x:c r="G2273" t="str">
        <x:v>нет</x:v>
      </x:c>
      <x:c r="H2273" t="str">
        <x:v>нет</x:v>
      </x:c>
    </x:row>
    <x:row r="2274">
      <x:c r="A2274" t="str">
        <x:v>19278</x:v>
      </x:c>
      <x:c r="B2274" t="str">
        <x:v>anriy-dent.ru</x:v>
      </x:c>
      <x:c r="C2274" t="e">
        <x:f>HYPERLINK("https://belberrycrm.bitrix24.ru/crm/deal/details/19278/","https://belberrycrm.bitrix24.ru/crm/deal/details/19278/")</x:f>
      </x:c>
      <x:c r="D2274" t="str">
        <x:v>Реанимация</x:v>
      </x:c>
      <x:c r="E2274" t="str">
        <x:v>ЛИДЫ: Отвалы</x:v>
      </x:c>
      <x:c r="F2274" t="str">
        <x:v>Дарья Исаева</x:v>
      </x:c>
      <x:c r="G2274" t="str">
        <x:v>нет</x:v>
      </x:c>
      <x:c r="H2274" t="str">
        <x:v>нет</x:v>
      </x:c>
    </x:row>
    <x:row r="2275">
      <x:c r="A2275" t="str">
        <x:v>19280</x:v>
      </x:c>
      <x:c r="B2275" t="str">
        <x:v>arbatclinic.ru</x:v>
      </x:c>
      <x:c r="C2275" t="e">
        <x:f>HYPERLINK("https://belberrycrm.bitrix24.ru/crm/deal/details/19280/","https://belberrycrm.bitrix24.ru/crm/deal/details/19280/")</x:f>
      </x:c>
      <x:c r="D2275" t="str">
        <x:v>Реанимация</x:v>
      </x:c>
      <x:c r="E2275" t="str">
        <x:v>ЛИДЫ: Отвалы</x:v>
      </x:c>
      <x:c r="F2275" t="str">
        <x:v>Александр Голядкин</x:v>
      </x:c>
      <x:c r="G2275" t="str">
        <x:v>нет</x:v>
      </x:c>
      <x:c r="H2275" t="str">
        <x:v>нет</x:v>
      </x:c>
    </x:row>
    <x:row r="2276">
      <x:c r="A2276" t="str">
        <x:v>19296</x:v>
      </x:c>
      <x:c r="B2276" t="str">
        <x:v>astraclinic.ru</x:v>
      </x:c>
      <x:c r="C2276" t="e">
        <x:f>HYPERLINK("https://belberrycrm.bitrix24.ru/crm/deal/details/19296/","https://belberrycrm.bitrix24.ru/crm/deal/details/19296/")</x:f>
      </x:c>
      <x:c r="D2276" t="str">
        <x:v>Реанимация</x:v>
      </x:c>
      <x:c r="E2276" t="str">
        <x:v>ЛИДЫ: Отвалы</x:v>
      </x:c>
      <x:c r="F2276" t="str">
        <x:v>Дарья Исаева</x:v>
      </x:c>
      <x:c r="G2276" t="str">
        <x:v>нет</x:v>
      </x:c>
      <x:c r="H2276" t="str">
        <x:v>нет</x:v>
      </x:c>
    </x:row>
    <x:row r="2277">
      <x:c r="A2277" t="str">
        <x:v>19298</x:v>
      </x:c>
      <x:c r="B2277" t="str">
        <x:v>astrodent.ru</x:v>
      </x:c>
      <x:c r="C2277" t="e">
        <x:f>HYPERLINK("https://belberrycrm.bitrix24.ru/crm/deal/details/19298/","https://belberrycrm.bitrix24.ru/crm/deal/details/19298/")</x:f>
      </x:c>
      <x:c r="D2277" t="str">
        <x:v>Реанимация</x:v>
      </x:c>
      <x:c r="E2277" t="str">
        <x:v>ЛИДЫ: Отвалы</x:v>
      </x:c>
      <x:c r="F2277" t="str">
        <x:v>Дарья Исаева</x:v>
      </x:c>
      <x:c r="G2277" t="str">
        <x:v>нет</x:v>
      </x:c>
      <x:c r="H2277" t="str">
        <x:v>нет</x:v>
      </x:c>
    </x:row>
    <x:row r="2278">
      <x:c r="A2278" t="str">
        <x:v>19326</x:v>
      </x:c>
      <x:c r="B2278" t="str">
        <x:v>bobrovclinic.ru</x:v>
      </x:c>
      <x:c r="C2278" t="e">
        <x:f>HYPERLINK("https://belberrycrm.bitrix24.ru/crm/deal/details/19326/","https://belberrycrm.bitrix24.ru/crm/deal/details/19326/")</x:f>
      </x:c>
      <x:c r="D2278" t="str">
        <x:v>Реанимация</x:v>
      </x:c>
      <x:c r="E2278" t="str">
        <x:v>ЛИДЫ: Отвалы</x:v>
      </x:c>
      <x:c r="F2278" t="str">
        <x:v>Дарья Исаева</x:v>
      </x:c>
      <x:c r="G2278" t="str">
        <x:v>нет</x:v>
      </x:c>
      <x:c r="H2278" t="str">
        <x:v>нет</x:v>
      </x:c>
    </x:row>
    <x:row r="2279">
      <x:c r="A2279" t="str">
        <x:v>19350</x:v>
      </x:c>
      <x:c r="B2279" t="str">
        <x:v>cliniczet.ru</x:v>
      </x:c>
      <x:c r="C2279" t="e">
        <x:f>HYPERLINK("https://belberrycrm.bitrix24.ru/crm/deal/details/19350/","https://belberrycrm.bitrix24.ru/crm/deal/details/19350/")</x:f>
      </x:c>
      <x:c r="D2279" t="str">
        <x:v>Реанимация</x:v>
      </x:c>
      <x:c r="E2279" t="str">
        <x:v>ЛИДЫ: Отвалы</x:v>
      </x:c>
      <x:c r="F2279" t="str">
        <x:v>Дарья Исаева</x:v>
      </x:c>
      <x:c r="G2279" t="str">
        <x:v>нет</x:v>
      </x:c>
      <x:c r="H2279" t="str">
        <x:v>нет</x:v>
      </x:c>
    </x:row>
    <x:row r="2280">
      <x:c r="A2280" t="str">
        <x:v>19352</x:v>
      </x:c>
      <x:c r="B2280" t="str">
        <x:v>commed-s.ru</x:v>
      </x:c>
      <x:c r="C2280" t="e">
        <x:f>HYPERLINK("https://belberrycrm.bitrix24.ru/crm/deal/details/19352/","https://belberrycrm.bitrix24.ru/crm/deal/details/19352/")</x:f>
      </x:c>
      <x:c r="D2280" t="str">
        <x:v>Реанимация</x:v>
      </x:c>
      <x:c r="E2280" t="str">
        <x:v>ЛИДЫ: Отвалы</x:v>
      </x:c>
      <x:c r="F2280" t="str">
        <x:v>Александр Голядкин</x:v>
      </x:c>
      <x:c r="G2280" t="str">
        <x:v>нет</x:v>
      </x:c>
      <x:c r="H2280" t="str">
        <x:v>нет</x:v>
      </x:c>
    </x:row>
    <x:row r="2281">
      <x:c r="A2281" t="str">
        <x:v>19384</x:v>
      </x:c>
      <x:c r="B2281" t="str">
        <x:v>dobriy-doktor.ru</x:v>
      </x:c>
      <x:c r="C2281" t="e">
        <x:f>HYPERLINK("https://belberrycrm.bitrix24.ru/crm/deal/details/19384/","https://belberrycrm.bitrix24.ru/crm/deal/details/19384/")</x:f>
      </x:c>
      <x:c r="D2281" t="str">
        <x:v>Реанимация</x:v>
      </x:c>
      <x:c r="E2281" t="str">
        <x:v>ЛИДЫ: Отвалы</x:v>
      </x:c>
      <x:c r="F2281" t="str">
        <x:v>Дарья Исаева</x:v>
      </x:c>
      <x:c r="G2281" t="str">
        <x:v>нет</x:v>
      </x:c>
      <x:c r="H2281" t="str">
        <x:v>нет</x:v>
      </x:c>
    </x:row>
    <x:row r="2282">
      <x:c r="A2282" t="str">
        <x:v>19388</x:v>
      </x:c>
      <x:c r="B2282" t="str">
        <x:v>doctor-glazov.ru</x:v>
      </x:c>
      <x:c r="C2282" t="e">
        <x:f>HYPERLINK("https://belberrycrm.bitrix24.ru/crm/deal/details/19388/","https://belberrycrm.bitrix24.ru/crm/deal/details/19388/")</x:f>
      </x:c>
      <x:c r="D2282" t="str">
        <x:v>Реанимация</x:v>
      </x:c>
      <x:c r="E2282" t="str">
        <x:v>ЛИДЫ: Отвалы</x:v>
      </x:c>
      <x:c r="F2282" t="str">
        <x:v>Дарья Исаева</x:v>
      </x:c>
      <x:c r="G2282" t="str">
        <x:v>нет</x:v>
      </x:c>
      <x:c r="H2282" t="str">
        <x:v>нет</x:v>
      </x:c>
    </x:row>
    <x:row r="2283">
      <x:c r="A2283" t="str">
        <x:v>19390</x:v>
      </x:c>
      <x:c r="B2283" t="str">
        <x:v>doktorzubnoff.ru</x:v>
      </x:c>
      <x:c r="C2283" t="e">
        <x:f>HYPERLINK("https://belberrycrm.bitrix24.ru/crm/deal/details/19390/","https://belberrycrm.bitrix24.ru/crm/deal/details/19390/")</x:f>
      </x:c>
      <x:c r="D2283" t="str">
        <x:v>Реанимация</x:v>
      </x:c>
      <x:c r="E2283" t="str">
        <x:v>ЛИДЫ: Отвалы</x:v>
      </x:c>
      <x:c r="F2283" t="str">
        <x:v>Дарья Исаева</x:v>
      </x:c>
      <x:c r="G2283" t="str">
        <x:v>нет</x:v>
      </x:c>
      <x:c r="H2283" t="str">
        <x:v>нет</x:v>
      </x:c>
    </x:row>
    <x:row r="2284">
      <x:c r="A2284" t="str">
        <x:v>19422</x:v>
      </x:c>
      <x:c r="B2284" t="str">
        <x:v>farma-dent.com</x:v>
      </x:c>
      <x:c r="C2284" t="e">
        <x:f>HYPERLINK("https://belberrycrm.bitrix24.ru/crm/deal/details/19422/","https://belberrycrm.bitrix24.ru/crm/deal/details/19422/")</x:f>
      </x:c>
      <x:c r="D2284" t="str">
        <x:v>Реанимация</x:v>
      </x:c>
      <x:c r="E2284" t="str">
        <x:v>ЛИДЫ: Отвалы</x:v>
      </x:c>
      <x:c r="F2284" t="str">
        <x:v>Дарья Исаева</x:v>
      </x:c>
      <x:c r="G2284" t="str">
        <x:v>нет</x:v>
      </x:c>
      <x:c r="H2284" t="str">
        <x:v>нет</x:v>
      </x:c>
    </x:row>
    <x:row r="2285">
      <x:c r="A2285" t="str">
        <x:v>19438</x:v>
      </x:c>
      <x:c r="B2285" t="str">
        <x:v>hgclinic.ru</x:v>
      </x:c>
      <x:c r="C2285" t="e">
        <x:f>HYPERLINK("https://belberrycrm.bitrix24.ru/crm/deal/details/19438/","https://belberrycrm.bitrix24.ru/crm/deal/details/19438/")</x:f>
      </x:c>
      <x:c r="D2285" t="str">
        <x:v>Реанимация</x:v>
      </x:c>
      <x:c r="E2285" t="str">
        <x:v>ЛИДЫ: Отвалы</x:v>
      </x:c>
      <x:c r="F2285" t="str">
        <x:v>Дарья Исаева</x:v>
      </x:c>
      <x:c r="G2285" t="str">
        <x:v>нет</x:v>
      </x:c>
      <x:c r="H2285" t="str">
        <x:v>нет</x:v>
      </x:c>
    </x:row>
    <x:row r="2286">
      <x:c r="A2286" t="str">
        <x:v>19448</x:v>
      </x:c>
      <x:c r="B2286" t="str">
        <x:v>impla.spb.ru</x:v>
      </x:c>
      <x:c r="C2286" t="e">
        <x:f>HYPERLINK("https://belberrycrm.bitrix24.ru/crm/deal/details/19448/","https://belberrycrm.bitrix24.ru/crm/deal/details/19448/")</x:f>
      </x:c>
      <x:c r="D2286" t="str">
        <x:v>Реанимация</x:v>
      </x:c>
      <x:c r="E2286" t="str">
        <x:v>ЛИДЫ: Отвалы</x:v>
      </x:c>
      <x:c r="F2286" t="str">
        <x:v>Дарья Исаева</x:v>
      </x:c>
      <x:c r="G2286" t="str">
        <x:v>нет</x:v>
      </x:c>
      <x:c r="H2286" t="str">
        <x:v>нет</x:v>
      </x:c>
    </x:row>
    <x:row r="2287">
      <x:c r="A2287" t="str">
        <x:v>19504</x:v>
      </x:c>
      <x:c r="B2287" t="str">
        <x:v>moscowdentalclinic.ru</x:v>
      </x:c>
      <x:c r="C2287" t="e">
        <x:f>HYPERLINK("https://belberrycrm.bitrix24.ru/crm/deal/details/19504/","https://belberrycrm.bitrix24.ru/crm/deal/details/19504/")</x:f>
      </x:c>
      <x:c r="D2287" t="str">
        <x:v>Реанимация</x:v>
      </x:c>
      <x:c r="E2287" t="str">
        <x:v>ЛИДЫ: Отвалы</x:v>
      </x:c>
      <x:c r="F2287" t="str">
        <x:v>Петр Дудин</x:v>
      </x:c>
      <x:c r="G2287" t="str">
        <x:v>нет</x:v>
      </x:c>
      <x:c r="H2287" t="str">
        <x:v>нет</x:v>
      </x:c>
    </x:row>
    <x:row r="2288">
      <x:c r="A2288" t="str">
        <x:v>19506</x:v>
      </x:c>
      <x:c r="B2288" t="str">
        <x:v>mrt96.ru</x:v>
      </x:c>
      <x:c r="C2288" t="e">
        <x:f>HYPERLINK("https://belberrycrm.bitrix24.ru/crm/deal/details/19506/","https://belberrycrm.bitrix24.ru/crm/deal/details/19506/")</x:f>
      </x:c>
      <x:c r="D2288" t="str">
        <x:v>Реанимация</x:v>
      </x:c>
      <x:c r="E2288" t="str">
        <x:v>ЛИДЫ: Отвалы</x:v>
      </x:c>
      <x:c r="F2288" t="str">
        <x:v>Дарья Исаева</x:v>
      </x:c>
      <x:c r="G2288" t="str">
        <x:v>нет</x:v>
      </x:c>
      <x:c r="H2288" t="str">
        <x:v>нет</x:v>
      </x:c>
    </x:row>
    <x:row r="2289">
      <x:c r="A2289" t="str">
        <x:v>19510</x:v>
      </x:c>
      <x:c r="B2289" t="str">
        <x:v>obuhova-school.ru</x:v>
      </x:c>
      <x:c r="C2289" t="e">
        <x:f>HYPERLINK("https://belberrycrm.bitrix24.ru/crm/deal/details/19510/","https://belberrycrm.bitrix24.ru/crm/deal/details/19510/")</x:f>
      </x:c>
      <x:c r="D2289" t="str">
        <x:v>Реанимация</x:v>
      </x:c>
      <x:c r="E2289" t="str">
        <x:v>ЛИДЫ: Отвалы</x:v>
      </x:c>
      <x:c r="F2289" t="str">
        <x:v>Евгения Гордиенко</x:v>
      </x:c>
      <x:c r="G2289" t="str">
        <x:v>нет</x:v>
      </x:c>
      <x:c r="H2289" t="str">
        <x:v>нет</x:v>
      </x:c>
    </x:row>
    <x:row r="2290">
      <x:c r="A2290" t="str">
        <x:v>19514</x:v>
      </x:c>
      <x:c r="B2290" t="str">
        <x:v>optikmir.ru</x:v>
      </x:c>
      <x:c r="C2290" t="e">
        <x:f>HYPERLINK("https://belberrycrm.bitrix24.ru/crm/deal/details/19514/","https://belberrycrm.bitrix24.ru/crm/deal/details/19514/")</x:f>
      </x:c>
      <x:c r="D2290" t="str">
        <x:v>Реанимация</x:v>
      </x:c>
      <x:c r="E2290" t="str">
        <x:v>ЛИДЫ: Отвалы</x:v>
      </x:c>
      <x:c r="F2290" t="str">
        <x:v>Александр Голядкин</x:v>
      </x:c>
      <x:c r="G2290" t="str">
        <x:v>нет</x:v>
      </x:c>
      <x:c r="H2290" t="str">
        <x:v>нет</x:v>
      </x:c>
    </x:row>
    <x:row r="2291">
      <x:c r="A2291" t="str">
        <x:v>19520</x:v>
      </x:c>
      <x:c r="B2291" t="str">
        <x:v>panda-clinic.ru</x:v>
      </x:c>
      <x:c r="C2291" t="e">
        <x:f>HYPERLINK("https://belberrycrm.bitrix24.ru/crm/deal/details/19520/","https://belberrycrm.bitrix24.ru/crm/deal/details/19520/")</x:f>
      </x:c>
      <x:c r="D2291" t="str">
        <x:v>Реанимация</x:v>
      </x:c>
      <x:c r="E2291" t="str">
        <x:v>ЛИДЫ: Отвалы</x:v>
      </x:c>
      <x:c r="F2291" t="str">
        <x:v>Александр Голядкин</x:v>
      </x:c>
      <x:c r="G2291" t="str">
        <x:v>нет</x:v>
      </x:c>
      <x:c r="H2291" t="str">
        <x:v>нет</x:v>
      </x:c>
    </x:row>
    <x:row r="2292">
      <x:c r="A2292" t="str">
        <x:v>19522</x:v>
      </x:c>
      <x:c r="B2292" t="str">
        <x:v>platinel.ru</x:v>
      </x:c>
      <x:c r="C2292" t="e">
        <x:f>HYPERLINK("https://belberrycrm.bitrix24.ru/crm/deal/details/19522/","https://belberrycrm.bitrix24.ru/crm/deal/details/19522/")</x:f>
      </x:c>
      <x:c r="D2292" t="str">
        <x:v>Реанимация</x:v>
      </x:c>
      <x:c r="E2292" t="str">
        <x:v>ЛИДЫ: Отвалы</x:v>
      </x:c>
      <x:c r="F2292" t="str">
        <x:v>Мария Ус</x:v>
      </x:c>
      <x:c r="G2292" t="str">
        <x:v>нет</x:v>
      </x:c>
      <x:c r="H2292" t="str">
        <x:v>нет</x:v>
      </x:c>
    </x:row>
    <x:row r="2293">
      <x:c r="A2293" t="str">
        <x:v>19526</x:v>
      </x:c>
      <x:c r="B2293" t="str">
        <x:v>polar-opt.ru</x:v>
      </x:c>
      <x:c r="C2293" t="e">
        <x:f>HYPERLINK("https://belberrycrm.bitrix24.ru/crm/deal/details/19526/","https://belberrycrm.bitrix24.ru/crm/deal/details/19526/")</x:f>
      </x:c>
      <x:c r="D2293" t="str">
        <x:v>Реанимация</x:v>
      </x:c>
      <x:c r="E2293" t="str">
        <x:v>ЛИДЫ: Отвалы</x:v>
      </x:c>
      <x:c r="F2293" t="str">
        <x:v>Александр Голядкин</x:v>
      </x:c>
      <x:c r="G2293" t="str">
        <x:v>нет</x:v>
      </x:c>
      <x:c r="H2293" t="str">
        <x:v>нет</x:v>
      </x:c>
    </x:row>
    <x:row r="2294">
      <x:c r="A2294" t="str">
        <x:v>19532</x:v>
      </x:c>
      <x:c r="B2294" t="str">
        <x:v>royalmedic.ru</x:v>
      </x:c>
      <x:c r="C2294" t="e">
        <x:f>HYPERLINK("https://belberrycrm.bitrix24.ru/crm/deal/details/19532/","https://belberrycrm.bitrix24.ru/crm/deal/details/19532/")</x:f>
      </x:c>
      <x:c r="D2294" t="str">
        <x:v>Реанимация</x:v>
      </x:c>
      <x:c r="E2294" t="str">
        <x:v>ЛИДЫ: Отвалы</x:v>
      </x:c>
      <x:c r="F2294" t="str">
        <x:v>Александр Голядкин</x:v>
      </x:c>
      <x:c r="G2294" t="str">
        <x:v>нет</x:v>
      </x:c>
      <x:c r="H2294" t="str">
        <x:v>нет</x:v>
      </x:c>
    </x:row>
    <x:row r="2295">
      <x:c r="A2295" t="str">
        <x:v>19538</x:v>
      </x:c>
      <x:c r="B2295" t="str">
        <x:v>stanock.ru</x:v>
      </x:c>
      <x:c r="C2295" t="e">
        <x:f>HYPERLINK("https://belberrycrm.bitrix24.ru/crm/deal/details/19538/","https://belberrycrm.bitrix24.ru/crm/deal/details/19538/")</x:f>
      </x:c>
      <x:c r="D2295" t="str">
        <x:v>Реанимация</x:v>
      </x:c>
      <x:c r="E2295" t="str">
        <x:v>ЛИДЫ: Отвалы</x:v>
      </x:c>
      <x:c r="F2295" t="str">
        <x:v>Александр Голядкин</x:v>
      </x:c>
      <x:c r="G2295" t="str">
        <x:v>нет</x:v>
      </x:c>
      <x:c r="H2295" t="str">
        <x:v>нет</x:v>
      </x:c>
    </x:row>
    <x:row r="2296">
      <x:c r="A2296" t="str">
        <x:v>19544</x:v>
      </x:c>
      <x:c r="B2296" t="str">
        <x:v>terapiakrasoty.ru</x:v>
      </x:c>
      <x:c r="C2296" t="e">
        <x:f>HYPERLINK("https://belberrycrm.bitrix24.ru/crm/deal/details/19544/","https://belberrycrm.bitrix24.ru/crm/deal/details/19544/")</x:f>
      </x:c>
      <x:c r="D2296" t="str">
        <x:v>Реанимация</x:v>
      </x:c>
      <x:c r="E2296" t="str">
        <x:v>ЛИДЫ: Отвалы</x:v>
      </x:c>
      <x:c r="F2296" t="str">
        <x:v>Александр Голядкин</x:v>
      </x:c>
      <x:c r="G2296" t="str">
        <x:v>нет</x:v>
      </x:c>
      <x:c r="H2296" t="str">
        <x:v>нет</x:v>
      </x:c>
    </x:row>
    <x:row r="2297">
      <x:c r="A2297" t="str">
        <x:v>19546</x:v>
      </x:c>
      <x:c r="B2297" t="str">
        <x:v>tradicii-spb.ru</x:v>
      </x:c>
      <x:c r="C2297" t="e">
        <x:f>HYPERLINK("https://belberrycrm.bitrix24.ru/crm/deal/details/19546/","https://belberrycrm.bitrix24.ru/crm/deal/details/19546/")</x:f>
      </x:c>
      <x:c r="D2297" t="str">
        <x:v>Реанимация</x:v>
      </x:c>
      <x:c r="E2297" t="str">
        <x:v>ЛИДЫ: Отвалы</x:v>
      </x:c>
      <x:c r="F2297" t="str">
        <x:v>Дарья Исаева</x:v>
      </x:c>
      <x:c r="G2297" t="str">
        <x:v>нет</x:v>
      </x:c>
      <x:c r="H2297" t="str">
        <x:v>нет</x:v>
      </x:c>
    </x:row>
    <x:row r="2298">
      <x:c r="A2298" t="str">
        <x:v>19552</x:v>
      </x:c>
      <x:c r="B2298" t="str">
        <x:v>vd-stomatologiya.ru</x:v>
      </x:c>
      <x:c r="C2298" t="e">
        <x:f>HYPERLINK("https://belberrycrm.bitrix24.ru/crm/deal/details/19552/","https://belberrycrm.bitrix24.ru/crm/deal/details/19552/")</x:f>
      </x:c>
      <x:c r="D2298" t="str">
        <x:v>Реанимация</x:v>
      </x:c>
      <x:c r="E2298" t="str">
        <x:v>ЛИДЫ: Отвалы</x:v>
      </x:c>
      <x:c r="F2298" t="str">
        <x:v>Дарья Исаева</x:v>
      </x:c>
      <x:c r="G2298" t="str">
        <x:v>нет</x:v>
      </x:c>
      <x:c r="H2298" t="str">
        <x:v>нет</x:v>
      </x:c>
    </x:row>
    <x:row r="2299">
      <x:c r="A2299" t="str">
        <x:v>19554</x:v>
      </x:c>
      <x:c r="B2299" t="str">
        <x:v>veigel.ru</x:v>
      </x:c>
      <x:c r="C2299" t="e">
        <x:f>HYPERLINK("https://belberrycrm.bitrix24.ru/crm/deal/details/19554/","https://belberrycrm.bitrix24.ru/crm/deal/details/19554/")</x:f>
      </x:c>
      <x:c r="D2299" t="str">
        <x:v>Реанимация</x:v>
      </x:c>
      <x:c r="E2299" t="str">
        <x:v>ЛИДЫ: Отвалы</x:v>
      </x:c>
      <x:c r="F2299" t="str">
        <x:v>Екатерина Кохтачева</x:v>
      </x:c>
      <x:c r="G2299" t="str">
        <x:v>нет</x:v>
      </x:c>
      <x:c r="H2299" t="str">
        <x:v>нет</x:v>
      </x:c>
    </x:row>
    <x:row r="2300">
      <x:c r="A2300" t="str">
        <x:v>19556</x:v>
      </x:c>
      <x:c r="B2300" t="str">
        <x:v>veinaest.pro</x:v>
      </x:c>
      <x:c r="C2300" t="e">
        <x:f>HYPERLINK("https://belberrycrm.bitrix24.ru/crm/deal/details/19556/","https://belberrycrm.bitrix24.ru/crm/deal/details/19556/")</x:f>
      </x:c>
      <x:c r="D2300" t="str">
        <x:v>Реанимация</x:v>
      </x:c>
      <x:c r="E2300" t="str">
        <x:v>ЛИДЫ: Отвалы</x:v>
      </x:c>
      <x:c r="F2300" t="str">
        <x:v>Дарья Исаева</x:v>
      </x:c>
      <x:c r="G2300" t="str">
        <x:v>нет</x:v>
      </x:c>
      <x:c r="H2300" t="str">
        <x:v>нет</x:v>
      </x:c>
    </x:row>
    <x:row r="2301">
      <x:c r="A2301" t="str">
        <x:v>19560</x:v>
      </x:c>
      <x:c r="B2301" t="str">
        <x:v>verybest.ru</x:v>
      </x:c>
      <x:c r="C2301" t="e">
        <x:f>HYPERLINK("https://belberrycrm.bitrix24.ru/crm/deal/details/19560/","https://belberrycrm.bitrix24.ru/crm/deal/details/19560/")</x:f>
      </x:c>
      <x:c r="D2301" t="str">
        <x:v>Реанимация</x:v>
      </x:c>
      <x:c r="E2301" t="str">
        <x:v>ЛИДЫ: Отвалы</x:v>
      </x:c>
      <x:c r="F2301" t="str">
        <x:v>Екатерина Кохтачева</x:v>
      </x:c>
      <x:c r="G2301" t="str">
        <x:v>нет</x:v>
      </x:c>
      <x:c r="H2301" t="str">
        <x:v>нет</x:v>
      </x:c>
    </x:row>
    <x:row r="2302">
      <x:c r="A2302" t="str">
        <x:v>19562</x:v>
      </x:c>
      <x:c r="B2302" t="str">
        <x:v>vgmedic.ru</x:v>
      </x:c>
      <x:c r="C2302" t="e">
        <x:f>HYPERLINK("https://belberrycrm.bitrix24.ru/crm/deal/details/19562/","https://belberrycrm.bitrix24.ru/crm/deal/details/19562/")</x:f>
      </x:c>
      <x:c r="D2302" t="str">
        <x:v>Реанимация</x:v>
      </x:c>
      <x:c r="E2302" t="str">
        <x:v>ЛИДЫ: Отвалы</x:v>
      </x:c>
      <x:c r="F2302" t="str">
        <x:v>Екатерина Кохтачева</x:v>
      </x:c>
      <x:c r="G2302" t="str">
        <x:v>нет</x:v>
      </x:c>
      <x:c r="H2302" t="str">
        <x:v>нет</x:v>
      </x:c>
    </x:row>
    <x:row r="2303">
      <x:c r="A2303" t="str">
        <x:v>19566</x:v>
      </x:c>
      <x:c r="B2303" t="str">
        <x:v>virend.ru</x:v>
      </x:c>
      <x:c r="C2303" t="e">
        <x:f>HYPERLINK("https://belberrycrm.bitrix24.ru/crm/deal/details/19566/","https://belberrycrm.bitrix24.ru/crm/deal/details/19566/")</x:f>
      </x:c>
      <x:c r="D2303" t="str">
        <x:v>Реанимация</x:v>
      </x:c>
      <x:c r="E2303" t="str">
        <x:v>ЛИДЫ: Отвалы</x:v>
      </x:c>
      <x:c r="F2303" t="str">
        <x:v>Екатерина Кохтачева</x:v>
      </x:c>
      <x:c r="G2303" t="str">
        <x:v>нет</x:v>
      </x:c>
      <x:c r="H2303" t="str">
        <x:v>нет</x:v>
      </x:c>
    </x:row>
    <x:row r="2304">
      <x:c r="A2304" t="str">
        <x:v>19568</x:v>
      </x:c>
      <x:c r="B2304" t="str">
        <x:v>vitadent-m.ru</x:v>
      </x:c>
      <x:c r="C2304" t="e">
        <x:f>HYPERLINK("https://belberrycrm.bitrix24.ru/crm/deal/details/19568/","https://belberrycrm.bitrix24.ru/crm/deal/details/19568/")</x:f>
      </x:c>
      <x:c r="D2304" t="str">
        <x:v>Реанимация</x:v>
      </x:c>
      <x:c r="E2304" t="str">
        <x:v>ЛИДЫ: Отвалы</x:v>
      </x:c>
      <x:c r="F2304" t="str">
        <x:v>Александр Голядкин</x:v>
      </x:c>
      <x:c r="G2304" t="str">
        <x:v>да</x:v>
      </x:c>
      <x:c r="H2304" t="str">
        <x:v>нет</x:v>
      </x:c>
    </x:row>
    <x:row r="2305">
      <x:c r="A2305" t="str">
        <x:v>19570</x:v>
      </x:c>
      <x:c r="B2305" t="str">
        <x:v>vitamax-moscow.ru</x:v>
      </x:c>
      <x:c r="C2305" t="e">
        <x:f>HYPERLINK("https://belberrycrm.bitrix24.ru/crm/deal/details/19570/","https://belberrycrm.bitrix24.ru/crm/deal/details/19570/")</x:f>
      </x:c>
      <x:c r="D2305" t="str">
        <x:v>Реанимация</x:v>
      </x:c>
      <x:c r="E2305" t="str">
        <x:v>ЛИДЫ: Отвалы</x:v>
      </x:c>
      <x:c r="F2305" t="str">
        <x:v>Александр Голядкин</x:v>
      </x:c>
      <x:c r="G2305" t="str">
        <x:v>да</x:v>
      </x:c>
      <x:c r="H2305" t="str">
        <x:v>нет</x:v>
      </x:c>
    </x:row>
    <x:row r="2306">
      <x:c r="A2306" t="str">
        <x:v>19574</x:v>
      </x:c>
      <x:c r="B2306" t="str">
        <x:v>vitavim.ru</x:v>
      </x:c>
      <x:c r="C2306" t="e">
        <x:f>HYPERLINK("https://belberrycrm.bitrix24.ru/crm/deal/details/19574/","https://belberrycrm.bitrix24.ru/crm/deal/details/19574/")</x:f>
      </x:c>
      <x:c r="D2306" t="str">
        <x:v>Реанимация</x:v>
      </x:c>
      <x:c r="E2306" t="str">
        <x:v>ЛИДЫ: Отвалы</x:v>
      </x:c>
      <x:c r="F2306" t="str">
        <x:v>Екатерина Кохтачева</x:v>
      </x:c>
      <x:c r="G2306" t="str">
        <x:v>нет</x:v>
      </x:c>
      <x:c r="H2306" t="str">
        <x:v>нет</x:v>
      </x:c>
    </x:row>
    <x:row r="2307">
      <x:c r="A2307" t="str">
        <x:v>19576</x:v>
      </x:c>
      <x:c r="B2307" t="str">
        <x:v>windybox.ru</x:v>
      </x:c>
      <x:c r="C2307" t="e">
        <x:f>HYPERLINK("https://belberrycrm.bitrix24.ru/crm/deal/details/19576/","https://belberrycrm.bitrix24.ru/crm/deal/details/19576/")</x:f>
      </x:c>
      <x:c r="D2307" t="str">
        <x:v>Реанимация</x:v>
      </x:c>
      <x:c r="E2307" t="str">
        <x:v>ЛИДЫ: Отвалы</x:v>
      </x:c>
      <x:c r="F2307" t="str">
        <x:v>Александр Голядкин</x:v>
      </x:c>
      <x:c r="G2307" t="str">
        <x:v>нет</x:v>
      </x:c>
      <x:c r="H2307" t="str">
        <x:v>нет</x:v>
      </x:c>
    </x:row>
    <x:row r="2308">
      <x:c r="A2308" t="str">
        <x:v>19580</x:v>
      </x:c>
      <x:c r="B2308" t="str">
        <x:v>zambon.ru</x:v>
      </x:c>
      <x:c r="C2308" t="e">
        <x:f>HYPERLINK("https://belberrycrm.bitrix24.ru/crm/deal/details/19580/","https://belberrycrm.bitrix24.ru/crm/deal/details/19580/")</x:f>
      </x:c>
      <x:c r="D2308" t="str">
        <x:v>Реанимация</x:v>
      </x:c>
      <x:c r="E2308" t="str">
        <x:v>ЛИДЫ: Отвалы</x:v>
      </x:c>
      <x:c r="F2308" t="str">
        <x:v>Александр Голядкин</x:v>
      </x:c>
      <x:c r="G2308" t="str">
        <x:v>нет</x:v>
      </x:c>
      <x:c r="H2308" t="str">
        <x:v>нет</x:v>
      </x:c>
    </x:row>
    <x:row r="2309">
      <x:c r="A2309" t="str">
        <x:v>19582</x:v>
      </x:c>
      <x:c r="B2309" t="str">
        <x:v>zurus.org</x:v>
      </x:c>
      <x:c r="C2309" t="e">
        <x:f>HYPERLINK("https://belberrycrm.bitrix24.ru/crm/deal/details/19582/","https://belberrycrm.bitrix24.ru/crm/deal/details/19582/")</x:f>
      </x:c>
      <x:c r="D2309" t="str">
        <x:v>Реанимация</x:v>
      </x:c>
      <x:c r="E2309" t="str">
        <x:v>ЛИДЫ: Отвалы</x:v>
      </x:c>
      <x:c r="F2309" t="str">
        <x:v>Александр Голядкин</x:v>
      </x:c>
      <x:c r="G2309" t="str">
        <x:v>нет</x:v>
      </x:c>
      <x:c r="H2309" t="str">
        <x:v>нет</x:v>
      </x:c>
    </x:row>
    <x:row r="2310">
      <x:c r="A2310" t="str">
        <x:v>19584</x:v>
      </x:c>
      <x:c r="B2310" t="str">
        <x:v>водный-цветок.рф</x:v>
      </x:c>
      <x:c r="C2310" t="e">
        <x:f>HYPERLINK("https://belberrycrm.bitrix24.ru/crm/deal/details/19584/","https://belberrycrm.bitrix24.ru/crm/deal/details/19584/")</x:f>
      </x:c>
      <x:c r="D2310" t="str">
        <x:v>Реанимация</x:v>
      </x:c>
      <x:c r="E2310" t="str">
        <x:v>ЛИДЫ: Отвалы</x:v>
      </x:c>
      <x:c r="F2310" t="str">
        <x:v>Александр Голядкин</x:v>
      </x:c>
      <x:c r="G2310" t="str">
        <x:v>нет</x:v>
      </x:c>
      <x:c r="H2310" t="str">
        <x:v>нет</x:v>
      </x:c>
    </x:row>
    <x:row r="2311">
      <x:c r="A2311" t="str">
        <x:v>19586</x:v>
      </x:c>
      <x:c r="B2311" t="str">
        <x:v>клиника-гусарова.рф</x:v>
      </x:c>
      <x:c r="C2311" t="e">
        <x:f>HYPERLINK("https://belberrycrm.bitrix24.ru/crm/deal/details/19586/","https://belberrycrm.bitrix24.ru/crm/deal/details/19586/")</x:f>
      </x:c>
      <x:c r="D2311" t="str">
        <x:v>Реанимация</x:v>
      </x:c>
      <x:c r="E2311" t="str">
        <x:v>ЛИДЫ: Отвалы</x:v>
      </x:c>
      <x:c r="F2311" t="str">
        <x:v>Руслан Дмитриев</x:v>
      </x:c>
      <x:c r="G2311" t="str">
        <x:v>нет</x:v>
      </x:c>
      <x:c r="H2311" t="str">
        <x:v>нет</x:v>
      </x:c>
    </x:row>
    <x:row r="2312">
      <x:c r="A2312" t="str">
        <x:v>19588</x:v>
      </x:c>
      <x:c r="B2312" t="str">
        <x:v>ультра-лаб.рф</x:v>
      </x:c>
      <x:c r="C2312" t="e">
        <x:f>HYPERLINK("https://belberrycrm.bitrix24.ru/crm/deal/details/19588/","https://belberrycrm.bitrix24.ru/crm/deal/details/19588/")</x:f>
      </x:c>
      <x:c r="D2312" t="str">
        <x:v>Реанимация</x:v>
      </x:c>
      <x:c r="E2312" t="str">
        <x:v>ЛИДЫ: Отвалы</x:v>
      </x:c>
      <x:c r="F2312" t="str">
        <x:v>Александр Голядкин</x:v>
      </x:c>
      <x:c r="G2312" t="str">
        <x:v>нет</x:v>
      </x:c>
      <x:c r="H2312" t="str">
        <x:v>нет</x:v>
      </x:c>
    </x:row>
    <x:row r="2313">
      <x:c r="A2313" t="str">
        <x:v>19604</x:v>
      </x:c>
      <x:c r="B2313" t="str">
        <x:v>ar-dental.ru</x:v>
      </x:c>
      <x:c r="C2313" t="e">
        <x:f>HYPERLINK("https://belberrycrm.bitrix24.ru/crm/deal/details/19604/","https://belberrycrm.bitrix24.ru/crm/deal/details/19604/")</x:f>
      </x:c>
      <x:c r="D2313" t="str">
        <x:v>Реанимация</x:v>
      </x:c>
      <x:c r="E2313" t="str">
        <x:v>ЛИДЫ: Отвалы</x:v>
      </x:c>
      <x:c r="F2313" t="str">
        <x:v>Дарья Исаева</x:v>
      </x:c>
      <x:c r="G2313" t="str">
        <x:v>нет</x:v>
      </x:c>
      <x:c r="H2313" t="str">
        <x:v>нет</x:v>
      </x:c>
    </x:row>
    <x:row r="2314">
      <x:c r="A2314" t="str">
        <x:v>19614</x:v>
      </x:c>
      <x:c r="B2314" t="str">
        <x:v>medi-art.ru</x:v>
      </x:c>
      <x:c r="C2314" t="e">
        <x:f>HYPERLINK("https://belberrycrm.bitrix24.ru/crm/deal/details/19614/","https://belberrycrm.bitrix24.ru/crm/deal/details/19614/")</x:f>
      </x:c>
      <x:c r="D2314" t="str">
        <x:v>Реанимация</x:v>
      </x:c>
      <x:c r="E2314" t="str">
        <x:v>ЛИДЫ: Отвалы</x:v>
      </x:c>
      <x:c r="F2314" t="str">
        <x:v>Евгения Гордиенко</x:v>
      </x:c>
      <x:c r="G2314" t="str">
        <x:v>нет</x:v>
      </x:c>
      <x:c r="H2314" t="str">
        <x:v>нет</x:v>
      </x:c>
    </x:row>
    <x:row r="2315">
      <x:c r="A2315" t="str">
        <x:v>19622</x:v>
      </x:c>
      <x:c r="B2315" t="str">
        <x:v>a-mediya.ru</x:v>
      </x:c>
      <x:c r="C2315" t="e">
        <x:f>HYPERLINK("https://belberrycrm.bitrix24.ru/crm/deal/details/19622/","https://belberrycrm.bitrix24.ru/crm/deal/details/19622/")</x:f>
      </x:c>
      <x:c r="D2315" t="str">
        <x:v>Реанимация</x:v>
      </x:c>
      <x:c r="E2315" t="str">
        <x:v>ЛИДЫ: Отвалы</x:v>
      </x:c>
      <x:c r="F2315" t="str">
        <x:v>Александр Голядкин</x:v>
      </x:c>
      <x:c r="G2315" t="str">
        <x:v>нет</x:v>
      </x:c>
      <x:c r="H2315" t="str">
        <x:v>нет</x:v>
      </x:c>
    </x:row>
    <x:row r="2316">
      <x:c r="A2316" t="str">
        <x:v>19630</x:v>
      </x:c>
      <x:c r="B2316" t="str">
        <x:v>cmcfedorov.ru</x:v>
      </x:c>
      <x:c r="C2316" t="e">
        <x:f>HYPERLINK("https://belberrycrm.bitrix24.ru/crm/deal/details/19630/","https://belberrycrm.bitrix24.ru/crm/deal/details/19630/")</x:f>
      </x:c>
      <x:c r="D2316" t="str">
        <x:v>Реанимация</x:v>
      </x:c>
      <x:c r="E2316" t="str">
        <x:v>ЛИДЫ: Отвалы</x:v>
      </x:c>
      <x:c r="F2316" t="str">
        <x:v>Дарья Исаева</x:v>
      </x:c>
      <x:c r="G2316" t="str">
        <x:v>нет</x:v>
      </x:c>
      <x:c r="H2316" t="str">
        <x:v>нет</x:v>
      </x:c>
    </x:row>
    <x:row r="2317">
      <x:c r="A2317" t="str">
        <x:v>19634</x:v>
      </x:c>
      <x:c r="B2317" t="str">
        <x:v>clinic-dentas.ru</x:v>
      </x:c>
      <x:c r="C2317" t="e">
        <x:f>HYPERLINK("https://belberrycrm.bitrix24.ru/crm/deal/details/19634/","https://belberrycrm.bitrix24.ru/crm/deal/details/19634/")</x:f>
      </x:c>
      <x:c r="D2317" t="str">
        <x:v>Реанимация</x:v>
      </x:c>
      <x:c r="E2317" t="str">
        <x:v>ЛИДЫ: Отвалы</x:v>
      </x:c>
      <x:c r="F2317" t="str">
        <x:v>Руслан Дмитриев</x:v>
      </x:c>
      <x:c r="G2317" t="str">
        <x:v>да</x:v>
      </x:c>
      <x:c r="H2317" t="str">
        <x:v>нет</x:v>
      </x:c>
    </x:row>
    <x:row r="2318">
      <x:c r="A2318" t="str">
        <x:v>19670</x:v>
      </x:c>
      <x:c r="B2318" t="str">
        <x:v>narodstom.ru</x:v>
      </x:c>
      <x:c r="C2318" t="e">
        <x:f>HYPERLINK("https://belberrycrm.bitrix24.ru/crm/deal/details/19670/","https://belberrycrm.bitrix24.ru/crm/deal/details/19670/")</x:f>
      </x:c>
      <x:c r="D2318" t="str">
        <x:v>Реанимация</x:v>
      </x:c>
      <x:c r="E2318" t="str">
        <x:v>ЛИДЫ: Отвалы</x:v>
      </x:c>
      <x:c r="F2318" t="str">
        <x:v>Александр Голядкин</x:v>
      </x:c>
      <x:c r="G2318" t="str">
        <x:v>да</x:v>
      </x:c>
      <x:c r="H2318" t="str">
        <x:v>нет</x:v>
      </x:c>
    </x:row>
    <x:row r="2319">
      <x:c r="A2319" t="str">
        <x:v>19702</x:v>
      </x:c>
      <x:c r="B2319" t="str">
        <x:v>profiserviceclub.ru</x:v>
      </x:c>
      <x:c r="C2319" t="e">
        <x:f>HYPERLINK("https://belberrycrm.bitrix24.ru/crm/deal/details/19702/","https://belberrycrm.bitrix24.ru/crm/deal/details/19702/")</x:f>
      </x:c>
      <x:c r="D2319" t="str">
        <x:v>Реанимация</x:v>
      </x:c>
      <x:c r="E2319" t="str">
        <x:v>ЛИДЫ: Отвалы</x:v>
      </x:c>
      <x:c r="F2319" t="str">
        <x:v>Александр Голядкин</x:v>
      </x:c>
      <x:c r="G2319" t="str">
        <x:v>нет</x:v>
      </x:c>
      <x:c r="H2319" t="str">
        <x:v>нет</x:v>
      </x:c>
    </x:row>
    <x:row r="2320">
      <x:c r="A2320" t="str">
        <x:v>19742</x:v>
      </x:c>
      <x:c r="B2320" t="str">
        <x:v>neostom-pargolovo.ru</x:v>
      </x:c>
      <x:c r="C2320" t="e">
        <x:f>HYPERLINK("https://belberrycrm.bitrix24.ru/crm/deal/details/19742/","https://belberrycrm.bitrix24.ru/crm/deal/details/19742/")</x:f>
      </x:c>
      <x:c r="D2320" t="str">
        <x:v>Реанимация</x:v>
      </x:c>
      <x:c r="E2320" t="str">
        <x:v>ЛИДЫ: Отвалы</x:v>
      </x:c>
      <x:c r="F2320" t="str">
        <x:v>Александр Голядкин</x:v>
      </x:c>
      <x:c r="G2320" t="str">
        <x:v>нет</x:v>
      </x:c>
      <x:c r="H2320" t="str">
        <x:v>нет</x:v>
      </x:c>
    </x:row>
    <x:row r="2321">
      <x:c r="A2321" t="str">
        <x:v>19762</x:v>
      </x:c>
      <x:c r="B2321" t="str">
        <x:v>new.cecilplus.ru</x:v>
      </x:c>
      <x:c r="C2321" t="e">
        <x:f>HYPERLINK("https://belberrycrm.bitrix24.ru/crm/deal/details/19762/","https://belberrycrm.bitrix24.ru/crm/deal/details/19762/")</x:f>
      </x:c>
      <x:c r="D2321" t="str">
        <x:v>Реанимация</x:v>
      </x:c>
      <x:c r="E2321" t="str">
        <x:v>ЛИДЫ: Отвалы</x:v>
      </x:c>
      <x:c r="F2321" t="str">
        <x:v>Дарья Исаева</x:v>
      </x:c>
      <x:c r="G2321" t="str">
        <x:v>нет</x:v>
      </x:c>
      <x:c r="H2321" t="str">
        <x:v>нет</x:v>
      </x:c>
    </x:row>
    <x:row r="2322">
      <x:c r="A2322" t="str">
        <x:v>19766</x:v>
      </x:c>
      <x:c r="B2322" t="str">
        <x:v>magericmed.ru</x:v>
      </x:c>
      <x:c r="C2322" t="e">
        <x:f>HYPERLINK("https://belberrycrm.bitrix24.ru/crm/deal/details/19766/","https://belberrycrm.bitrix24.ru/crm/deal/details/19766/")</x:f>
      </x:c>
      <x:c r="D2322" t="str">
        <x:v>Реанимация</x:v>
      </x:c>
      <x:c r="E2322" t="str">
        <x:v>ЛИДЫ: Отвалы</x:v>
      </x:c>
      <x:c r="F2322" t="str">
        <x:v>Дарья Исаева</x:v>
      </x:c>
      <x:c r="G2322" t="str">
        <x:v>нет</x:v>
      </x:c>
      <x:c r="H2322" t="str">
        <x:v>нет</x:v>
      </x:c>
    </x:row>
    <x:row r="2323">
      <x:c r="A2323" t="str">
        <x:v>19770</x:v>
      </x:c>
      <x:c r="B2323" t="str">
        <x:v>medsef.ru</x:v>
      </x:c>
      <x:c r="C2323" t="e">
        <x:f>HYPERLINK("https://belberrycrm.bitrix24.ru/crm/deal/details/19770/","https://belberrycrm.bitrix24.ru/crm/deal/details/19770/")</x:f>
      </x:c>
      <x:c r="D2323" t="str">
        <x:v>Реанимация</x:v>
      </x:c>
      <x:c r="E2323" t="str">
        <x:v>ЛИДЫ: Отвалы</x:v>
      </x:c>
      <x:c r="F2323" t="str">
        <x:v>Дарья Исаева</x:v>
      </x:c>
      <x:c r="G2323" t="str">
        <x:v>да</x:v>
      </x:c>
      <x:c r="H2323" t="str">
        <x:v>нет</x:v>
      </x:c>
    </x:row>
    <x:row r="2324">
      <x:c r="A2324" t="str">
        <x:v>19774</x:v>
      </x:c>
      <x:c r="B2324" t="str">
        <x:v>intac.ru</x:v>
      </x:c>
      <x:c r="C2324" t="e">
        <x:f>HYPERLINK("https://belberrycrm.bitrix24.ru/crm/deal/details/19774/","https://belberrycrm.bitrix24.ru/crm/deal/details/19774/")</x:f>
      </x:c>
      <x:c r="D2324" t="str">
        <x:v>Реанимация</x:v>
      </x:c>
      <x:c r="E2324" t="str">
        <x:v>ЛИДЫ: Отвалы</x:v>
      </x:c>
      <x:c r="F2324" t="str">
        <x:v>Дарья Исаева</x:v>
      </x:c>
      <x:c r="G2324" t="str">
        <x:v>нет</x:v>
      </x:c>
      <x:c r="H2324" t="str">
        <x:v>нет</x:v>
      </x:c>
    </x:row>
    <x:row r="2325">
      <x:c r="A2325" t="str">
        <x:v>19778</x:v>
      </x:c>
      <x:c r="B2325" t="str">
        <x:v>stomcity.com</x:v>
      </x:c>
      <x:c r="C2325" t="e">
        <x:f>HYPERLINK("https://belberrycrm.bitrix24.ru/crm/deal/details/19778/","https://belberrycrm.bitrix24.ru/crm/deal/details/19778/")</x:f>
      </x:c>
      <x:c r="D2325" t="str">
        <x:v>Реанимация</x:v>
      </x:c>
      <x:c r="E2325" t="str">
        <x:v>ЛИДЫ: Отвалы</x:v>
      </x:c>
      <x:c r="F2325" t="str">
        <x:v>Дарья Исаева</x:v>
      </x:c>
      <x:c r="G2325" t="str">
        <x:v>нет</x:v>
      </x:c>
      <x:c r="H2325" t="str">
        <x:v>нет</x:v>
      </x:c>
    </x:row>
    <x:row r="2326">
      <x:c r="A2326" t="str">
        <x:v>19782</x:v>
      </x:c>
      <x:c r="B2326" t="str">
        <x:v>medstar-med.ru</x:v>
      </x:c>
      <x:c r="C2326" t="e">
        <x:f>HYPERLINK("https://belberrycrm.bitrix24.ru/crm/deal/details/19782/","https://belberrycrm.bitrix24.ru/crm/deal/details/19782/")</x:f>
      </x:c>
      <x:c r="D2326" t="str">
        <x:v>Реанимация</x:v>
      </x:c>
      <x:c r="E2326" t="str">
        <x:v>ЛИДЫ: Отвалы</x:v>
      </x:c>
      <x:c r="F2326" t="str">
        <x:v>Дарья Исаева</x:v>
      </x:c>
      <x:c r="G2326" t="str">
        <x:v>нет</x:v>
      </x:c>
      <x:c r="H2326" t="str">
        <x:v>нет</x:v>
      </x:c>
    </x:row>
    <x:row r="2327">
      <x:c r="A2327" t="str">
        <x:v>19786</x:v>
      </x:c>
      <x:c r="B2327" t="str">
        <x:v>kineziterapiya-socolniki.ru</x:v>
      </x:c>
      <x:c r="C2327" t="e">
        <x:f>HYPERLINK("https://belberrycrm.bitrix24.ru/crm/deal/details/19786/","https://belberrycrm.bitrix24.ru/crm/deal/details/19786/")</x:f>
      </x:c>
      <x:c r="D2327" t="str">
        <x:v>Реанимация</x:v>
      </x:c>
      <x:c r="E2327" t="str">
        <x:v>ЛИДЫ: Отвалы</x:v>
      </x:c>
      <x:c r="F2327" t="str">
        <x:v>Дарья Исаева</x:v>
      </x:c>
      <x:c r="G2327" t="str">
        <x:v>нет</x:v>
      </x:c>
      <x:c r="H2327" t="str">
        <x:v>нет</x:v>
      </x:c>
    </x:row>
    <x:row r="2328">
      <x:c r="A2328" t="str">
        <x:v>19788</x:v>
      </x:c>
      <x:c r="B2328" t="str">
        <x:v>akusherka.pro</x:v>
      </x:c>
      <x:c r="C2328" t="e">
        <x:f>HYPERLINK("https://belberrycrm.bitrix24.ru/crm/deal/details/19788/","https://belberrycrm.bitrix24.ru/crm/deal/details/19788/")</x:f>
      </x:c>
      <x:c r="D2328" t="str">
        <x:v>Реанимация</x:v>
      </x:c>
      <x:c r="E2328" t="str">
        <x:v>ЛИДЫ: Отвалы</x:v>
      </x:c>
      <x:c r="F2328" t="str">
        <x:v>Дарья Исаева</x:v>
      </x:c>
      <x:c r="G2328" t="str">
        <x:v>нет</x:v>
      </x:c>
      <x:c r="H2328" t="str">
        <x:v>нет</x:v>
      </x:c>
    </x:row>
    <x:row r="2329">
      <x:c r="A2329" t="str">
        <x:v>19792</x:v>
      </x:c>
      <x:c r="B2329" t="str">
        <x:v>evitaclinic.ru</x:v>
      </x:c>
      <x:c r="C2329" t="e">
        <x:f>HYPERLINK("https://belberrycrm.bitrix24.ru/crm/deal/details/19792/","https://belberrycrm.bitrix24.ru/crm/deal/details/19792/")</x:f>
      </x:c>
      <x:c r="D2329" t="str">
        <x:v>Реанимация</x:v>
      </x:c>
      <x:c r="E2329" t="str">
        <x:v>ЛИДЫ: Отвалы</x:v>
      </x:c>
      <x:c r="F2329" t="str">
        <x:v>Дарья Исаева</x:v>
      </x:c>
      <x:c r="G2329" t="str">
        <x:v>нет</x:v>
      </x:c>
      <x:c r="H2329" t="str">
        <x:v>нет</x:v>
      </x:c>
    </x:row>
    <x:row r="2330">
      <x:c r="A2330" t="str">
        <x:v>19796</x:v>
      </x:c>
      <x:c r="B2330" t="str">
        <x:v>mdclinica.ru</x:v>
      </x:c>
      <x:c r="C2330" t="e">
        <x:f>HYPERLINK("https://belberrycrm.bitrix24.ru/crm/deal/details/19796/","https://belberrycrm.bitrix24.ru/crm/deal/details/19796/")</x:f>
      </x:c>
      <x:c r="D2330" t="str">
        <x:v>Реанимация</x:v>
      </x:c>
      <x:c r="E2330" t="str">
        <x:v>ЛИДЫ: Отвалы</x:v>
      </x:c>
      <x:c r="F2330" t="str">
        <x:v>Дарья Исаева</x:v>
      </x:c>
      <x:c r="G2330" t="str">
        <x:v>нет</x:v>
      </x:c>
      <x:c r="H2330" t="str">
        <x:v>нет</x:v>
      </x:c>
    </x:row>
    <x:row r="2331">
      <x:c r="A2331" t="str">
        <x:v>19802</x:v>
      </x:c>
      <x:c r="B2331" t="str">
        <x:v>Trixybeauty.ru</x:v>
      </x:c>
      <x:c r="C2331" t="e">
        <x:f>HYPERLINK("https://belberrycrm.bitrix24.ru/crm/deal/details/19802/","https://belberrycrm.bitrix24.ru/crm/deal/details/19802/")</x:f>
      </x:c>
      <x:c r="D2331" t="str">
        <x:v>Реанимация</x:v>
      </x:c>
      <x:c r="E2331" t="str">
        <x:v>ЛИДЫ: Отвалы</x:v>
      </x:c>
      <x:c r="F2331" t="str">
        <x:v>Дарья Исаева</x:v>
      </x:c>
      <x:c r="G2331" t="str">
        <x:v>нет</x:v>
      </x:c>
      <x:c r="H2331" t="str">
        <x:v>нет</x:v>
      </x:c>
    </x:row>
    <x:row r="2332">
      <x:c r="A2332" t="str">
        <x:v>19814</x:v>
      </x:c>
      <x:c r="B2332" t="str">
        <x:v>alfamedicina.ru</x:v>
      </x:c>
      <x:c r="C2332" t="e">
        <x:f>HYPERLINK("https://belberrycrm.bitrix24.ru/crm/deal/details/19814/","https://belberrycrm.bitrix24.ru/crm/deal/details/19814/")</x:f>
      </x:c>
      <x:c r="D2332" t="str">
        <x:v>Реанимация</x:v>
      </x:c>
      <x:c r="E2332" t="str">
        <x:v>ЛИДЫ: Отвалы</x:v>
      </x:c>
      <x:c r="F2332" t="str">
        <x:v>Дарья Исаева</x:v>
      </x:c>
      <x:c r="G2332" t="str">
        <x:v>нет</x:v>
      </x:c>
      <x:c r="H2332" t="str">
        <x:v>нет</x:v>
      </x:c>
    </x:row>
    <x:row r="2333">
      <x:c r="A2333" t="str">
        <x:v>19818</x:v>
      </x:c>
      <x:c r="B2333" t="str">
        <x:v>evomed-clinic.ru</x:v>
      </x:c>
      <x:c r="C2333" t="e">
        <x:f>HYPERLINK("https://belberrycrm.bitrix24.ru/crm/deal/details/19818/","https://belberrycrm.bitrix24.ru/crm/deal/details/19818/")</x:f>
      </x:c>
      <x:c r="D2333" t="str">
        <x:v>Реанимация</x:v>
      </x:c>
      <x:c r="E2333" t="str">
        <x:v>ЛИДЫ: Отвалы</x:v>
      </x:c>
      <x:c r="F2333" t="str">
        <x:v>Дарья Исаева</x:v>
      </x:c>
      <x:c r="G2333" t="str">
        <x:v>да</x:v>
      </x:c>
      <x:c r="H2333" t="str">
        <x:v>нет</x:v>
      </x:c>
    </x:row>
    <x:row r="2334">
      <x:c r="A2334" t="str">
        <x:v>19826</x:v>
      </x:c>
      <x:c r="B2334" t="str">
        <x:v>luzinagynecologist.ru</x:v>
      </x:c>
      <x:c r="C2334" t="e">
        <x:f>HYPERLINK("https://belberrycrm.bitrix24.ru/crm/deal/details/19826/","https://belberrycrm.bitrix24.ru/crm/deal/details/19826/")</x:f>
      </x:c>
      <x:c r="D2334" t="str">
        <x:v>Реанимация</x:v>
      </x:c>
      <x:c r="E2334" t="str">
        <x:v>ЛИДЫ: Отвалы</x:v>
      </x:c>
      <x:c r="F2334" t="str">
        <x:v>Дарья Исаева</x:v>
      </x:c>
      <x:c r="G2334" t="str">
        <x:v>нет</x:v>
      </x:c>
      <x:c r="H2334" t="str">
        <x:v>нет</x:v>
      </x:c>
    </x:row>
    <x:row r="2335">
      <x:c r="A2335" t="str">
        <x:v>19828</x:v>
      </x:c>
      <x:c r="B2335" t="str">
        <x:v>in-sever.ru</x:v>
      </x:c>
      <x:c r="C2335" t="e">
        <x:f>HYPERLINK("https://belberrycrm.bitrix24.ru/crm/deal/details/19828/","https://belberrycrm.bitrix24.ru/crm/deal/details/19828/")</x:f>
      </x:c>
      <x:c r="D2335" t="str">
        <x:v>Реанимация</x:v>
      </x:c>
      <x:c r="E2335" t="str">
        <x:v>ЛИДЫ: Отвалы</x:v>
      </x:c>
      <x:c r="F2335" t="str">
        <x:v>Дарья Исаева</x:v>
      </x:c>
      <x:c r="G2335" t="str">
        <x:v>да</x:v>
      </x:c>
      <x:c r="H2335" t="str">
        <x:v>нет</x:v>
      </x:c>
    </x:row>
    <x:row r="2336">
      <x:c r="A2336" t="str">
        <x:v>19830</x:v>
      </x:c>
      <x:c r="B2336" t="str">
        <x:v>medblago.ru</x:v>
      </x:c>
      <x:c r="C2336" t="e">
        <x:f>HYPERLINK("https://belberrycrm.bitrix24.ru/crm/deal/details/19830/","https://belberrycrm.bitrix24.ru/crm/deal/details/19830/")</x:f>
      </x:c>
      <x:c r="D2336" t="str">
        <x:v>Реанимация</x:v>
      </x:c>
      <x:c r="E2336" t="str">
        <x:v>ЛИДЫ: Отвалы</x:v>
      </x:c>
      <x:c r="F2336" t="str">
        <x:v>Дарья Исаева</x:v>
      </x:c>
      <x:c r="G2336" t="str">
        <x:v>нет</x:v>
      </x:c>
      <x:c r="H2336" t="str">
        <x:v>нет</x:v>
      </x:c>
    </x:row>
    <x:row r="2337">
      <x:c r="A2337" t="str">
        <x:v>19832</x:v>
      </x:c>
      <x:c r="B2337" t="str">
        <x:v>Татьяна (Интересует информация, по созданию сайта стоматологической клиники)</x:v>
      </x:c>
      <x:c r="C2337" t="e">
        <x:f>HYPERLINK("https://belberrycrm.bitrix24.ru/crm/deal/details/19832/","https://belberrycrm.bitrix24.ru/crm/deal/details/19832/")</x:f>
      </x:c>
      <x:c r="D2337" t="str">
        <x:v>Реанимация</x:v>
      </x:c>
      <x:c r="E2337" t="str">
        <x:v>ЛИДЫ: Отвалы</x:v>
      </x:c>
      <x:c r="F2337" t="str">
        <x:v>Дарья Исаева</x:v>
      </x:c>
      <x:c r="G2337" t="str">
        <x:v>нет</x:v>
      </x:c>
      <x:c r="H2337" t="str">
        <x:v>нет</x:v>
      </x:c>
    </x:row>
    <x:row r="2338">
      <x:c r="A2338" t="str">
        <x:v>19834</x:v>
      </x:c>
      <x:c r="B2338" t="str">
        <x:v>browsbymilly.com</x:v>
      </x:c>
      <x:c r="C2338" t="e">
        <x:f>HYPERLINK("https://belberrycrm.bitrix24.ru/crm/deal/details/19834/","https://belberrycrm.bitrix24.ru/crm/deal/details/19834/")</x:f>
      </x:c>
      <x:c r="D2338" t="str">
        <x:v>Реанимация</x:v>
      </x:c>
      <x:c r="E2338" t="str">
        <x:v>ЛИДЫ: Отвалы</x:v>
      </x:c>
      <x:c r="F2338" t="str">
        <x:v>Дарья Исаева</x:v>
      </x:c>
      <x:c r="G2338" t="str">
        <x:v>нет</x:v>
      </x:c>
      <x:c r="H2338" t="str">
        <x:v>нет</x:v>
      </x:c>
    </x:row>
    <x:row r="2339">
      <x:c r="A2339" t="str">
        <x:v>19840</x:v>
      </x:c>
      <x:c r="B2339" t="str">
        <x:v>bistrodengi.ru</x:v>
      </x:c>
      <x:c r="C2339" t="e">
        <x:f>HYPERLINK("https://belberrycrm.bitrix24.ru/crm/deal/details/19840/","https://belberrycrm.bitrix24.ru/crm/deal/details/19840/")</x:f>
      </x:c>
      <x:c r="D2339" t="str">
        <x:v>Реанимация</x:v>
      </x:c>
      <x:c r="E2339" t="str">
        <x:v>ЛИДЫ: Отвалы</x:v>
      </x:c>
      <x:c r="F2339" t="str">
        <x:v>Дарья Исаева</x:v>
      </x:c>
      <x:c r="G2339" t="str">
        <x:v>да</x:v>
      </x:c>
      <x:c r="H2339" t="str">
        <x:v>нет</x:v>
      </x:c>
    </x:row>
    <x:row r="2340">
      <x:c r="A2340" t="str">
        <x:v>19848</x:v>
      </x:c>
      <x:c r="B2340" t="str">
        <x:v>oskar-remont.ru</x:v>
      </x:c>
      <x:c r="C2340" t="e">
        <x:f>HYPERLINK("https://belberrycrm.bitrix24.ru/crm/deal/details/19848/","https://belberrycrm.bitrix24.ru/crm/deal/details/19848/")</x:f>
      </x:c>
      <x:c r="D2340" t="str">
        <x:v>Реанимация</x:v>
      </x:c>
      <x:c r="E2340" t="str">
        <x:v>ЛИДЫ: Отвалы</x:v>
      </x:c>
      <x:c r="F2340" t="str">
        <x:v>Дарья Исаева</x:v>
      </x:c>
      <x:c r="G2340" t="str">
        <x:v>нет</x:v>
      </x:c>
      <x:c r="H2340" t="str">
        <x:v>нет</x:v>
      </x:c>
    </x:row>
    <x:row r="2341">
      <x:c r="A2341" t="str">
        <x:v>19854</x:v>
      </x:c>
      <x:c r="B2341" t="str">
        <x:v>ortovital.ru</x:v>
      </x:c>
      <x:c r="C2341" t="e">
        <x:f>HYPERLINK("https://belberrycrm.bitrix24.ru/crm/deal/details/19854/","https://belberrycrm.bitrix24.ru/crm/deal/details/19854/")</x:f>
      </x:c>
      <x:c r="D2341" t="str">
        <x:v>Реанимация</x:v>
      </x:c>
      <x:c r="E2341" t="str">
        <x:v>ЛИДЫ: Отвалы</x:v>
      </x:c>
      <x:c r="F2341" t="str">
        <x:v>Дарья Исаева</x:v>
      </x:c>
      <x:c r="G2341" t="str">
        <x:v>нет</x:v>
      </x:c>
      <x:c r="H2341" t="str">
        <x:v>нет</x:v>
      </x:c>
    </x:row>
    <x:row r="2342">
      <x:c r="A2342" t="str">
        <x:v>19856</x:v>
      </x:c>
      <x:c r="B2342" t="str">
        <x:v>roskapstroy.ru</x:v>
      </x:c>
      <x:c r="C2342" t="e">
        <x:f>HYPERLINK("https://belberrycrm.bitrix24.ru/crm/deal/details/19856/","https://belberrycrm.bitrix24.ru/crm/deal/details/19856/")</x:f>
      </x:c>
      <x:c r="D2342" t="str">
        <x:v>Реанимация</x:v>
      </x:c>
      <x:c r="E2342" t="str">
        <x:v>ЛИДЫ: Отвалы</x:v>
      </x:c>
      <x:c r="F2342" t="str">
        <x:v>Тим Акула</x:v>
      </x:c>
      <x:c r="G2342" t="str">
        <x:v>нет</x:v>
      </x:c>
      <x:c r="H2342" t="str">
        <x:v>нет</x:v>
      </x:c>
    </x:row>
    <x:row r="2343">
      <x:c r="A2343" t="str">
        <x:v>19860</x:v>
      </x:c>
      <x:c r="B2343" t="str">
        <x:v>Петр (Клинику не назвал)</x:v>
      </x:c>
      <x:c r="C2343" t="e">
        <x:f>HYPERLINK("https://belberrycrm.bitrix24.ru/crm/deal/details/19860/","https://belberrycrm.bitrix24.ru/crm/deal/details/19860/")</x:f>
      </x:c>
      <x:c r="D2343" t="str">
        <x:v>Реанимация</x:v>
      </x:c>
      <x:c r="E2343" t="str">
        <x:v>ЛИДЫ: Отвалы</x:v>
      </x:c>
      <x:c r="F2343" t="str">
        <x:v>Петр Дудин</x:v>
      </x:c>
      <x:c r="G2343" t="str">
        <x:v>нет</x:v>
      </x:c>
      <x:c r="H2343" t="str">
        <x:v>нет</x:v>
      </x:c>
    </x:row>
    <x:row r="2344">
      <x:c r="A2344" t="str">
        <x:v>19862</x:v>
      </x:c>
      <x:c r="B2344" t="str">
        <x:v>Заявка с сайта от Мирвари 79037210781</x:v>
      </x:c>
      <x:c r="C2344" t="e">
        <x:f>HYPERLINK("https://belberrycrm.bitrix24.ru/crm/deal/details/19862/","https://belberrycrm.bitrix24.ru/crm/deal/details/19862/")</x:f>
      </x:c>
      <x:c r="D2344" t="str">
        <x:v>Реанимация</x:v>
      </x:c>
      <x:c r="E2344" t="str">
        <x:v>ЛИДЫ: Отвалы</x:v>
      </x:c>
      <x:c r="F2344" t="str">
        <x:v>Александр Голядкин</x:v>
      </x:c>
      <x:c r="G2344" t="str">
        <x:v>нет</x:v>
      </x:c>
      <x:c r="H2344" t="str">
        <x:v>нет</x:v>
      </x:c>
    </x:row>
    <x:row r="2345">
      <x:c r="A2345" t="str">
        <x:v>19864</x:v>
      </x:c>
      <x:c r="B2345" t="str">
        <x:v>Заявка с сайта от Павел 79503186570</x:v>
      </x:c>
      <x:c r="C2345" t="e">
        <x:f>HYPERLINK("https://belberrycrm.bitrix24.ru/crm/deal/details/19864/","https://belberrycrm.bitrix24.ru/crm/deal/details/19864/")</x:f>
      </x:c>
      <x:c r="D2345" t="str">
        <x:v>Реанимация</x:v>
      </x:c>
      <x:c r="E2345" t="str">
        <x:v>ЛИДЫ: Отвалы</x:v>
      </x:c>
      <x:c r="F2345" t="str">
        <x:v>Петр Дудин</x:v>
      </x:c>
      <x:c r="G2345" t="str">
        <x:v>нет</x:v>
      </x:c>
      <x:c r="H2345" t="str">
        <x:v>нет</x:v>
      </x:c>
    </x:row>
    <x:row r="2346">
      <x:c r="A2346" t="str">
        <x:v>19866</x:v>
      </x:c>
      <x:c r="B2346" t="str">
        <x:v>Заявка с сайта от Анастасия 79687706002</x:v>
      </x:c>
      <x:c r="C2346" t="e">
        <x:f>HYPERLINK("https://belberrycrm.bitrix24.ru/crm/deal/details/19866/","https://belberrycrm.bitrix24.ru/crm/deal/details/19866/")</x:f>
      </x:c>
      <x:c r="D2346" t="str">
        <x:v>Реанимация</x:v>
      </x:c>
      <x:c r="E2346" t="str">
        <x:v>ЛИДЫ: Отвалы</x:v>
      </x:c>
      <x:c r="F2346" t="str">
        <x:v>Петр Дудин</x:v>
      </x:c>
      <x:c r="G2346" t="str">
        <x:v>нет</x:v>
      </x:c>
      <x:c r="H2346" t="str">
        <x:v>нет</x:v>
      </x:c>
    </x:row>
    <x:row r="2347">
      <x:c r="A2347" t="str">
        <x:v>19870</x:v>
      </x:c>
      <x:c r="B2347" t="str">
        <x:v>Заявка с сайта от Сергей 79374784082</x:v>
      </x:c>
      <x:c r="C2347" t="e">
        <x:f>HYPERLINK("https://belberrycrm.bitrix24.ru/crm/deal/details/19870/","https://belberrycrm.bitrix24.ru/crm/deal/details/19870/")</x:f>
      </x:c>
      <x:c r="D2347" t="str">
        <x:v>Реанимация</x:v>
      </x:c>
      <x:c r="E2347" t="str">
        <x:v>ЛИДЫ: Отвалы</x:v>
      </x:c>
      <x:c r="F2347" t="str">
        <x:v>Петр Дудин</x:v>
      </x:c>
      <x:c r="G2347" t="str">
        <x:v>нет</x:v>
      </x:c>
      <x:c r="H2347" t="str">
        <x:v>нет</x:v>
      </x:c>
    </x:row>
    <x:row r="2348">
      <x:c r="A2348" t="str">
        <x:v>19872</x:v>
      </x:c>
      <x:c r="B2348" t="str">
        <x:v>Заявка с сайта от Гагина Елена Михайловна 79374869956</x:v>
      </x:c>
      <x:c r="C2348" t="e">
        <x:f>HYPERLINK("https://belberrycrm.bitrix24.ru/crm/deal/details/19872/","https://belberrycrm.bitrix24.ru/crm/deal/details/19872/")</x:f>
      </x:c>
      <x:c r="D2348" t="str">
        <x:v>Реанимация</x:v>
      </x:c>
      <x:c r="E2348" t="str">
        <x:v>ЛИДЫ: Отвалы</x:v>
      </x:c>
      <x:c r="F2348" t="str">
        <x:v>Петр Дудин</x:v>
      </x:c>
      <x:c r="G2348" t="str">
        <x:v>нет</x:v>
      </x:c>
      <x:c r="H2348" t="str">
        <x:v>нет</x:v>
      </x:c>
    </x:row>
    <x:row r="2349">
      <x:c r="A2349" t="str">
        <x:v>19874</x:v>
      </x:c>
      <x:c r="B2349" t="str">
        <x:v>iaget.ru</x:v>
      </x:c>
      <x:c r="C2349" t="e">
        <x:f>HYPERLINK("https://belberrycrm.bitrix24.ru/crm/deal/details/19874/","https://belberrycrm.bitrix24.ru/crm/deal/details/19874/")</x:f>
      </x:c>
      <x:c r="D2349" t="str">
        <x:v>Реанимация</x:v>
      </x:c>
      <x:c r="E2349" t="str">
        <x:v>ЛИДЫ: Отвалы</x:v>
      </x:c>
      <x:c r="F2349" t="str">
        <x:v>Александр Голядкин</x:v>
      </x:c>
      <x:c r="G2349" t="str">
        <x:v>да</x:v>
      </x:c>
      <x:c r="H2349" t="str">
        <x:v>нет</x:v>
      </x:c>
    </x:row>
    <x:row r="2350">
      <x:c r="A2350" t="str">
        <x:v>19876</x:v>
      </x:c>
      <x:c r="B2350" t="str">
        <x:v>Заявка с сайта от Павел 79165832741</x:v>
      </x:c>
      <x:c r="C2350" t="e">
        <x:f>HYPERLINK("https://belberrycrm.bitrix24.ru/crm/deal/details/19876/","https://belberrycrm.bitrix24.ru/crm/deal/details/19876/")</x:f>
      </x:c>
      <x:c r="D2350" t="str">
        <x:v>Реанимация</x:v>
      </x:c>
      <x:c r="E2350" t="str">
        <x:v>ЛИДЫ: Отвалы</x:v>
      </x:c>
      <x:c r="F2350" t="str">
        <x:v>Мария Ус</x:v>
      </x:c>
      <x:c r="G2350" t="str">
        <x:v>нет</x:v>
      </x:c>
      <x:c r="H2350" t="str">
        <x:v>нет</x:v>
      </x:c>
    </x:row>
    <x:row r="2351">
      <x:c r="A2351" t="str">
        <x:v>19878</x:v>
      </x:c>
      <x:c r="B2351" t="str">
        <x:v>Тебриз</x:v>
      </x:c>
      <x:c r="C2351" t="e">
        <x:f>HYPERLINK("https://belberrycrm.bitrix24.ru/crm/deal/details/19878/","https://belberrycrm.bitrix24.ru/crm/deal/details/19878/")</x:f>
      </x:c>
      <x:c r="D2351" t="str">
        <x:v>Реанимация</x:v>
      </x:c>
      <x:c r="E2351" t="str">
        <x:v>ЛИДЫ: Отвалы</x:v>
      </x:c>
      <x:c r="F2351" t="str">
        <x:v>Петр Дудин</x:v>
      </x:c>
      <x:c r="G2351" t="str">
        <x:v>нет</x:v>
      </x:c>
      <x:c r="H2351" t="str">
        <x:v>нет</x:v>
      </x:c>
    </x:row>
    <x:row r="2352">
      <x:c r="A2352" t="str">
        <x:v>19880</x:v>
      </x:c>
      <x:c r="B2352" t="str">
        <x:v>Заявка с сайта от Михаил  79939261959</x:v>
      </x:c>
      <x:c r="C2352" t="e">
        <x:f>HYPERLINK("https://belberrycrm.bitrix24.ru/crm/deal/details/19880/","https://belberrycrm.bitrix24.ru/crm/deal/details/19880/")</x:f>
      </x:c>
      <x:c r="D2352" t="str">
        <x:v>Реанимация</x:v>
      </x:c>
      <x:c r="E2352" t="str">
        <x:v>ЛИДЫ: Отвалы</x:v>
      </x:c>
      <x:c r="F2352" t="str">
        <x:v>Мария Ус</x:v>
      </x:c>
      <x:c r="G2352" t="str">
        <x:v>нет</x:v>
      </x:c>
      <x:c r="H2352" t="str">
        <x:v>нет</x:v>
      </x:c>
    </x:row>
    <x:row r="2353">
      <x:c r="A2353" t="str">
        <x:v>19882</x:v>
      </x:c>
      <x:c r="B2353" t="str">
        <x:v>Звонок от 79057004473</x:v>
      </x:c>
      <x:c r="C2353" t="e">
        <x:f>HYPERLINK("https://belberrycrm.bitrix24.ru/crm/deal/details/19882/","https://belberrycrm.bitrix24.ru/crm/deal/details/19882/")</x:f>
      </x:c>
      <x:c r="D2353" t="str">
        <x:v>Реанимация</x:v>
      </x:c>
      <x:c r="E2353" t="str">
        <x:v>ЛИДЫ: Отвалы</x:v>
      </x:c>
      <x:c r="F2353" t="str">
        <x:v>Александр Голядкин</x:v>
      </x:c>
      <x:c r="G2353" t="str">
        <x:v>нет</x:v>
      </x:c>
      <x:c r="H2353" t="str">
        <x:v>нет</x:v>
      </x:c>
    </x:row>
    <x:row r="2354">
      <x:c r="A2354" t="str">
        <x:v>19884</x:v>
      </x:c>
      <x:c r="B2354" t="str">
        <x:v>Заявка с сайта от Иван 79278455378</x:v>
      </x:c>
      <x:c r="C2354" t="e">
        <x:f>HYPERLINK("https://belberrycrm.bitrix24.ru/crm/deal/details/19884/","https://belberrycrm.bitrix24.ru/crm/deal/details/19884/")</x:f>
      </x:c>
      <x:c r="D2354" t="str">
        <x:v>Реанимация</x:v>
      </x:c>
      <x:c r="E2354" t="str">
        <x:v>ЛИДЫ: Отвалы</x:v>
      </x:c>
      <x:c r="F2354" t="str">
        <x:v>Петр Дудин</x:v>
      </x:c>
      <x:c r="G2354" t="str">
        <x:v>нет</x:v>
      </x:c>
      <x:c r="H2354" t="str">
        <x:v>нет</x:v>
      </x:c>
    </x:row>
    <x:row r="2355">
      <x:c r="A2355" t="str">
        <x:v>19886</x:v>
      </x:c>
      <x:c r="B2355" t="str">
        <x:v>Заявка с сайта от Елена 79278455716</x:v>
      </x:c>
      <x:c r="C2355" t="e">
        <x:f>HYPERLINK("https://belberrycrm.bitrix24.ru/crm/deal/details/19886/","https://belberrycrm.bitrix24.ru/crm/deal/details/19886/")</x:f>
      </x:c>
      <x:c r="D2355" t="str">
        <x:v>Реанимация</x:v>
      </x:c>
      <x:c r="E2355" t="str">
        <x:v>ЛИДЫ: Отвалы</x:v>
      </x:c>
      <x:c r="F2355" t="str">
        <x:v>Петр Дудин</x:v>
      </x:c>
      <x:c r="G2355" t="str">
        <x:v>нет</x:v>
      </x:c>
      <x:c r="H2355" t="str">
        <x:v>нет</x:v>
      </x:c>
    </x:row>
    <x:row r="2356">
      <x:c r="A2356" t="str">
        <x:v>19888</x:v>
      </x:c>
      <x:c r="B2356" t="str">
        <x:v>Заявка с сайта от Павел Васильев 79991995105</x:v>
      </x:c>
      <x:c r="C2356" t="e">
        <x:f>HYPERLINK("https://belberrycrm.bitrix24.ru/crm/deal/details/19888/","https://belberrycrm.bitrix24.ru/crm/deal/details/19888/")</x:f>
      </x:c>
      <x:c r="D2356" t="str">
        <x:v>Реанимация</x:v>
      </x:c>
      <x:c r="E2356" t="str">
        <x:v>ЛИДЫ: Отвалы</x:v>
      </x:c>
      <x:c r="F2356" t="str">
        <x:v>Петр Дудин</x:v>
      </x:c>
      <x:c r="G2356" t="str">
        <x:v>нет</x:v>
      </x:c>
      <x:c r="H2356" t="str">
        <x:v>нет</x:v>
      </x:c>
    </x:row>
    <x:row r="2357">
      <x:c r="A2357" t="str">
        <x:v>19890</x:v>
      </x:c>
      <x:c r="B2357" t="str">
        <x:v>Заявка с сайта от Анна 79103914246</x:v>
      </x:c>
      <x:c r="C2357" t="e">
        <x:f>HYPERLINK("https://belberrycrm.bitrix24.ru/crm/deal/details/19890/","https://belberrycrm.bitrix24.ru/crm/deal/details/19890/")</x:f>
      </x:c>
      <x:c r="D2357" t="str">
        <x:v>Реанимация</x:v>
      </x:c>
      <x:c r="E2357" t="str">
        <x:v>ЛИДЫ: Отвалы</x:v>
      </x:c>
      <x:c r="F2357" t="str">
        <x:v>Петр Дудин</x:v>
      </x:c>
      <x:c r="G2357" t="str">
        <x:v>нет</x:v>
      </x:c>
      <x:c r="H2357" t="str">
        <x:v>нет</x:v>
      </x:c>
    </x:row>
    <x:row r="2358">
      <x:c r="A2358" t="str">
        <x:v>19892</x:v>
      </x:c>
      <x:c r="B2358" t="str">
        <x:v>Заявка с сайта от Данила 79782381218</x:v>
      </x:c>
      <x:c r="C2358" t="e">
        <x:f>HYPERLINK("https://belberrycrm.bitrix24.ru/crm/deal/details/19892/","https://belberrycrm.bitrix24.ru/crm/deal/details/19892/")</x:f>
      </x:c>
      <x:c r="D2358" t="str">
        <x:v>Реанимация</x:v>
      </x:c>
      <x:c r="E2358" t="str">
        <x:v>ЛИДЫ: Отвалы</x:v>
      </x:c>
      <x:c r="F2358" t="str">
        <x:v>Александр Голядкин</x:v>
      </x:c>
      <x:c r="G2358" t="str">
        <x:v>нет</x:v>
      </x:c>
      <x:c r="H2358" t="str">
        <x:v>нет</x:v>
      </x:c>
    </x:row>
    <x:row r="2359">
      <x:c r="A2359" t="str">
        <x:v>19894</x:v>
      </x:c>
      <x:c r="B2359" t="str">
        <x:v>Заявка с сайта от Илья 79278459116</x:v>
      </x:c>
      <x:c r="C2359" t="e">
        <x:f>HYPERLINK("https://belberrycrm.bitrix24.ru/crm/deal/details/19894/","https://belberrycrm.bitrix24.ru/crm/deal/details/19894/")</x:f>
      </x:c>
      <x:c r="D2359" t="str">
        <x:v>Реанимация</x:v>
      </x:c>
      <x:c r="E2359" t="str">
        <x:v>ЛИДЫ: Отвалы</x:v>
      </x:c>
      <x:c r="F2359" t="str">
        <x:v>Петр Дудин</x:v>
      </x:c>
      <x:c r="G2359" t="str">
        <x:v>нет</x:v>
      </x:c>
      <x:c r="H2359" t="str">
        <x:v>нет</x:v>
      </x:c>
    </x:row>
    <x:row r="2360">
      <x:c r="A2360" t="str">
        <x:v>19896</x:v>
      </x:c>
      <x:c r="B2360" t="str">
        <x:v>Заявка с сайта от Карина 79167868418</x:v>
      </x:c>
      <x:c r="C2360" t="e">
        <x:f>HYPERLINK("https://belberrycrm.bitrix24.ru/crm/deal/details/19896/","https://belberrycrm.bitrix24.ru/crm/deal/details/19896/")</x:f>
      </x:c>
      <x:c r="D2360" t="str">
        <x:v>Реанимация</x:v>
      </x:c>
      <x:c r="E2360" t="str">
        <x:v>ЛИДЫ: Отвалы</x:v>
      </x:c>
      <x:c r="F2360" t="str">
        <x:v>Петр Дудин</x:v>
      </x:c>
      <x:c r="G2360" t="str">
        <x:v>нет</x:v>
      </x:c>
      <x:c r="H2360" t="str">
        <x:v>нет</x:v>
      </x:c>
    </x:row>
    <x:row r="2361">
      <x:c r="A2361" t="str">
        <x:v>19898</x:v>
      </x:c>
      <x:c r="B2361" t="str">
        <x:v>vit4life.ru</x:v>
      </x:c>
      <x:c r="C2361" t="e">
        <x:f>HYPERLINK("https://belberrycrm.bitrix24.ru/crm/deal/details/19898/","https://belberrycrm.bitrix24.ru/crm/deal/details/19898/")</x:f>
      </x:c>
      <x:c r="D2361" t="str">
        <x:v>Реанимация</x:v>
      </x:c>
      <x:c r="E2361" t="str">
        <x:v>ЛИДЫ: Отвалы</x:v>
      </x:c>
      <x:c r="F2361" t="str">
        <x:v>Петр Дудин</x:v>
      </x:c>
      <x:c r="G2361" t="str">
        <x:v>нет</x:v>
      </x:c>
      <x:c r="H2361" t="str">
        <x:v>нет</x:v>
      </x:c>
    </x:row>
    <x:row r="2362">
      <x:c r="A2362" t="str">
        <x:v>19900</x:v>
      </x:c>
      <x:c r="B2362" t="str">
        <x:v>Заявка с сайта от Сергей 79850727239</x:v>
      </x:c>
      <x:c r="C2362" t="e">
        <x:f>HYPERLINK("https://belberrycrm.bitrix24.ru/crm/deal/details/19900/","https://belberrycrm.bitrix24.ru/crm/deal/details/19900/")</x:f>
      </x:c>
      <x:c r="D2362" t="str">
        <x:v>Реанимация</x:v>
      </x:c>
      <x:c r="E2362" t="str">
        <x:v>ЛИДЫ: Отвалы</x:v>
      </x:c>
      <x:c r="F2362" t="str">
        <x:v>Петр Дудин</x:v>
      </x:c>
      <x:c r="G2362" t="str">
        <x:v>нет</x:v>
      </x:c>
      <x:c r="H2362" t="str">
        <x:v>нет</x:v>
      </x:c>
    </x:row>
    <x:row r="2363">
      <x:c r="A2363" t="str">
        <x:v>19902</x:v>
      </x:c>
      <x:c r="B2363" t="str">
        <x:v>"Клиника Здоровье ?"</x:v>
      </x:c>
      <x:c r="C2363" t="e">
        <x:f>HYPERLINK("https://belberrycrm.bitrix24.ru/crm/deal/details/19902/","https://belberrycrm.bitrix24.ru/crm/deal/details/19902/")</x:f>
      </x:c>
      <x:c r="D2363" t="str">
        <x:v>Реанимация</x:v>
      </x:c>
      <x:c r="E2363" t="str">
        <x:v>ЛИДЫ: Отвалы</x:v>
      </x:c>
      <x:c r="F2363" t="str">
        <x:v>Петр Дудин</x:v>
      </x:c>
      <x:c r="G2363" t="str">
        <x:v>нет</x:v>
      </x:c>
      <x:c r="H2363" t="str">
        <x:v>нет</x:v>
      </x:c>
    </x:row>
    <x:row r="2364">
      <x:c r="A2364" t="str">
        <x:v>19906</x:v>
      </x:c>
      <x:c r="B2364" t="str">
        <x:v>Заявка с сайта от Адам 79063119382</x:v>
      </x:c>
      <x:c r="C2364" t="e">
        <x:f>HYPERLINK("https://belberrycrm.bitrix24.ru/crm/deal/details/19906/","https://belberrycrm.bitrix24.ru/crm/deal/details/19906/")</x:f>
      </x:c>
      <x:c r="D2364" t="str">
        <x:v>Реанимация</x:v>
      </x:c>
      <x:c r="E2364" t="str">
        <x:v>ЛИДЫ: Отвалы</x:v>
      </x:c>
      <x:c r="F2364" t="str">
        <x:v>Петр Дудин</x:v>
      </x:c>
      <x:c r="G2364" t="str">
        <x:v>нет</x:v>
      </x:c>
      <x:c r="H2364" t="str">
        <x:v>нет</x:v>
      </x:c>
    </x:row>
    <x:row r="2365">
      <x:c r="A2365" t="str">
        <x:v>19908</x:v>
      </x:c>
      <x:c r="B2365" t="str">
        <x:v>Re: Петр / Acoola team- Маркетинговое агентство</x:v>
      </x:c>
      <x:c r="C2365" t="e">
        <x:f>HYPERLINK("https://belberrycrm.bitrix24.ru/crm/deal/details/19908/","https://belberrycrm.bitrix24.ru/crm/deal/details/19908/")</x:f>
      </x:c>
      <x:c r="D2365" t="str">
        <x:v>Реанимация</x:v>
      </x:c>
      <x:c r="E2365" t="str">
        <x:v>ЛИДЫ: Отвалы</x:v>
      </x:c>
      <x:c r="F2365" t="str">
        <x:v>Петр Дудин</x:v>
      </x:c>
      <x:c r="G2365" t="str">
        <x:v>нет</x:v>
      </x:c>
      <x:c r="H2365" t="str">
        <x:v>нет</x:v>
      </x:c>
    </x:row>
    <x:row r="2366">
      <x:c r="A2366" t="str">
        <x:v>19910</x:v>
      </x:c>
      <x:c r="B2366" t="str">
        <x:v>Пробив от "Елены" 79010783785</x:v>
      </x:c>
      <x:c r="C2366" t="e">
        <x:f>HYPERLINK("https://belberrycrm.bitrix24.ru/crm/deal/details/19910/","https://belberrycrm.bitrix24.ru/crm/deal/details/19910/")</x:f>
      </x:c>
      <x:c r="D2366" t="str">
        <x:v>Реанимация</x:v>
      </x:c>
      <x:c r="E2366" t="str">
        <x:v>ЛИДЫ: Отвалы</x:v>
      </x:c>
      <x:c r="F2366" t="str">
        <x:v>Александр Голядкин</x:v>
      </x:c>
      <x:c r="G2366" t="str">
        <x:v>нет</x:v>
      </x:c>
      <x:c r="H2366" t="str">
        <x:v>нет</x:v>
      </x:c>
    </x:row>
    <x:row r="2367">
      <x:c r="A2367" t="str">
        <x:v>19912</x:v>
      </x:c>
      <x:c r="B2367" t="str">
        <x:v>Заявка с сайта от Павел  79013329411</x:v>
      </x:c>
      <x:c r="C2367" t="e">
        <x:f>HYPERLINK("https://belberrycrm.bitrix24.ru/crm/deal/details/19912/","https://belberrycrm.bitrix24.ru/crm/deal/details/19912/")</x:f>
      </x:c>
      <x:c r="D2367" t="str">
        <x:v>Реанимация</x:v>
      </x:c>
      <x:c r="E2367" t="str">
        <x:v>ЛИДЫ: Отвалы</x:v>
      </x:c>
      <x:c r="F2367" t="str">
        <x:v>Александр Голядкин</x:v>
      </x:c>
      <x:c r="G2367" t="str">
        <x:v>нет</x:v>
      </x:c>
      <x:c r="H2367" t="str">
        <x:v>нет</x:v>
      </x:c>
    </x:row>
    <x:row r="2368">
      <x:c r="A2368" t="str">
        <x:v>19914</x:v>
      </x:c>
      <x:c r="B2368" t="str">
        <x:v>Заявка с сайта от Ахмед Шомсуевич К8909 79093405925</x:v>
      </x:c>
      <x:c r="C2368" t="e">
        <x:f>HYPERLINK("https://belberrycrm.bitrix24.ru/crm/deal/details/19914/","https://belberrycrm.bitrix24.ru/crm/deal/details/19914/")</x:f>
      </x:c>
      <x:c r="D2368" t="str">
        <x:v>Реанимация</x:v>
      </x:c>
      <x:c r="E2368" t="str">
        <x:v>ЛИДЫ: Отвалы</x:v>
      </x:c>
      <x:c r="F2368" t="str">
        <x:v>Александр Голядкин</x:v>
      </x:c>
      <x:c r="G2368" t="str">
        <x:v>нет</x:v>
      </x:c>
      <x:c r="H2368" t="str">
        <x:v>нет</x:v>
      </x:c>
    </x:row>
    <x:row r="2369">
      <x:c r="A2369" t="str">
        <x:v>19916</x:v>
      </x:c>
      <x:c r="B2369" t="str">
        <x:v>Заявка с сайта от Наталия 79166655500</x:v>
      </x:c>
      <x:c r="C2369" t="e">
        <x:f>HYPERLINK("https://belberrycrm.bitrix24.ru/crm/deal/details/19916/","https://belberrycrm.bitrix24.ru/crm/deal/details/19916/")</x:f>
      </x:c>
      <x:c r="D2369" t="str">
        <x:v>Реанимация</x:v>
      </x:c>
      <x:c r="E2369" t="str">
        <x:v>ЛИДЫ: Отвалы</x:v>
      </x:c>
      <x:c r="F2369" t="str">
        <x:v>Александр Голядкин</x:v>
      </x:c>
      <x:c r="G2369" t="str">
        <x:v>нет</x:v>
      </x:c>
      <x:c r="H2369" t="str">
        <x:v>нет</x:v>
      </x:c>
    </x:row>
    <x:row r="2370">
      <x:c r="A2370" t="str">
        <x:v>19918</x:v>
      </x:c>
      <x:c r="B2370" t="str">
        <x:v>Заявка с сайта от Иван 79278593989</x:v>
      </x:c>
      <x:c r="C2370" t="e">
        <x:f>HYPERLINK("https://belberrycrm.bitrix24.ru/crm/deal/details/19918/","https://belberrycrm.bitrix24.ru/crm/deal/details/19918/")</x:f>
      </x:c>
      <x:c r="D2370" t="str">
        <x:v>Реанимация</x:v>
      </x:c>
      <x:c r="E2370" t="str">
        <x:v>ЛИДЫ: Отвалы</x:v>
      </x:c>
      <x:c r="F2370" t="str">
        <x:v>Петр Дудин</x:v>
      </x:c>
      <x:c r="G2370" t="str">
        <x:v>нет</x:v>
      </x:c>
      <x:c r="H2370" t="str">
        <x:v>нет</x:v>
      </x:c>
    </x:row>
    <x:row r="2371">
      <x:c r="A2371" t="str">
        <x:v>19922</x:v>
      </x:c>
      <x:c r="B2371" t="str">
        <x:v>Krasotann.ru</x:v>
      </x:c>
      <x:c r="C2371" t="e">
        <x:f>HYPERLINK("https://belberrycrm.bitrix24.ru/crm/deal/details/19922/","https://belberrycrm.bitrix24.ru/crm/deal/details/19922/")</x:f>
      </x:c>
      <x:c r="D2371" t="str">
        <x:v>Реанимация</x:v>
      </x:c>
      <x:c r="E2371" t="str">
        <x:v>ЛИДЫ: Отвалы</x:v>
      </x:c>
      <x:c r="F2371" t="str">
        <x:v>Петр Дудин</x:v>
      </x:c>
      <x:c r="G2371" t="str">
        <x:v>нет</x:v>
      </x:c>
      <x:c r="H2371" t="str">
        <x:v>нет</x:v>
      </x:c>
    </x:row>
    <x:row r="2372">
      <x:c r="A2372" t="str">
        <x:v>19926</x:v>
      </x:c>
      <x:c r="B2372" t="str">
        <x:v>Оplisse.ru</x:v>
      </x:c>
      <x:c r="C2372" t="e">
        <x:f>HYPERLINK("https://belberrycrm.bitrix24.ru/crm/deal/details/19926/","https://belberrycrm.bitrix24.ru/crm/deal/details/19926/")</x:f>
      </x:c>
      <x:c r="D2372" t="str">
        <x:v>Реанимация</x:v>
      </x:c>
      <x:c r="E2372" t="str">
        <x:v>ЛИДЫ: Отвалы</x:v>
      </x:c>
      <x:c r="F2372" t="str">
        <x:v>Петр Дудин</x:v>
      </x:c>
      <x:c r="G2372" t="str">
        <x:v>нет</x:v>
      </x:c>
      <x:c r="H2372" t="str">
        <x:v>нет</x:v>
      </x:c>
    </x:row>
    <x:row r="2373">
      <x:c r="A2373" t="str">
        <x:v>19930</x:v>
      </x:c>
      <x:c r="B2373" t="str">
        <x:v>Заявка с сайта от Алексей 79282405326</x:v>
      </x:c>
      <x:c r="C2373" t="e">
        <x:f>HYPERLINK("https://belberrycrm.bitrix24.ru/crm/deal/details/19930/","https://belberrycrm.bitrix24.ru/crm/deal/details/19930/")</x:f>
      </x:c>
      <x:c r="D2373" t="str">
        <x:v>Реанимация</x:v>
      </x:c>
      <x:c r="E2373" t="str">
        <x:v>ЛИДЫ: Отвалы</x:v>
      </x:c>
      <x:c r="F2373" t="str">
        <x:v>Евгения Гордиенко</x:v>
      </x:c>
      <x:c r="G2373" t="str">
        <x:v>нет</x:v>
      </x:c>
      <x:c r="H2373" t="str">
        <x:v>нет</x:v>
      </x:c>
    </x:row>
    <x:row r="2374">
      <x:c r="A2374" t="str">
        <x:v>19932</x:v>
      </x:c>
      <x:c r="B2374" t="str">
        <x:v>Заявка с сайта от вадим 79124338209</x:v>
      </x:c>
      <x:c r="C2374" t="e">
        <x:f>HYPERLINK("https://belberrycrm.bitrix24.ru/crm/deal/details/19932/","https://belberrycrm.bitrix24.ru/crm/deal/details/19932/")</x:f>
      </x:c>
      <x:c r="D2374" t="str">
        <x:v>Реанимация</x:v>
      </x:c>
      <x:c r="E2374" t="str">
        <x:v>ЛИДЫ: Отвалы</x:v>
      </x:c>
      <x:c r="F2374" t="str">
        <x:v>Евгения Гордиенко</x:v>
      </x:c>
      <x:c r="G2374" t="str">
        <x:v>нет</x:v>
      </x:c>
      <x:c r="H2374" t="str">
        <x:v>нет</x:v>
      </x:c>
    </x:row>
    <x:row r="2375">
      <x:c r="A2375" t="str">
        <x:v>19934</x:v>
      </x:c>
      <x:c r="B2375" t="str">
        <x:v>Заявка с сайта от Владимир 79271873521</x:v>
      </x:c>
      <x:c r="C2375" t="e">
        <x:f>HYPERLINK("https://belberrycrm.bitrix24.ru/crm/deal/details/19934/","https://belberrycrm.bitrix24.ru/crm/deal/details/19934/")</x:f>
      </x:c>
      <x:c r="D2375" t="str">
        <x:v>Реанимация</x:v>
      </x:c>
      <x:c r="E2375" t="str">
        <x:v>ЛИДЫ: Отвалы</x:v>
      </x:c>
      <x:c r="F2375" t="str">
        <x:v>Евгения Гордиенко</x:v>
      </x:c>
      <x:c r="G2375" t="str">
        <x:v>нет</x:v>
      </x:c>
      <x:c r="H2375" t="str">
        <x:v>нет</x:v>
      </x:c>
    </x:row>
    <x:row r="2376">
      <x:c r="A2376" t="str">
        <x:v>19938</x:v>
      </x:c>
      <x:c r="B2376" t="str">
        <x:v>https://wa.me/79936151648</x:v>
      </x:c>
      <x:c r="C2376" t="e">
        <x:f>HYPERLINK("https://belberrycrm.bitrix24.ru/crm/deal/details/19938/","https://belberrycrm.bitrix24.ru/crm/deal/details/19938/")</x:f>
      </x:c>
      <x:c r="D2376" t="str">
        <x:v>Реанимация</x:v>
      </x:c>
      <x:c r="E2376" t="str">
        <x:v>ЛИДЫ: Отвалы</x:v>
      </x:c>
      <x:c r="F2376" t="str">
        <x:v>Анна Гудинова</x:v>
      </x:c>
      <x:c r="G2376" t="str">
        <x:v>нет</x:v>
      </x:c>
      <x:c r="H2376" t="str">
        <x:v>нет</x:v>
      </x:c>
    </x:row>
    <x:row r="2377">
      <x:c r="A2377" t="str">
        <x:v>19940</x:v>
      </x:c>
      <x:c r="B2377" t="str">
        <x:v>Звонок от 79672971171</x:v>
      </x:c>
      <x:c r="C2377" t="e">
        <x:f>HYPERLINK("https://belberrycrm.bitrix24.ru/crm/deal/details/19940/","https://belberrycrm.bitrix24.ru/crm/deal/details/19940/")</x:f>
      </x:c>
      <x:c r="D2377" t="str">
        <x:v>Реанимация</x:v>
      </x:c>
      <x:c r="E2377" t="str">
        <x:v>ЛИДЫ: Отвалы</x:v>
      </x:c>
      <x:c r="F2377" t="str">
        <x:v>Евгения Гордиенко</x:v>
      </x:c>
      <x:c r="G2377" t="str">
        <x:v>нет</x:v>
      </x:c>
      <x:c r="H2377" t="str">
        <x:v>нет</x:v>
      </x:c>
    </x:row>
    <x:row r="2378">
      <x:c r="A2378" t="str">
        <x:v>19942</x:v>
      </x:c>
      <x:c r="B2378" t="str">
        <x:v>Заявка с сайта от иван 79110110000</x:v>
      </x:c>
      <x:c r="C2378" t="e">
        <x:f>HYPERLINK("https://belberrycrm.bitrix24.ru/crm/deal/details/19942/","https://belberrycrm.bitrix24.ru/crm/deal/details/19942/")</x:f>
      </x:c>
      <x:c r="D2378" t="str">
        <x:v>Реанимация</x:v>
      </x:c>
      <x:c r="E2378" t="str">
        <x:v>ЛИДЫ: Отвалы</x:v>
      </x:c>
      <x:c r="F2378" t="str">
        <x:v>Евгения Гордиенко</x:v>
      </x:c>
      <x:c r="G2378" t="str">
        <x:v>нет</x:v>
      </x:c>
      <x:c r="H2378" t="str">
        <x:v>нет</x:v>
      </x:c>
    </x:row>
    <x:row r="2379">
      <x:c r="A2379" t="str">
        <x:v>19944</x:v>
      </x:c>
      <x:c r="B2379" t="str">
        <x:v>https://t.me/dlucenko</x:v>
      </x:c>
      <x:c r="C2379" t="e">
        <x:f>HYPERLINK("https://belberrycrm.bitrix24.ru/crm/deal/details/19944/","https://belberrycrm.bitrix24.ru/crm/deal/details/19944/")</x:f>
      </x:c>
      <x:c r="D2379" t="str">
        <x:v>Реанимация</x:v>
      </x:c>
      <x:c r="E2379" t="str">
        <x:v>ЛИДЫ: Отвалы</x:v>
      </x:c>
      <x:c r="F2379" t="str">
        <x:v>Дарья Исаева</x:v>
      </x:c>
      <x:c r="G2379" t="str">
        <x:v>нет</x:v>
      </x:c>
      <x:c r="H2379" t="str">
        <x:v>нет</x:v>
      </x:c>
    </x:row>
    <x:row r="2380">
      <x:c r="A2380" t="str">
        <x:v>19948</x:v>
      </x:c>
      <x:c r="B2380" t="str">
        <x:v>Заявка с сайта от Михаил Калюжный 79672586064</x:v>
      </x:c>
      <x:c r="C2380" t="e">
        <x:f>HYPERLINK("https://belberrycrm.bitrix24.ru/crm/deal/details/19948/","https://belberrycrm.bitrix24.ru/crm/deal/details/19948/")</x:f>
      </x:c>
      <x:c r="D2380" t="str">
        <x:v>Реанимация</x:v>
      </x:c>
      <x:c r="E2380" t="str">
        <x:v>ЛИДЫ: Отвалы</x:v>
      </x:c>
      <x:c r="F2380" t="str">
        <x:v>Евгения Гордиенко</x:v>
      </x:c>
      <x:c r="G2380" t="str">
        <x:v>нет</x:v>
      </x:c>
      <x:c r="H2380" t="str">
        <x:v>нет</x:v>
      </x:c>
    </x:row>
    <x:row r="2381">
      <x:c r="A2381" t="str">
        <x:v>19950</x:v>
      </x:c>
      <x:c r="B2381" t="str">
        <x:v>Заявка с сайта от Вероника 79142237754</x:v>
      </x:c>
      <x:c r="C2381" t="e">
        <x:f>HYPERLINK("https://belberrycrm.bitrix24.ru/crm/deal/details/19950/","https://belberrycrm.bitrix24.ru/crm/deal/details/19950/")</x:f>
      </x:c>
      <x:c r="D2381" t="str">
        <x:v>Реанимация</x:v>
      </x:c>
      <x:c r="E2381" t="str">
        <x:v>ЛИДЫ: Отвалы</x:v>
      </x:c>
      <x:c r="F2381" t="str">
        <x:v>Анна Гудинова</x:v>
      </x:c>
      <x:c r="G2381" t="str">
        <x:v>нет</x:v>
      </x:c>
      <x:c r="H2381" t="str">
        <x:v>нет</x:v>
      </x:c>
    </x:row>
    <x:row r="2382">
      <x:c r="A2382" t="str">
        <x:v>19952</x:v>
      </x:c>
      <x:c r="B2382" t="str">
        <x:v>Заявка с сайта от Алексей 74997446121</x:v>
      </x:c>
      <x:c r="C2382" t="e">
        <x:f>HYPERLINK("https://belberrycrm.bitrix24.ru/crm/deal/details/19952/","https://belberrycrm.bitrix24.ru/crm/deal/details/19952/")</x:f>
      </x:c>
      <x:c r="D2382" t="str">
        <x:v>Реанимация</x:v>
      </x:c>
      <x:c r="E2382" t="str">
        <x:v>ЛИДЫ: Отвалы</x:v>
      </x:c>
      <x:c r="F2382" t="str">
        <x:v>Петр Дудин</x:v>
      </x:c>
      <x:c r="G2382" t="str">
        <x:v>нет</x:v>
      </x:c>
      <x:c r="H2382" t="str">
        <x:v>нет</x:v>
      </x:c>
    </x:row>
    <x:row r="2383">
      <x:c r="A2383" t="str">
        <x:v>19954</x:v>
      </x:c>
      <x:c r="B2383" t="str">
        <x:v>Заявка с сайта от А 79272520009</x:v>
      </x:c>
      <x:c r="C2383" t="e">
        <x:f>HYPERLINK("https://belberrycrm.bitrix24.ru/crm/deal/details/19954/","https://belberrycrm.bitrix24.ru/crm/deal/details/19954/")</x:f>
      </x:c>
      <x:c r="D2383" t="str">
        <x:v>Реанимация</x:v>
      </x:c>
      <x:c r="E2383" t="str">
        <x:v>ЛИДЫ: Отвалы</x:v>
      </x:c>
      <x:c r="F2383" t="str">
        <x:v>Екатерина Кохтачева</x:v>
      </x:c>
      <x:c r="G2383" t="str">
        <x:v>нет</x:v>
      </x:c>
      <x:c r="H2383" t="str">
        <x:v>нет</x:v>
      </x:c>
    </x:row>
    <x:row r="2384">
      <x:c r="A2384" t="str">
        <x:v>19956</x:v>
      </x:c>
      <x:c r="B2384" t="str">
        <x:v>Заявка с сайта от Albina 79600447527 (косметология Menssana)</x:v>
      </x:c>
      <x:c r="C2384" t="e">
        <x:f>HYPERLINK("https://belberrycrm.bitrix24.ru/crm/deal/details/19956/","https://belberrycrm.bitrix24.ru/crm/deal/details/19956/")</x:f>
      </x:c>
      <x:c r="D2384" t="str">
        <x:v>Реанимация</x:v>
      </x:c>
      <x:c r="E2384" t="str">
        <x:v>ЛИДЫ: Отвалы</x:v>
      </x:c>
      <x:c r="F2384" t="str">
        <x:v>Анна Гудинова</x:v>
      </x:c>
      <x:c r="G2384" t="str">
        <x:v>нет</x:v>
      </x:c>
      <x:c r="H2384" t="str">
        <x:v>нет</x:v>
      </x:c>
    </x:row>
    <x:row r="2385">
      <x:c r="A2385" t="str">
        <x:v>19960</x:v>
      </x:c>
      <x:c r="B2385" t="str">
        <x:v>Заявка с сайта от Наталья 79150601651</x:v>
      </x:c>
      <x:c r="C2385" t="e">
        <x:f>HYPERLINK("https://belberrycrm.bitrix24.ru/crm/deal/details/19960/","https://belberrycrm.bitrix24.ru/crm/deal/details/19960/")</x:f>
      </x:c>
      <x:c r="D2385" t="str">
        <x:v>Реанимация</x:v>
      </x:c>
      <x:c r="E2385" t="str">
        <x:v>ЛИДЫ: Отвалы</x:v>
      </x:c>
      <x:c r="F2385" t="str">
        <x:v>Анна Гудинова</x:v>
      </x:c>
      <x:c r="G2385" t="str">
        <x:v>нет</x:v>
      </x:c>
      <x:c r="H2385" t="str">
        <x:v>нет</x:v>
      </x:c>
    </x:row>
    <x:row r="2386">
      <x:c r="A2386" t="str">
        <x:v>19962</x:v>
      </x:c>
      <x:c r="B2386" t="str">
        <x:v>Лид от Сергей Жмаков, +70000000000 (E-mail Outreach)</x:v>
      </x:c>
      <x:c r="C2386" t="e">
        <x:f>HYPERLINK("https://belberrycrm.bitrix24.ru/crm/deal/details/19962/","https://belberrycrm.bitrix24.ru/crm/deal/details/19962/")</x:f>
      </x:c>
      <x:c r="D2386" t="str">
        <x:v>Реанимация</x:v>
      </x:c>
      <x:c r="E2386" t="str">
        <x:v>ЛИДЫ: Отвалы</x:v>
      </x:c>
      <x:c r="F2386" t="str">
        <x:v>Евгения Гордиенко</x:v>
      </x:c>
      <x:c r="G2386" t="str">
        <x:v>нет</x:v>
      </x:c>
      <x:c r="H2386" t="str">
        <x:v>нет</x:v>
      </x:c>
    </x:row>
    <x:row r="2387">
      <x:c r="A2387" t="str">
        <x:v>19968</x:v>
      </x:c>
      <x:c r="B2387" t="str">
        <x:v>ООО СПЕЦСТРОЙЛОГИСТИКА 67</x:v>
      </x:c>
      <x:c r="C2387" t="e">
        <x:f>HYPERLINK("https://belberrycrm.bitrix24.ru/crm/deal/details/19968/","https://belberrycrm.bitrix24.ru/crm/deal/details/19968/")</x:f>
      </x:c>
      <x:c r="D2387" t="str">
        <x:v>Реанимация</x:v>
      </x:c>
      <x:c r="E2387" t="str">
        <x:v>ЛИДЫ: Отвалы</x:v>
      </x:c>
      <x:c r="F2387" t="str">
        <x:v>Евгения Гордиенко</x:v>
      </x:c>
      <x:c r="G2387" t="str">
        <x:v>нет</x:v>
      </x:c>
      <x:c r="H2387" t="str">
        <x:v>нет</x:v>
      </x:c>
    </x:row>
    <x:row r="2388">
      <x:c r="A2388" t="str">
        <x:v>19972</x:v>
      </x:c>
      <x:c r="B2388" t="str">
        <x:v>Заявка с сайта от Виктория 79608416027</x:v>
      </x:c>
      <x:c r="C2388" t="e">
        <x:f>HYPERLINK("https://belberrycrm.bitrix24.ru/crm/deal/details/19972/","https://belberrycrm.bitrix24.ru/crm/deal/details/19972/")</x:f>
      </x:c>
      <x:c r="D2388" t="str">
        <x:v>Реанимация</x:v>
      </x:c>
      <x:c r="E2388" t="str">
        <x:v>ЛИДЫ: Отвалы</x:v>
      </x:c>
      <x:c r="F2388" t="str">
        <x:v>Екатерина Кохтачева</x:v>
      </x:c>
      <x:c r="G2388" t="str">
        <x:v>нет</x:v>
      </x:c>
      <x:c r="H2388" t="str">
        <x:v>нет</x:v>
      </x:c>
    </x:row>
    <x:row r="2389">
      <x:c r="A2389" t="str">
        <x:v>19974</x:v>
      </x:c>
      <x:c r="B2389" t="str">
        <x:v>bonus-clinic.ru</x:v>
      </x:c>
      <x:c r="C2389" t="e">
        <x:f>HYPERLINK("https://belberrycrm.bitrix24.ru/crm/deal/details/19974/","https://belberrycrm.bitrix24.ru/crm/deal/details/19974/")</x:f>
      </x:c>
      <x:c r="D2389" t="str">
        <x:v>Реанимация</x:v>
      </x:c>
      <x:c r="E2389" t="str">
        <x:v>ЛИДЫ: Отвалы</x:v>
      </x:c>
      <x:c r="F2389" t="str">
        <x:v>Анна Гудинова</x:v>
      </x:c>
      <x:c r="G2389" t="str">
        <x:v>нет</x:v>
      </x:c>
      <x:c r="H2389" t="str">
        <x:v>да</x:v>
      </x:c>
    </x:row>
    <x:row r="2390">
      <x:c r="A2390" t="str">
        <x:v>19978</x:v>
      </x:c>
      <x:c r="B2390" t="str">
        <x:v>МЕЛЬНИКОВА СВЕТЛАНА ФЕДОРОВНА</x:v>
      </x:c>
      <x:c r="C2390" t="e">
        <x:f>HYPERLINK("https://belberrycrm.bitrix24.ru/crm/deal/details/19978/","https://belberrycrm.bitrix24.ru/crm/deal/details/19978/")</x:f>
      </x:c>
      <x:c r="D2390" t="str">
        <x:v>Реанимация</x:v>
      </x:c>
      <x:c r="E2390" t="str">
        <x:v>ЛИДЫ: Отвалы</x:v>
      </x:c>
      <x:c r="F2390" t="str">
        <x:v>Екатерина Кохтачева</x:v>
      </x:c>
      <x:c r="G2390" t="str">
        <x:v>нет</x:v>
      </x:c>
      <x:c r="H2390" t="str">
        <x:v>нет</x:v>
      </x:c>
    </x:row>
    <x:row r="2391">
      <x:c r="A2391" t="str">
        <x:v>19980</x:v>
      </x:c>
      <x:c r="B2391" t="str">
        <x:v>7 968 583-45-66 - Входящий звонок</x:v>
      </x:c>
      <x:c r="C2391" t="e">
        <x:f>HYPERLINK("https://belberrycrm.bitrix24.ru/crm/deal/details/19980/","https://belberrycrm.bitrix24.ru/crm/deal/details/19980/")</x:f>
      </x:c>
      <x:c r="D2391" t="str">
        <x:v>Реанимация</x:v>
      </x:c>
      <x:c r="E2391" t="str">
        <x:v>ЛИДЫ: Отвалы</x:v>
      </x:c>
      <x:c r="F2391" t="str">
        <x:v>Анна Гудинова</x:v>
      </x:c>
      <x:c r="G2391" t="str">
        <x:v>нет</x:v>
      </x:c>
      <x:c r="H2391" t="str">
        <x:v>нет</x:v>
      </x:c>
    </x:row>
    <x:row r="2392">
      <x:c r="A2392" t="str">
        <x:v>19982</x:v>
      </x:c>
      <x:c r="B2392" t="str">
        <x:v>7 964 321-19-88 - Входящий звонок</x:v>
      </x:c>
      <x:c r="C2392" t="e">
        <x:f>HYPERLINK("https://belberrycrm.bitrix24.ru/crm/deal/details/19982/","https://belberrycrm.bitrix24.ru/crm/deal/details/19982/")</x:f>
      </x:c>
      <x:c r="D2392" t="str">
        <x:v>Реанимация</x:v>
      </x:c>
      <x:c r="E2392" t="str">
        <x:v>ЛИДЫ: Отвалы</x:v>
      </x:c>
      <x:c r="F2392" t="str">
        <x:v>Анна Гудинова</x:v>
      </x:c>
      <x:c r="G2392" t="str">
        <x:v>нет</x:v>
      </x:c>
      <x:c r="H2392" t="str">
        <x:v>нет</x:v>
      </x:c>
    </x:row>
    <x:row r="2393">
      <x:c r="A2393" t="str">
        <x:v>19984</x:v>
      </x:c>
      <x:c r="B2393" t="str">
        <x:v>da31.ru</x:v>
      </x:c>
      <x:c r="C2393" t="e">
        <x:f>HYPERLINK("https://belberrycrm.bitrix24.ru/crm/deal/details/19984/","https://belberrycrm.bitrix24.ru/crm/deal/details/19984/")</x:f>
      </x:c>
      <x:c r="D2393" t="str">
        <x:v>Реанимация</x:v>
      </x:c>
      <x:c r="E2393" t="str">
        <x:v>ЛИДЫ: Отвалы</x:v>
      </x:c>
      <x:c r="F2393" t="str">
        <x:v>Петр Дудин</x:v>
      </x:c>
      <x:c r="G2393" t="str">
        <x:v>нет</x:v>
      </x:c>
      <x:c r="H2393" t="str">
        <x:v>нет</x:v>
      </x:c>
    </x:row>
    <x:row r="2394">
      <x:c r="A2394" t="str">
        <x:v>19988</x:v>
      </x:c>
      <x:c r="B2394" t="str">
        <x:v>DeusTech2.0</x:v>
      </x:c>
      <x:c r="C2394" t="e">
        <x:f>HYPERLINK("https://belberrycrm.bitrix24.ru/crm/deal/details/19988/","https://belberrycrm.bitrix24.ru/crm/deal/details/19988/")</x:f>
      </x:c>
      <x:c r="D2394" t="str">
        <x:v>Реанимация</x:v>
      </x:c>
      <x:c r="E2394" t="str">
        <x:v>ЛИДЫ: Отвалы</x:v>
      </x:c>
      <x:c r="F2394" t="str">
        <x:v>Анна Гудинова</x:v>
      </x:c>
      <x:c r="G2394" t="str">
        <x:v>нет</x:v>
      </x:c>
      <x:c r="H2394" t="str">
        <x:v>нет</x:v>
      </x:c>
    </x:row>
    <x:row r="2395">
      <x:c r="A2395" t="str">
        <x:v>19990</x:v>
      </x:c>
      <x:c r="B2395" t="str">
        <x:v>Звонок от 79660517162</x:v>
      </x:c>
      <x:c r="C2395" t="e">
        <x:f>HYPERLINK("https://belberrycrm.bitrix24.ru/crm/deal/details/19990/","https://belberrycrm.bitrix24.ru/crm/deal/details/19990/")</x:f>
      </x:c>
      <x:c r="D2395" t="str">
        <x:v>Реанимация</x:v>
      </x:c>
      <x:c r="E2395" t="str">
        <x:v>ЛИДЫ: Отвалы</x:v>
      </x:c>
      <x:c r="F2395" t="str">
        <x:v>Анна Гудинова</x:v>
      </x:c>
      <x:c r="G2395" t="str">
        <x:v>нет</x:v>
      </x:c>
      <x:c r="H2395" t="str">
        <x:v>нет</x:v>
      </x:c>
    </x:row>
    <x:row r="2396">
      <x:c r="A2396" t="str">
        <x:v>19992</x:v>
      </x:c>
      <x:c r="B2396" t="str">
        <x:v>Заявка с сайта от Дмитрий 79128121031</x:v>
      </x:c>
      <x:c r="C2396" t="e">
        <x:f>HYPERLINK("https://belberrycrm.bitrix24.ru/crm/deal/details/19992/","https://belberrycrm.bitrix24.ru/crm/deal/details/19992/")</x:f>
      </x:c>
      <x:c r="D2396" t="str">
        <x:v>Реанимация</x:v>
      </x:c>
      <x:c r="E2396" t="str">
        <x:v>ЛИДЫ: Отвалы</x:v>
      </x:c>
      <x:c r="F2396" t="str">
        <x:v>Анна Гудинова</x:v>
      </x:c>
      <x:c r="G2396" t="str">
        <x:v>нет</x:v>
      </x:c>
      <x:c r="H2396" t="str">
        <x:v>нет</x:v>
      </x:c>
    </x:row>
    <x:row r="2397">
      <x:c r="A2397" t="str">
        <x:v>19994</x:v>
      </x:c>
      <x:c r="B2397" t="str">
        <x:v>Заявка с сайта от Алена 79222248228</x:v>
      </x:c>
      <x:c r="C2397" t="e">
        <x:f>HYPERLINK("https://belberrycrm.bitrix24.ru/crm/deal/details/19994/","https://belberrycrm.bitrix24.ru/crm/deal/details/19994/")</x:f>
      </x:c>
      <x:c r="D2397" t="str">
        <x:v>Реанимация</x:v>
      </x:c>
      <x:c r="E2397" t="str">
        <x:v>ЛИДЫ: Отвалы</x:v>
      </x:c>
      <x:c r="F2397" t="str">
        <x:v>Петр Дудин</x:v>
      </x:c>
      <x:c r="G2397" t="str">
        <x:v>нет</x:v>
      </x:c>
      <x:c r="H2397" t="str">
        <x:v>нет</x:v>
      </x:c>
    </x:row>
    <x:row r="2398">
      <x:c r="A2398" t="str">
        <x:v>19996</x:v>
      </x:c>
      <x:c r="B2398" t="str">
        <x:v>Заявка с сайта от Виталий 79636084073</x:v>
      </x:c>
      <x:c r="C2398" t="e">
        <x:f>HYPERLINK("https://belberrycrm.bitrix24.ru/crm/deal/details/19996/","https://belberrycrm.bitrix24.ru/crm/deal/details/19996/")</x:f>
      </x:c>
      <x:c r="D2398" t="str">
        <x:v>Реанимация</x:v>
      </x:c>
      <x:c r="E2398" t="str">
        <x:v>ЛИДЫ: Отвалы</x:v>
      </x:c>
      <x:c r="F2398" t="str">
        <x:v>Анна Гудинова</x:v>
      </x:c>
      <x:c r="G2398" t="str">
        <x:v>нет</x:v>
      </x:c>
      <x:c r="H2398" t="str">
        <x:v>нет</x:v>
      </x:c>
    </x:row>
    <x:row r="2399">
      <x:c r="A2399" t="str">
        <x:v>19998</x:v>
      </x:c>
      <x:c r="B2399" t="str">
        <x:v>Лид от Василенко Людмила Евгеньевна, +79016090029 (E-mail Outreach)</x:v>
      </x:c>
      <x:c r="C2399" t="e">
        <x:f>HYPERLINK("https://belberrycrm.bitrix24.ru/crm/deal/details/19998/","https://belberrycrm.bitrix24.ru/crm/deal/details/19998/")</x:f>
      </x:c>
      <x:c r="D2399" t="str">
        <x:v>Реанимация</x:v>
      </x:c>
      <x:c r="E2399" t="str">
        <x:v>ЛИДЫ: Отвалы</x:v>
      </x:c>
      <x:c r="F2399" t="str">
        <x:v>Анна Гудинова</x:v>
      </x:c>
      <x:c r="G2399" t="str">
        <x:v>нет</x:v>
      </x:c>
      <x:c r="H2399" t="str">
        <x:v>нет</x:v>
      </x:c>
    </x:row>
    <x:row r="2400">
      <x:c r="A2400" t="str">
        <x:v>20000</x:v>
      </x:c>
      <x:c r="B2400" t="str">
        <x:v>Заявка с сайта от Владислав 79228233451</x:v>
      </x:c>
      <x:c r="C2400" t="e">
        <x:f>HYPERLINK("https://belberrycrm.bitrix24.ru/crm/deal/details/20000/","https://belberrycrm.bitrix24.ru/crm/deal/details/20000/")</x:f>
      </x:c>
      <x:c r="D2400" t="str">
        <x:v>Реанимация</x:v>
      </x:c>
      <x:c r="E2400" t="str">
        <x:v>ЛИДЫ: Отвалы</x:v>
      </x:c>
      <x:c r="F2400" t="str">
        <x:v>Анна Гудинова</x:v>
      </x:c>
      <x:c r="G2400" t="str">
        <x:v>нет</x:v>
      </x:c>
      <x:c r="H2400" t="str">
        <x:v>нет</x:v>
      </x:c>
    </x:row>
    <x:row r="2401">
      <x:c r="A2401" t="str">
        <x:v>20002</x:v>
      </x:c>
      <x:c r="B2401" t="str">
        <x:v>7 845 238-26-79 - Входящий звонок</x:v>
      </x:c>
      <x:c r="C2401" t="e">
        <x:f>HYPERLINK("https://belberrycrm.bitrix24.ru/crm/deal/details/20002/","https://belberrycrm.bitrix24.ru/crm/deal/details/20002/")</x:f>
      </x:c>
      <x:c r="D2401" t="str">
        <x:v>Реанимация</x:v>
      </x:c>
      <x:c r="E2401" t="str">
        <x:v>ЛИДЫ: Отвалы</x:v>
      </x:c>
      <x:c r="F2401" t="str">
        <x:v>Анна Гудинова</x:v>
      </x:c>
      <x:c r="G2401" t="str">
        <x:v>нет</x:v>
      </x:c>
      <x:c r="H2401" t="str">
        <x:v>нет</x:v>
      </x:c>
    </x:row>
    <x:row r="2402">
      <x:c r="A2402" t="str">
        <x:v>20006</x:v>
      </x:c>
      <x:c r="B2402" t="str">
        <x:v>7 985 855-50-43 - Входящий звонок</x:v>
      </x:c>
      <x:c r="C2402" t="e">
        <x:f>HYPERLINK("https://belberrycrm.bitrix24.ru/crm/deal/details/20006/","https://belberrycrm.bitrix24.ru/crm/deal/details/20006/")</x:f>
      </x:c>
      <x:c r="D2402" t="str">
        <x:v>Реанимация</x:v>
      </x:c>
      <x:c r="E2402" t="str">
        <x:v>ЛИДЫ: Отвалы</x:v>
      </x:c>
      <x:c r="F2402" t="str">
        <x:v>Анна Гудинова</x:v>
      </x:c>
      <x:c r="G2402" t="str">
        <x:v>нет</x:v>
      </x:c>
      <x:c r="H2402" t="str">
        <x:v>нет</x:v>
      </x:c>
    </x:row>
    <x:row r="2403">
      <x:c r="A2403" t="str">
        <x:v>20012</x:v>
      </x:c>
      <x:c r="B2403" t="str">
        <x:v>ayurveda-msk.ru</x:v>
      </x:c>
      <x:c r="C2403" t="e">
        <x:f>HYPERLINK("https://belberrycrm.bitrix24.ru/crm/deal/details/20012/","https://belberrycrm.bitrix24.ru/crm/deal/details/20012/")</x:f>
      </x:c>
      <x:c r="D2403" t="str">
        <x:v>Реанимация</x:v>
      </x:c>
      <x:c r="E2403" t="str">
        <x:v>ЛИДЫ: Отвалы</x:v>
      </x:c>
      <x:c r="F2403" t="str">
        <x:v>Александр Голядкин</x:v>
      </x:c>
      <x:c r="G2403" t="str">
        <x:v>нет</x:v>
      </x:c>
      <x:c r="H2403" t="str">
        <x:v>нет</x:v>
      </x:c>
    </x:row>
    <x:row r="2404">
      <x:c r="A2404" t="str">
        <x:v>20014</x:v>
      </x:c>
      <x:c r="B2404" t="str">
        <x:v>center-bambuk.ru</x:v>
      </x:c>
      <x:c r="C2404" t="e">
        <x:f>HYPERLINK("https://belberrycrm.bitrix24.ru/crm/deal/details/20014/","https://belberrycrm.bitrix24.ru/crm/deal/details/20014/")</x:f>
      </x:c>
      <x:c r="D2404" t="str">
        <x:v>Реанимация</x:v>
      </x:c>
      <x:c r="E2404" t="str">
        <x:v>ЛИДЫ: Отвалы</x:v>
      </x:c>
      <x:c r="F2404" t="str">
        <x:v>Александр Голядкин</x:v>
      </x:c>
      <x:c r="G2404" t="str">
        <x:v>нет</x:v>
      </x:c>
      <x:c r="H2404" t="str">
        <x:v>нет</x:v>
      </x:c>
    </x:row>
    <x:row r="2405">
      <x:c r="A2405" t="str">
        <x:v>20016</x:v>
      </x:c>
      <x:c r="B2405" t="str">
        <x:v>doctor-iev.ru</x:v>
      </x:c>
      <x:c r="C2405" t="e">
        <x:f>HYPERLINK("https://belberrycrm.bitrix24.ru/crm/deal/details/20016/","https://belberrycrm.bitrix24.ru/crm/deal/details/20016/")</x:f>
      </x:c>
      <x:c r="D2405" t="str">
        <x:v>Реанимация</x:v>
      </x:c>
      <x:c r="E2405" t="str">
        <x:v>ЛИДЫ: Отвалы</x:v>
      </x:c>
      <x:c r="F2405" t="str">
        <x:v>Руслан Дмитриев</x:v>
      </x:c>
      <x:c r="G2405" t="str">
        <x:v>нет</x:v>
      </x:c>
      <x:c r="H2405" t="str">
        <x:v>нет</x:v>
      </x:c>
    </x:row>
    <x:row r="2406">
      <x:c r="A2406" t="str">
        <x:v>20020</x:v>
      </x:c>
      <x:c r="B2406" t="str">
        <x:v>centr-rebenka.ru</x:v>
      </x:c>
      <x:c r="C2406" t="e">
        <x:f>HYPERLINK("https://belberrycrm.bitrix24.ru/crm/deal/details/20020/","https://belberrycrm.bitrix24.ru/crm/deal/details/20020/")</x:f>
      </x:c>
      <x:c r="D2406" t="str">
        <x:v>Реанимация</x:v>
      </x:c>
      <x:c r="E2406" t="str">
        <x:v>ЛИДЫ: Отвалы</x:v>
      </x:c>
      <x:c r="F2406" t="str">
        <x:v>Дарья Исаева</x:v>
      </x:c>
      <x:c r="G2406" t="str">
        <x:v>нет</x:v>
      </x:c>
      <x:c r="H2406" t="str">
        <x:v>нет</x:v>
      </x:c>
    </x:row>
    <x:row r="2407">
      <x:c r="A2407" t="str">
        <x:v>20022</x:v>
      </x:c>
      <x:c r="B2407" t="str">
        <x:v>chpr.ru</x:v>
      </x:c>
      <x:c r="C2407" t="e">
        <x:f>HYPERLINK("https://belberrycrm.bitrix24.ru/crm/deal/details/20022/","https://belberrycrm.bitrix24.ru/crm/deal/details/20022/")</x:f>
      </x:c>
      <x:c r="D2407" t="str">
        <x:v>Реанимация</x:v>
      </x:c>
      <x:c r="E2407" t="str">
        <x:v>ЛИДЫ: Отвалы</x:v>
      </x:c>
      <x:c r="F2407" t="str">
        <x:v>Дарья Исаева</x:v>
      </x:c>
      <x:c r="G2407" t="str">
        <x:v>нет</x:v>
      </x:c>
      <x:c r="H2407" t="str">
        <x:v>нет</x:v>
      </x:c>
    </x:row>
    <x:row r="2408">
      <x:c r="A2408" t="str">
        <x:v>20024</x:v>
      </x:c>
      <x:c r="B2408" t="str">
        <x:v>evroklinika.ru</x:v>
      </x:c>
      <x:c r="C2408" t="e">
        <x:f>HYPERLINK("https://belberrycrm.bitrix24.ru/crm/deal/details/20024/","https://belberrycrm.bitrix24.ru/crm/deal/details/20024/")</x:f>
      </x:c>
      <x:c r="D2408" t="str">
        <x:v>Реанимация</x:v>
      </x:c>
      <x:c r="E2408" t="str">
        <x:v>ЛИДЫ: Отвалы</x:v>
      </x:c>
      <x:c r="F2408" t="str">
        <x:v>Дарья Исаева</x:v>
      </x:c>
      <x:c r="G2408" t="str">
        <x:v>нет</x:v>
      </x:c>
      <x:c r="H2408" t="str">
        <x:v>нет</x:v>
      </x:c>
    </x:row>
    <x:row r="2409">
      <x:c r="A2409" t="str">
        <x:v>20028</x:v>
      </x:c>
      <x:c r="B2409" t="str">
        <x:v>move-med.ru</x:v>
      </x:c>
      <x:c r="C2409" t="e">
        <x:f>HYPERLINK("https://belberrycrm.bitrix24.ru/crm/deal/details/20028/","https://belberrycrm.bitrix24.ru/crm/deal/details/20028/")</x:f>
      </x:c>
      <x:c r="D2409" t="str">
        <x:v>Реанимация</x:v>
      </x:c>
      <x:c r="E2409" t="str">
        <x:v>ЛИДЫ: Отвалы</x:v>
      </x:c>
      <x:c r="F2409" t="str">
        <x:v>Дарья Исаева</x:v>
      </x:c>
      <x:c r="G2409" t="str">
        <x:v>нет</x:v>
      </x:c>
      <x:c r="H2409" t="str">
        <x:v>нет</x:v>
      </x:c>
    </x:row>
    <x:row r="2410">
      <x:c r="A2410" t="str">
        <x:v>20030</x:v>
      </x:c>
      <x:c r="B2410" t="str">
        <x:v>ne-bolno.ru</x:v>
      </x:c>
      <x:c r="C2410" t="e">
        <x:f>HYPERLINK("https://belberrycrm.bitrix24.ru/crm/deal/details/20030/","https://belberrycrm.bitrix24.ru/crm/deal/details/20030/")</x:f>
      </x:c>
      <x:c r="D2410" t="str">
        <x:v>Реанимация</x:v>
      </x:c>
      <x:c r="E2410" t="str">
        <x:v>ЛИДЫ: Отвалы</x:v>
      </x:c>
      <x:c r="F2410" t="str">
        <x:v>Дарья Исаева</x:v>
      </x:c>
      <x:c r="G2410" t="str">
        <x:v>нет</x:v>
      </x:c>
      <x:c r="H2410" t="str">
        <x:v>нет</x:v>
      </x:c>
    </x:row>
    <x:row r="2411">
      <x:c r="A2411" t="str">
        <x:v>20032</x:v>
      </x:c>
      <x:c r="B2411" t="str">
        <x:v>ph-concept.com</x:v>
      </x:c>
      <x:c r="C2411" t="e">
        <x:f>HYPERLINK("https://belberrycrm.bitrix24.ru/crm/deal/details/20032/","https://belberrycrm.bitrix24.ru/crm/deal/details/20032/")</x:f>
      </x:c>
      <x:c r="D2411" t="str">
        <x:v>Реанимация</x:v>
      </x:c>
      <x:c r="E2411" t="str">
        <x:v>ЛИДЫ: Отвалы</x:v>
      </x:c>
      <x:c r="F2411" t="str">
        <x:v>Екатерина Кохтачева</x:v>
      </x:c>
      <x:c r="G2411" t="str">
        <x:v>нет</x:v>
      </x:c>
      <x:c r="H2411" t="str">
        <x:v>нет</x:v>
      </x:c>
    </x:row>
    <x:row r="2412">
      <x:c r="A2412" t="str">
        <x:v>20034</x:v>
      </x:c>
      <x:c r="B2412" t="str">
        <x:v>zlmed.ru</x:v>
      </x:c>
      <x:c r="C2412" t="e">
        <x:f>HYPERLINK("https://belberrycrm.bitrix24.ru/crm/deal/details/20034/","https://belberrycrm.bitrix24.ru/crm/deal/details/20034/")</x:f>
      </x:c>
      <x:c r="D2412" t="str">
        <x:v>Реанимация</x:v>
      </x:c>
      <x:c r="E2412" t="str">
        <x:v>ЛИДЫ: Отвалы</x:v>
      </x:c>
      <x:c r="F2412" t="str">
        <x:v>Дарья Исаева</x:v>
      </x:c>
      <x:c r="G2412" t="str">
        <x:v>нет</x:v>
      </x:c>
      <x:c r="H2412" t="str">
        <x:v>нет</x:v>
      </x:c>
    </x:row>
    <x:row r="2413">
      <x:c r="A2413" t="str">
        <x:v>20036</x:v>
      </x:c>
      <x:c r="B2413" t="str">
        <x:v>zubnayapravda.ru</x:v>
      </x:c>
      <x:c r="C2413" t="e">
        <x:f>HYPERLINK("https://belberrycrm.bitrix24.ru/crm/deal/details/20036/","https://belberrycrm.bitrix24.ru/crm/deal/details/20036/")</x:f>
      </x:c>
      <x:c r="D2413" t="str">
        <x:v>Реанимация</x:v>
      </x:c>
      <x:c r="E2413" t="str">
        <x:v>ЛИДЫ: Отвалы</x:v>
      </x:c>
      <x:c r="F2413" t="str">
        <x:v>Дарья Исаева</x:v>
      </x:c>
      <x:c r="G2413" t="str">
        <x:v>нет</x:v>
      </x:c>
      <x:c r="H2413" t="str">
        <x:v>нет</x:v>
      </x:c>
    </x:row>
    <x:row r="2414">
      <x:c r="A2414" t="str">
        <x:v>20040</x:v>
      </x:c>
      <x:c r="B2414" t="str">
        <x:v>skomnia.ru</x:v>
      </x:c>
      <x:c r="C2414" t="e">
        <x:f>HYPERLINK("https://belberrycrm.bitrix24.ru/crm/deal/details/20040/","https://belberrycrm.bitrix24.ru/crm/deal/details/20040/")</x:f>
      </x:c>
      <x:c r="D2414" t="str">
        <x:v>Реанимация</x:v>
      </x:c>
      <x:c r="E2414" t="str">
        <x:v>ЛИДЫ: Отвалы</x:v>
      </x:c>
      <x:c r="F2414" t="str">
        <x:v>Дарья Исаева</x:v>
      </x:c>
      <x:c r="G2414" t="str">
        <x:v>нет</x:v>
      </x:c>
      <x:c r="H2414" t="str">
        <x:v>нет</x:v>
      </x:c>
    </x:row>
    <x:row r="2415">
      <x:c r="A2415" t="str">
        <x:v>20046</x:v>
      </x:c>
      <x:c r="B2415" t="str">
        <x:v>dr-green.ru</x:v>
      </x:c>
      <x:c r="C2415" t="e">
        <x:f>HYPERLINK("https://belberrycrm.bitrix24.ru/crm/deal/details/20046/","https://belberrycrm.bitrix24.ru/crm/deal/details/20046/")</x:f>
      </x:c>
      <x:c r="D2415" t="str">
        <x:v>Реанимация</x:v>
      </x:c>
      <x:c r="E2415" t="str">
        <x:v>ЛИДЫ: Отвалы</x:v>
      </x:c>
      <x:c r="F2415" t="str">
        <x:v>Дарья Исаева</x:v>
      </x:c>
      <x:c r="G2415" t="str">
        <x:v>нет</x:v>
      </x:c>
      <x:c r="H2415" t="str">
        <x:v>нет</x:v>
      </x:c>
    </x:row>
    <x:row r="2416">
      <x:c r="A2416" t="str">
        <x:v>20050</x:v>
      </x:c>
      <x:c r="B2416" t="str">
        <x:v>andreysalov.ru</x:v>
      </x:c>
      <x:c r="C2416" t="e">
        <x:f>HYPERLINK("https://belberrycrm.bitrix24.ru/crm/deal/details/20050/","https://belberrycrm.bitrix24.ru/crm/deal/details/20050/")</x:f>
      </x:c>
      <x:c r="D2416" t="str">
        <x:v>Реанимация</x:v>
      </x:c>
      <x:c r="E2416" t="str">
        <x:v>ЛИДЫ: Отвалы</x:v>
      </x:c>
      <x:c r="F2416" t="str">
        <x:v>Дарья Исаева</x:v>
      </x:c>
      <x:c r="G2416" t="str">
        <x:v>нет</x:v>
      </x:c>
      <x:c r="H2416" t="str">
        <x:v>нет</x:v>
      </x:c>
    </x:row>
    <x:row r="2417">
      <x:c r="A2417" t="str">
        <x:v>20052</x:v>
      </x:c>
      <x:c r="B2417" t="str">
        <x:v>arkadiya-med.ru</x:v>
      </x:c>
      <x:c r="C2417" t="e">
        <x:f>HYPERLINK("https://belberrycrm.bitrix24.ru/crm/deal/details/20052/","https://belberrycrm.bitrix24.ru/crm/deal/details/20052/")</x:f>
      </x:c>
      <x:c r="D2417" t="str">
        <x:v>Реанимация</x:v>
      </x:c>
      <x:c r="E2417" t="str">
        <x:v>ЛИДЫ: Отвалы</x:v>
      </x:c>
      <x:c r="F2417" t="str">
        <x:v>Александр Голядкин</x:v>
      </x:c>
      <x:c r="G2417" t="str">
        <x:v>нет</x:v>
      </x:c>
      <x:c r="H2417" t="str">
        <x:v>нет</x:v>
      </x:c>
    </x:row>
    <x:row r="2418">
      <x:c r="A2418" t="str">
        <x:v>20062</x:v>
      </x:c>
      <x:c r="B2418" t="str">
        <x:v>dinasty.clinic</x:v>
      </x:c>
      <x:c r="C2418" t="e">
        <x:f>HYPERLINK("https://belberrycrm.bitrix24.ru/crm/deal/details/20062/","https://belberrycrm.bitrix24.ru/crm/deal/details/20062/")</x:f>
      </x:c>
      <x:c r="D2418" t="str">
        <x:v>Реанимация</x:v>
      </x:c>
      <x:c r="E2418" t="str">
        <x:v>ЛИДЫ: Отвалы</x:v>
      </x:c>
      <x:c r="F2418" t="str">
        <x:v>Дарья Исаева</x:v>
      </x:c>
      <x:c r="G2418" t="str">
        <x:v>нет</x:v>
      </x:c>
      <x:c r="H2418" t="str">
        <x:v>нет</x:v>
      </x:c>
    </x:row>
    <x:row r="2419">
      <x:c r="A2419" t="str">
        <x:v>20064</x:v>
      </x:c>
      <x:c r="B2419" t="str">
        <x:v>extro-med.ru</x:v>
      </x:c>
      <x:c r="C2419" t="e">
        <x:f>HYPERLINK("https://belberrycrm.bitrix24.ru/crm/deal/details/20064/","https://belberrycrm.bitrix24.ru/crm/deal/details/20064/")</x:f>
      </x:c>
      <x:c r="D2419" t="str">
        <x:v>Реанимация</x:v>
      </x:c>
      <x:c r="E2419" t="str">
        <x:v>ЛИДЫ: Отвалы</x:v>
      </x:c>
      <x:c r="F2419" t="str">
        <x:v>Дарья Исаева</x:v>
      </x:c>
      <x:c r="G2419" t="str">
        <x:v>нет</x:v>
      </x:c>
      <x:c r="H2419" t="str">
        <x:v>нет</x:v>
      </x:c>
    </x:row>
    <x:row r="2420">
      <x:c r="A2420" t="str">
        <x:v>20066</x:v>
      </x:c>
      <x:c r="B2420" t="str">
        <x:v>helmed.ru</x:v>
      </x:c>
      <x:c r="C2420" t="e">
        <x:f>HYPERLINK("https://belberrycrm.bitrix24.ru/crm/deal/details/20066/","https://belberrycrm.bitrix24.ru/crm/deal/details/20066/")</x:f>
      </x:c>
      <x:c r="D2420" t="str">
        <x:v>Реанимация</x:v>
      </x:c>
      <x:c r="E2420" t="str">
        <x:v>ЛИДЫ: Отвалы</x:v>
      </x:c>
      <x:c r="F2420" t="str">
        <x:v>Дарья Исаева</x:v>
      </x:c>
      <x:c r="G2420" t="str">
        <x:v>нет</x:v>
      </x:c>
      <x:c r="H2420" t="str">
        <x:v>нет</x:v>
      </x:c>
    </x:row>
    <x:row r="2421">
      <x:c r="A2421" t="str">
        <x:v>20068</x:v>
      </x:c>
      <x:c r="B2421" t="str">
        <x:v>hospitalkms.ru</x:v>
      </x:c>
      <x:c r="C2421" t="e">
        <x:f>HYPERLINK("https://belberrycrm.bitrix24.ru/crm/deal/details/20068/","https://belberrycrm.bitrix24.ru/crm/deal/details/20068/")</x:f>
      </x:c>
      <x:c r="D2421" t="str">
        <x:v>Реанимация</x:v>
      </x:c>
      <x:c r="E2421" t="str">
        <x:v>ЛИДЫ: Отвалы</x:v>
      </x:c>
      <x:c r="F2421" t="str">
        <x:v>Дарья Исаева</x:v>
      </x:c>
      <x:c r="G2421" t="str">
        <x:v>нет</x:v>
      </x:c>
      <x:c r="H2421" t="str">
        <x:v>нет</x:v>
      </x:c>
    </x:row>
    <x:row r="2422">
      <x:c r="A2422" t="str">
        <x:v>20070</x:v>
      </x:c>
      <x:c r="B2422" t="str">
        <x:v>identis-spb.com</x:v>
      </x:c>
      <x:c r="C2422" t="e">
        <x:f>HYPERLINK("https://belberrycrm.bitrix24.ru/crm/deal/details/20070/","https://belberrycrm.bitrix24.ru/crm/deal/details/20070/")</x:f>
      </x:c>
      <x:c r="D2422" t="str">
        <x:v>Реанимация</x:v>
      </x:c>
      <x:c r="E2422" t="str">
        <x:v>ЛИДЫ: Отвалы</x:v>
      </x:c>
      <x:c r="F2422" t="str">
        <x:v>Дарья Исаева</x:v>
      </x:c>
      <x:c r="G2422" t="str">
        <x:v>нет</x:v>
      </x:c>
      <x:c r="H2422" t="str">
        <x:v>нет</x:v>
      </x:c>
    </x:row>
    <x:row r="2423">
      <x:c r="A2423" t="str">
        <x:v>20074</x:v>
      </x:c>
      <x:c r="B2423" t="str">
        <x:v>snabeauty.com</x:v>
      </x:c>
      <x:c r="C2423" t="e">
        <x:f>HYPERLINK("https://belberrycrm.bitrix24.ru/crm/deal/details/20074/","https://belberrycrm.bitrix24.ru/crm/deal/details/20074/")</x:f>
      </x:c>
      <x:c r="D2423" t="str">
        <x:v>Реанимация</x:v>
      </x:c>
      <x:c r="E2423" t="str">
        <x:v>ЛИДЫ: Отвалы</x:v>
      </x:c>
      <x:c r="F2423" t="str">
        <x:v>Александр Голядкин</x:v>
      </x:c>
      <x:c r="G2423" t="str">
        <x:v>нет</x:v>
      </x:c>
      <x:c r="H2423" t="str">
        <x:v>нет</x:v>
      </x:c>
    </x:row>
    <x:row r="2424">
      <x:c r="A2424" t="str">
        <x:v>20076</x:v>
      </x:c>
      <x:c r="B2424" t="str">
        <x:v>solaclinica.ru</x:v>
      </x:c>
      <x:c r="C2424" t="e">
        <x:f>HYPERLINK("https://belberrycrm.bitrix24.ru/crm/deal/details/20076/","https://belberrycrm.bitrix24.ru/crm/deal/details/20076/")</x:f>
      </x:c>
      <x:c r="D2424" t="str">
        <x:v>Реанимация</x:v>
      </x:c>
      <x:c r="E2424" t="str">
        <x:v>ЛИДЫ: Отвалы</x:v>
      </x:c>
      <x:c r="F2424" t="str">
        <x:v>Петр Дудин</x:v>
      </x:c>
      <x:c r="G2424" t="str">
        <x:v>нет</x:v>
      </x:c>
      <x:c r="H2424" t="str">
        <x:v>нет</x:v>
      </x:c>
    </x:row>
    <x:row r="2425">
      <x:c r="A2425" t="str">
        <x:v>20078</x:v>
      </x:c>
      <x:c r="B2425" t="str">
        <x:v>vermet.ru</x:v>
      </x:c>
      <x:c r="C2425" t="e">
        <x:f>HYPERLINK("https://belberrycrm.bitrix24.ru/crm/deal/details/20078/","https://belberrycrm.bitrix24.ru/crm/deal/details/20078/")</x:f>
      </x:c>
      <x:c r="D2425" t="str">
        <x:v>Реанимация</x:v>
      </x:c>
      <x:c r="E2425" t="str">
        <x:v>ЛИДЫ: Отвалы</x:v>
      </x:c>
      <x:c r="F2425" t="str">
        <x:v>Екатерина Кохтачева</x:v>
      </x:c>
      <x:c r="G2425" t="str">
        <x:v>нет</x:v>
      </x:c>
      <x:c r="H2425" t="str">
        <x:v>нет</x:v>
      </x:c>
    </x:row>
    <x:row r="2426">
      <x:c r="A2426" t="str">
        <x:v>20080</x:v>
      </x:c>
      <x:c r="B2426" t="str">
        <x:v>verona-proff.ru</x:v>
      </x:c>
      <x:c r="C2426" t="e">
        <x:f>HYPERLINK("https://belberrycrm.bitrix24.ru/crm/deal/details/20080/","https://belberrycrm.bitrix24.ru/crm/deal/details/20080/")</x:f>
      </x:c>
      <x:c r="D2426" t="str">
        <x:v>Реанимация</x:v>
      </x:c>
      <x:c r="E2426" t="str">
        <x:v>ЛИДЫ: Отвалы</x:v>
      </x:c>
      <x:c r="F2426" t="str">
        <x:v>Екатерина Кохтачева</x:v>
      </x:c>
      <x:c r="G2426" t="str">
        <x:v>нет</x:v>
      </x:c>
      <x:c r="H2426" t="str">
        <x:v>нет</x:v>
      </x:c>
    </x:row>
    <x:row r="2427">
      <x:c r="A2427" t="str">
        <x:v>20082</x:v>
      </x:c>
      <x:c r="B2427" t="str">
        <x:v>veta-shop.ru</x:v>
      </x:c>
      <x:c r="C2427" t="e">
        <x:f>HYPERLINK("https://belberrycrm.bitrix24.ru/crm/deal/details/20082/","https://belberrycrm.bitrix24.ru/crm/deal/details/20082/")</x:f>
      </x:c>
      <x:c r="D2427" t="str">
        <x:v>Реанимация</x:v>
      </x:c>
      <x:c r="E2427" t="str">
        <x:v>ЛИДЫ: Отвалы</x:v>
      </x:c>
      <x:c r="F2427" t="str">
        <x:v>Екатерина Кохтачева</x:v>
      </x:c>
      <x:c r="G2427" t="str">
        <x:v>нет</x:v>
      </x:c>
      <x:c r="H2427" t="str">
        <x:v>нет</x:v>
      </x:c>
    </x:row>
    <x:row r="2428">
      <x:c r="A2428" t="str">
        <x:v>20084</x:v>
      </x:c>
      <x:c r="B2428" t="str">
        <x:v>vetta-m.ru</x:v>
      </x:c>
      <x:c r="C2428" t="e">
        <x:f>HYPERLINK("https://belberrycrm.bitrix24.ru/crm/deal/details/20084/","https://belberrycrm.bitrix24.ru/crm/deal/details/20084/")</x:f>
      </x:c>
      <x:c r="D2428" t="str">
        <x:v>Реанимация</x:v>
      </x:c>
      <x:c r="E2428" t="str">
        <x:v>ЛИДЫ: Отвалы</x:v>
      </x:c>
      <x:c r="F2428" t="str">
        <x:v>Екатерина Кохтачева</x:v>
      </x:c>
      <x:c r="G2428" t="str">
        <x:v>нет</x:v>
      </x:c>
      <x:c r="H2428" t="str">
        <x:v>нет</x:v>
      </x:c>
    </x:row>
    <x:row r="2429">
      <x:c r="A2429" t="str">
        <x:v>20086</x:v>
      </x:c>
      <x:c r="B2429" t="str">
        <x:v>vibrit.ru</x:v>
      </x:c>
      <x:c r="C2429" t="e">
        <x:f>HYPERLINK("https://belberrycrm.bitrix24.ru/crm/deal/details/20086/","https://belberrycrm.bitrix24.ru/crm/deal/details/20086/")</x:f>
      </x:c>
      <x:c r="D2429" t="str">
        <x:v>Реанимация</x:v>
      </x:c>
      <x:c r="E2429" t="str">
        <x:v>ЛИДЫ: Отвалы</x:v>
      </x:c>
      <x:c r="F2429" t="str">
        <x:v>Екатерина Кохтачева</x:v>
      </x:c>
      <x:c r="G2429" t="str">
        <x:v>нет</x:v>
      </x:c>
      <x:c r="H2429" t="str">
        <x:v>нет</x:v>
      </x:c>
    </x:row>
    <x:row r="2430">
      <x:c r="A2430" t="str">
        <x:v>20088</x:v>
      </x:c>
      <x:c r="B2430" t="str">
        <x:v>vifalia.ru</x:v>
      </x:c>
      <x:c r="C2430" t="e">
        <x:f>HYPERLINK("https://belberrycrm.bitrix24.ru/crm/deal/details/20088/","https://belberrycrm.bitrix24.ru/crm/deal/details/20088/")</x:f>
      </x:c>
      <x:c r="D2430" t="str">
        <x:v>Реанимация</x:v>
      </x:c>
      <x:c r="E2430" t="str">
        <x:v>ЛИДЫ: Отвалы</x:v>
      </x:c>
      <x:c r="F2430" t="str">
        <x:v>Екатерина Кохтачева</x:v>
      </x:c>
      <x:c r="G2430" t="str">
        <x:v>нет</x:v>
      </x:c>
      <x:c r="H2430" t="str">
        <x:v>нет</x:v>
      </x:c>
    </x:row>
    <x:row r="2431">
      <x:c r="A2431" t="str">
        <x:v>20090</x:v>
      </x:c>
      <x:c r="B2431" t="str">
        <x:v>vitalbeauty.ru</x:v>
      </x:c>
      <x:c r="C2431" t="e">
        <x:f>HYPERLINK("https://belberrycrm.bitrix24.ru/crm/deal/details/20090/","https://belberrycrm.bitrix24.ru/crm/deal/details/20090/")</x:f>
      </x:c>
      <x:c r="D2431" t="str">
        <x:v>Реанимация</x:v>
      </x:c>
      <x:c r="E2431" t="str">
        <x:v>ЛИДЫ: Отвалы</x:v>
      </x:c>
      <x:c r="F2431" t="str">
        <x:v>Екатерина Кохтачева</x:v>
      </x:c>
      <x:c r="G2431" t="str">
        <x:v>нет</x:v>
      </x:c>
      <x:c r="H2431" t="str">
        <x:v>нет</x:v>
      </x:c>
    </x:row>
    <x:row r="2432">
      <x:c r="A2432" t="str">
        <x:v>20092</x:v>
      </x:c>
      <x:c r="B2432" t="str">
        <x:v>vitdella.ru</x:v>
      </x:c>
      <x:c r="C2432" t="e">
        <x:f>HYPERLINK("https://belberrycrm.bitrix24.ru/crm/deal/details/20092/","https://belberrycrm.bitrix24.ru/crm/deal/details/20092/")</x:f>
      </x:c>
      <x:c r="D2432" t="str">
        <x:v>Реанимация</x:v>
      </x:c>
      <x:c r="E2432" t="str">
        <x:v>ЛИДЫ: Отвалы</x:v>
      </x:c>
      <x:c r="F2432" t="str">
        <x:v>Екатерина Кохтачева</x:v>
      </x:c>
      <x:c r="G2432" t="str">
        <x:v>нет</x:v>
      </x:c>
      <x:c r="H2432" t="str">
        <x:v>нет</x:v>
      </x:c>
    </x:row>
    <x:row r="2433">
      <x:c r="A2433" t="str">
        <x:v>20094</x:v>
      </x:c>
      <x:c r="B2433" t="str">
        <x:v>vitolife.ru</x:v>
      </x:c>
      <x:c r="C2433" t="e">
        <x:f>HYPERLINK("https://belberrycrm.bitrix24.ru/crm/deal/details/20094/","https://belberrycrm.bitrix24.ru/crm/deal/details/20094/")</x:f>
      </x:c>
      <x:c r="D2433" t="str">
        <x:v>Реанимация</x:v>
      </x:c>
      <x:c r="E2433" t="str">
        <x:v>ЛИДЫ: Отвалы</x:v>
      </x:c>
      <x:c r="F2433" t="str">
        <x:v>Екатерина Кохтачева</x:v>
      </x:c>
      <x:c r="G2433" t="str">
        <x:v>нет</x:v>
      </x:c>
      <x:c r="H2433" t="str">
        <x:v>нет</x:v>
      </x:c>
    </x:row>
    <x:row r="2434">
      <x:c r="A2434" t="str">
        <x:v>20096</x:v>
      </x:c>
      <x:c r="B2434" t="str">
        <x:v>vitrina-shop.com</x:v>
      </x:c>
      <x:c r="C2434" t="e">
        <x:f>HYPERLINK("https://belberrycrm.bitrix24.ru/crm/deal/details/20096/","https://belberrycrm.bitrix24.ru/crm/deal/details/20096/")</x:f>
      </x:c>
      <x:c r="D2434" t="str">
        <x:v>Реанимация</x:v>
      </x:c>
      <x:c r="E2434" t="str">
        <x:v>ЛИДЫ: Отвалы</x:v>
      </x:c>
      <x:c r="F2434" t="str">
        <x:v>Екатерина Кохтачева</x:v>
      </x:c>
      <x:c r="G2434" t="str">
        <x:v>нет</x:v>
      </x:c>
      <x:c r="H2434" t="str">
        <x:v>нет</x:v>
      </x:c>
    </x:row>
    <x:row r="2435">
      <x:c r="A2435" t="str">
        <x:v>20098</x:v>
      </x:c>
      <x:c r="B2435" t="str">
        <x:v>vivantus.ru</x:v>
      </x:c>
      <x:c r="C2435" t="e">
        <x:f>HYPERLINK("https://belberrycrm.bitrix24.ru/crm/deal/details/20098/","https://belberrycrm.bitrix24.ru/crm/deal/details/20098/")</x:f>
      </x:c>
      <x:c r="D2435" t="str">
        <x:v>Реанимация</x:v>
      </x:c>
      <x:c r="E2435" t="str">
        <x:v>ЛИДЫ: Отвалы</x:v>
      </x:c>
      <x:c r="F2435" t="str">
        <x:v>Екатерина Кохтачева</x:v>
      </x:c>
      <x:c r="G2435" t="str">
        <x:v>нет</x:v>
      </x:c>
      <x:c r="H2435" t="str">
        <x:v>нет</x:v>
      </x:c>
    </x:row>
    <x:row r="2436">
      <x:c r="A2436" t="str">
        <x:v>20100</x:v>
      </x:c>
      <x:c r="B2436" t="str">
        <x:v>vivasanka.com</x:v>
      </x:c>
      <x:c r="C2436" t="e">
        <x:f>HYPERLINK("https://belberrycrm.bitrix24.ru/crm/deal/details/20100/","https://belberrycrm.bitrix24.ru/crm/deal/details/20100/")</x:f>
      </x:c>
      <x:c r="D2436" t="str">
        <x:v>Реанимация</x:v>
      </x:c>
      <x:c r="E2436" t="str">
        <x:v>ЛИДЫ: Отвалы</x:v>
      </x:c>
      <x:c r="F2436" t="str">
        <x:v>Екатерина Кохтачева</x:v>
      </x:c>
      <x:c r="G2436" t="str">
        <x:v>нет</x:v>
      </x:c>
      <x:c r="H2436" t="str">
        <x:v>нет</x:v>
      </x:c>
    </x:row>
    <x:row r="2437">
      <x:c r="A2437" t="str">
        <x:v>20102</x:v>
      </x:c>
      <x:c r="B2437" t="str">
        <x:v>zdorove.ru</x:v>
      </x:c>
      <x:c r="C2437" t="e">
        <x:f>HYPERLINK("https://belberrycrm.bitrix24.ru/crm/deal/details/20102/","https://belberrycrm.bitrix24.ru/crm/deal/details/20102/")</x:f>
      </x:c>
      <x:c r="D2437" t="str">
        <x:v>Реанимация</x:v>
      </x:c>
      <x:c r="E2437" t="str">
        <x:v>ЛИДЫ: Отвалы</x:v>
      </x:c>
      <x:c r="F2437" t="str">
        <x:v>Екатерина Кохтачева</x:v>
      </x:c>
      <x:c r="G2437" t="str">
        <x:v>нет</x:v>
      </x:c>
      <x:c r="H2437" t="str">
        <x:v>нет</x:v>
      </x:c>
    </x:row>
    <x:row r="2438">
      <x:c r="A2438" t="str">
        <x:v>20104</x:v>
      </x:c>
      <x:c r="B2438" t="str">
        <x:v>zoloto-vostoka.ru</x:v>
      </x:c>
      <x:c r="C2438" t="e">
        <x:f>HYPERLINK("https://belberrycrm.bitrix24.ru/crm/deal/details/20104/","https://belberrycrm.bitrix24.ru/crm/deal/details/20104/")</x:f>
      </x:c>
      <x:c r="D2438" t="str">
        <x:v>Реанимация</x:v>
      </x:c>
      <x:c r="E2438" t="str">
        <x:v>ЛИДЫ: Отвалы</x:v>
      </x:c>
      <x:c r="F2438" t="str">
        <x:v>Екатерина Кохтачева</x:v>
      </x:c>
      <x:c r="G2438" t="str">
        <x:v>нет</x:v>
      </x:c>
      <x:c r="H2438" t="str">
        <x:v>нет</x:v>
      </x:c>
    </x:row>
    <x:row r="2439">
      <x:c r="A2439" t="str">
        <x:v>20106</x:v>
      </x:c>
      <x:c r="B2439" t="str">
        <x:v>zozhno.ru</x:v>
      </x:c>
      <x:c r="C2439" t="e">
        <x:f>HYPERLINK("https://belberrycrm.bitrix24.ru/crm/deal/details/20106/","https://belberrycrm.bitrix24.ru/crm/deal/details/20106/")</x:f>
      </x:c>
      <x:c r="D2439" t="str">
        <x:v>Реанимация</x:v>
      </x:c>
      <x:c r="E2439" t="str">
        <x:v>ЛИДЫ: Отвалы</x:v>
      </x:c>
      <x:c r="F2439" t="str">
        <x:v>Екатерина Кохтачева</x:v>
      </x:c>
      <x:c r="G2439" t="str">
        <x:v>нет</x:v>
      </x:c>
      <x:c r="H2439" t="str">
        <x:v>нет</x:v>
      </x:c>
    </x:row>
    <x:row r="2440">
      <x:c r="A2440" t="str">
        <x:v>20108</x:v>
      </x:c>
      <x:c r="B2440" t="str">
        <x:v>аппликаторы-ляпко.рф</x:v>
      </x:c>
      <x:c r="C2440" t="e">
        <x:f>HYPERLINK("https://belberrycrm.bitrix24.ru/crm/deal/details/20108/","https://belberrycrm.bitrix24.ru/crm/deal/details/20108/")</x:f>
      </x:c>
      <x:c r="D2440" t="str">
        <x:v>Реанимация</x:v>
      </x:c>
      <x:c r="E2440" t="str">
        <x:v>ЛИДЫ: Отвалы</x:v>
      </x:c>
      <x:c r="F2440" t="str">
        <x:v>Екатерина Кохтачева</x:v>
      </x:c>
      <x:c r="G2440" t="str">
        <x:v>нет</x:v>
      </x:c>
      <x:c r="H2440" t="str">
        <x:v>нет</x:v>
      </x:c>
    </x:row>
    <x:row r="2441">
      <x:c r="A2441" t="str">
        <x:v>20110</x:v>
      </x:c>
      <x:c r="B2441" t="str">
        <x:v>askonamed.ru</x:v>
      </x:c>
      <x:c r="C2441" t="e">
        <x:f>HYPERLINK("https://belberrycrm.bitrix24.ru/crm/deal/details/20110/","https://belberrycrm.bitrix24.ru/crm/deal/details/20110/")</x:f>
      </x:c>
      <x:c r="D2441" t="str">
        <x:v>Реанимация</x:v>
      </x:c>
      <x:c r="E2441" t="str">
        <x:v>ЛИДЫ: Отвалы</x:v>
      </x:c>
      <x:c r="F2441" t="str">
        <x:v>Александр Голядкин</x:v>
      </x:c>
      <x:c r="G2441" t="str">
        <x:v>нет</x:v>
      </x:c>
      <x:c r="H2441" t="str">
        <x:v>нет</x:v>
      </x:c>
    </x:row>
    <x:row r="2442">
      <x:c r="A2442" t="str">
        <x:v>20142</x:v>
      </x:c>
      <x:c r="B2442" t="str">
        <x:v>Татьяна Юрьевна Романова</x:v>
      </x:c>
      <x:c r="C2442" t="e">
        <x:f>HYPERLINK("https://belberrycrm.bitrix24.ru/crm/deal/details/20142/","https://belberrycrm.bitrix24.ru/crm/deal/details/20142/")</x:f>
      </x:c>
      <x:c r="D2442" t="str">
        <x:v>Реанимация</x:v>
      </x:c>
      <x:c r="E2442" t="str">
        <x:v>ЛИДЫ: Отвалы</x:v>
      </x:c>
      <x:c r="F2442" t="str">
        <x:v>Александр Голядкин</x:v>
      </x:c>
      <x:c r="G2442" t="str">
        <x:v>нет</x:v>
      </x:c>
      <x:c r="H2442" t="str">
        <x:v>нет</x:v>
      </x:c>
    </x:row>
    <x:row r="2443">
      <x:c r="A2443" t="str">
        <x:v>20154</x:v>
      </x:c>
      <x:c r="B2443" t="str">
        <x:v>safia-home.ru</x:v>
      </x:c>
      <x:c r="C2443" t="e">
        <x:f>HYPERLINK("https://belberrycrm.bitrix24.ru/crm/deal/details/20154/","https://belberrycrm.bitrix24.ru/crm/deal/details/20154/")</x:f>
      </x:c>
      <x:c r="D2443" t="str">
        <x:v>Реанимация</x:v>
      </x:c>
      <x:c r="E2443" t="str">
        <x:v>ЛИДЫ: Отвалы</x:v>
      </x:c>
      <x:c r="F2443" t="str">
        <x:v>Дарья Исаева</x:v>
      </x:c>
      <x:c r="G2443" t="str">
        <x:v>нет</x:v>
      </x:c>
      <x:c r="H2443" t="str">
        <x:v>нет</x:v>
      </x:c>
    </x:row>
    <x:row r="2444">
      <x:c r="A2444" t="str">
        <x:v>20158</x:v>
      </x:c>
      <x:c r="B2444" t="str">
        <x:v>dikb6.ru</x:v>
      </x:c>
      <x:c r="C2444" t="e">
        <x:f>HYPERLINK("https://belberrycrm.bitrix24.ru/crm/deal/details/20158/","https://belberrycrm.bitrix24.ru/crm/deal/details/20158/")</x:f>
      </x:c>
      <x:c r="D2444" t="str">
        <x:v>Реанимация</x:v>
      </x:c>
      <x:c r="E2444" t="str">
        <x:v>ЛИДЫ: Отвалы</x:v>
      </x:c>
      <x:c r="F2444" t="str">
        <x:v>Дарья Исаева</x:v>
      </x:c>
      <x:c r="G2444" t="str">
        <x:v>да</x:v>
      </x:c>
      <x:c r="H2444" t="str">
        <x:v>нет</x:v>
      </x:c>
    </x:row>
    <x:row r="2445">
      <x:c r="A2445" t="str">
        <x:v>20160</x:v>
      </x:c>
      <x:c r="B2445" t="str">
        <x:v>Ксения LORANI (SMM)</x:v>
      </x:c>
      <x:c r="C2445" t="e">
        <x:f>HYPERLINK("https://belberrycrm.bitrix24.ru/crm/deal/details/20160/","https://belberrycrm.bitrix24.ru/crm/deal/details/20160/")</x:f>
      </x:c>
      <x:c r="D2445" t="str">
        <x:v>Реанимация</x:v>
      </x:c>
      <x:c r="E2445" t="str">
        <x:v>ЛИДЫ: Отвалы</x:v>
      </x:c>
      <x:c r="F2445" t="str">
        <x:v>Александр Голядкин</x:v>
      </x:c>
      <x:c r="G2445" t="str">
        <x:v>да</x:v>
      </x:c>
      <x:c r="H2445" t="str">
        <x:v>нет</x:v>
      </x:c>
    </x:row>
    <x:row r="2446">
      <x:c r="A2446" t="str">
        <x:v>20164</x:v>
      </x:c>
      <x:c r="B2446" t="str">
        <x:v>panzerbrewery.ru</x:v>
      </x:c>
      <x:c r="C2446" t="e">
        <x:f>HYPERLINK("https://belberrycrm.bitrix24.ru/crm/deal/details/20164/","https://belberrycrm.bitrix24.ru/crm/deal/details/20164/")</x:f>
      </x:c>
      <x:c r="D2446" t="str">
        <x:v>Реанимация</x:v>
      </x:c>
      <x:c r="E2446" t="str">
        <x:v>ЛИДЫ: Отвалы</x:v>
      </x:c>
      <x:c r="F2446" t="str">
        <x:v>Александр Голядкин</x:v>
      </x:c>
      <x:c r="G2446" t="str">
        <x:v>нет</x:v>
      </x:c>
      <x:c r="H2446" t="str">
        <x:v>нет</x:v>
      </x:c>
    </x:row>
    <x:row r="2447">
      <x:c r="A2447" t="str">
        <x:v>20190</x:v>
      </x:c>
      <x:c r="B2447" t="str">
        <x:v>Медицинский центр Релакс+</x:v>
      </x:c>
      <x:c r="C2447" t="e">
        <x:f>HYPERLINK("https://belberrycrm.bitrix24.ru/crm/deal/details/20190/","https://belberrycrm.bitrix24.ru/crm/deal/details/20190/")</x:f>
      </x:c>
      <x:c r="D2447" t="str">
        <x:v>Реанимация</x:v>
      </x:c>
      <x:c r="E2447" t="str">
        <x:v>ЛИДЫ: Отвалы</x:v>
      </x:c>
      <x:c r="F2447" t="str">
        <x:v>Петр Дудин</x:v>
      </x:c>
      <x:c r="G2447" t="str">
        <x:v>нет</x:v>
      </x:c>
      <x:c r="H2447" t="str">
        <x:v>нет</x:v>
      </x:c>
    </x:row>
    <x:row r="2448">
      <x:c r="A2448" t="str">
        <x:v>20192</x:v>
      </x:c>
      <x:c r="B2448" t="str">
        <x:v>one-stom.ru</x:v>
      </x:c>
      <x:c r="C2448" t="e">
        <x:f>HYPERLINK("https://belberrycrm.bitrix24.ru/crm/deal/details/20192/","https://belberrycrm.bitrix24.ru/crm/deal/details/20192/")</x:f>
      </x:c>
      <x:c r="D2448" t="str">
        <x:v>Реанимация</x:v>
      </x:c>
      <x:c r="E2448" t="str">
        <x:v>ЛИДЫ: Отвалы</x:v>
      </x:c>
      <x:c r="F2448" t="str">
        <x:v>Дарья Исаева</x:v>
      </x:c>
      <x:c r="G2448" t="str">
        <x:v>да</x:v>
      </x:c>
      <x:c r="H2448" t="str">
        <x:v>нет</x:v>
      </x:c>
    </x:row>
    <x:row r="2449">
      <x:c r="A2449" t="str">
        <x:v>20200</x:v>
      </x:c>
      <x:c r="B2449" t="str">
        <x:v>kavitron-clinic.ru</x:v>
      </x:c>
      <x:c r="C2449" t="e">
        <x:f>HYPERLINK("https://belberrycrm.bitrix24.ru/crm/deal/details/20200/","https://belberrycrm.bitrix24.ru/crm/deal/details/20200/")</x:f>
      </x:c>
      <x:c r="D2449" t="str">
        <x:v>Реанимация</x:v>
      </x:c>
      <x:c r="E2449" t="str">
        <x:v>ЛИДЫ: Отвалы</x:v>
      </x:c>
      <x:c r="F2449" t="str">
        <x:v>Руслан Дмитриев</x:v>
      </x:c>
      <x:c r="G2449" t="str">
        <x:v>нет</x:v>
      </x:c>
      <x:c r="H2449" t="str">
        <x:v>нет</x:v>
      </x:c>
    </x:row>
    <x:row r="2450">
      <x:c r="A2450" t="str">
        <x:v>20206</x:v>
      </x:c>
      <x:c r="B2450" t="str">
        <x:v>dr-tolkachev.ru</x:v>
      </x:c>
      <x:c r="C2450" t="e">
        <x:f>HYPERLINK("https://belberrycrm.bitrix24.ru/crm/deal/details/20206/","https://belberrycrm.bitrix24.ru/crm/deal/details/20206/")</x:f>
      </x:c>
      <x:c r="D2450" t="str">
        <x:v>Реанимация</x:v>
      </x:c>
      <x:c r="E2450" t="str">
        <x:v>ЛИДЫ: Отвалы</x:v>
      </x:c>
      <x:c r="F2450" t="str">
        <x:v>Дарья Исаева</x:v>
      </x:c>
      <x:c r="G2450" t="str">
        <x:v>нет</x:v>
      </x:c>
      <x:c r="H2450" t="str">
        <x:v>нет</x:v>
      </x:c>
    </x:row>
    <x:row r="2451">
      <x:c r="A2451" t="str">
        <x:v>20210</x:v>
      </x:c>
      <x:c r="B2451" t="str">
        <x:v>maki-clinic.ru</x:v>
      </x:c>
      <x:c r="C2451" t="e">
        <x:f>HYPERLINK("https://belberrycrm.bitrix24.ru/crm/deal/details/20210/","https://belberrycrm.bitrix24.ru/crm/deal/details/20210/")</x:f>
      </x:c>
      <x:c r="D2451" t="str">
        <x:v>Реанимация</x:v>
      </x:c>
      <x:c r="E2451" t="str">
        <x:v>ЛИДЫ: Отвалы</x:v>
      </x:c>
      <x:c r="F2451" t="str">
        <x:v>Петр Дудин</x:v>
      </x:c>
      <x:c r="G2451" t="str">
        <x:v>нет</x:v>
      </x:c>
      <x:c r="H2451" t="str">
        <x:v>нет</x:v>
      </x:c>
    </x:row>
    <x:row r="2452">
      <x:c r="A2452" t="str">
        <x:v>20212</x:v>
      </x:c>
      <x:c r="B2452" t="str">
        <x:v>t-medklinik.ru</x:v>
      </x:c>
      <x:c r="C2452" t="e">
        <x:f>HYPERLINK("https://belberrycrm.bitrix24.ru/crm/deal/details/20212/","https://belberrycrm.bitrix24.ru/crm/deal/details/20212/")</x:f>
      </x:c>
      <x:c r="D2452" t="str">
        <x:v>Реанимация</x:v>
      </x:c>
      <x:c r="E2452" t="str">
        <x:v>ЛИДЫ: Отвалы</x:v>
      </x:c>
      <x:c r="F2452" t="str">
        <x:v>Дарья Исаева</x:v>
      </x:c>
      <x:c r="G2452" t="str">
        <x:v>нет</x:v>
      </x:c>
      <x:c r="H2452" t="str">
        <x:v>нет</x:v>
      </x:c>
    </x:row>
    <x:row r="2453">
      <x:c r="A2453" t="str">
        <x:v>20216</x:v>
      </x:c>
      <x:c r="B2453" t="str">
        <x:v>amindent.com</x:v>
      </x:c>
      <x:c r="C2453" t="e">
        <x:f>HYPERLINK("https://belberrycrm.bitrix24.ru/crm/deal/details/20216/","https://belberrycrm.bitrix24.ru/crm/deal/details/20216/")</x:f>
      </x:c>
      <x:c r="D2453" t="str">
        <x:v>Реанимация</x:v>
      </x:c>
      <x:c r="E2453" t="str">
        <x:v>ЛИДЫ: Отвалы</x:v>
      </x:c>
      <x:c r="F2453" t="str">
        <x:v>Дарья Исаева</x:v>
      </x:c>
      <x:c r="G2453" t="str">
        <x:v>нет</x:v>
      </x:c>
      <x:c r="H2453" t="str">
        <x:v>нет</x:v>
      </x:c>
    </x:row>
    <x:row r="2454">
      <x:c r="A2454" t="str">
        <x:v>20230</x:v>
      </x:c>
      <x:c r="B2454" t="str">
        <x:v>дента-лайн.рф</x:v>
      </x:c>
      <x:c r="C2454" t="e">
        <x:f>HYPERLINK("https://belberrycrm.bitrix24.ru/crm/deal/details/20230/","https://belberrycrm.bitrix24.ru/crm/deal/details/20230/")</x:f>
      </x:c>
      <x:c r="D2454" t="str">
        <x:v>Реанимация</x:v>
      </x:c>
      <x:c r="E2454" t="str">
        <x:v>ЛИДЫ: Отвалы</x:v>
      </x:c>
      <x:c r="F2454" t="str">
        <x:v>Петр Дудин</x:v>
      </x:c>
      <x:c r="G2454" t="str">
        <x:v>нет</x:v>
      </x:c>
      <x:c r="H2454" t="str">
        <x:v>нет</x:v>
      </x:c>
    </x:row>
    <x:row r="2455">
      <x:c r="A2455" t="str">
        <x:v>20250</x:v>
      </x:c>
      <x:c r="B2455" t="str">
        <x:v>phdn-clinic.ru</x:v>
      </x:c>
      <x:c r="C2455" t="e">
        <x:f>HYPERLINK("https://belberrycrm.bitrix24.ru/crm/deal/details/20250/","https://belberrycrm.bitrix24.ru/crm/deal/details/20250/")</x:f>
      </x:c>
      <x:c r="D2455" t="str">
        <x:v>Реанимация</x:v>
      </x:c>
      <x:c r="E2455" t="str">
        <x:v>ЛИДЫ: Отвалы</x:v>
      </x:c>
      <x:c r="F2455" t="str">
        <x:v>Дарья Исаева</x:v>
      </x:c>
      <x:c r="G2455" t="str">
        <x:v>нет</x:v>
      </x:c>
      <x:c r="H2455" t="str">
        <x:v>нет</x:v>
      </x:c>
    </x:row>
    <x:row r="2456">
      <x:c r="A2456" t="str">
        <x:v>20252</x:v>
      </x:c>
      <x:c r="B2456" t="str">
        <x:v>st-louise.com</x:v>
      </x:c>
      <x:c r="C2456" t="e">
        <x:f>HYPERLINK("https://belberrycrm.bitrix24.ru/crm/deal/details/20252/","https://belberrycrm.bitrix24.ru/crm/deal/details/20252/")</x:f>
      </x:c>
      <x:c r="D2456" t="str">
        <x:v>Реанимация</x:v>
      </x:c>
      <x:c r="E2456" t="str">
        <x:v>ЛИДЫ: Отвалы</x:v>
      </x:c>
      <x:c r="F2456" t="str">
        <x:v>Мария Ус</x:v>
      </x:c>
      <x:c r="G2456" t="str">
        <x:v>нет</x:v>
      </x:c>
      <x:c r="H2456" t="str">
        <x:v>нет</x:v>
      </x:c>
    </x:row>
    <x:row r="2457">
      <x:c r="A2457" t="str">
        <x:v>20256</x:v>
      </x:c>
      <x:c r="B2457" t="str">
        <x:v>zubdelmaster.ru</x:v>
      </x:c>
      <x:c r="C2457" t="e">
        <x:f>HYPERLINK("https://belberrycrm.bitrix24.ru/crm/deal/details/20256/","https://belberrycrm.bitrix24.ru/crm/deal/details/20256/")</x:f>
      </x:c>
      <x:c r="D2457" t="str">
        <x:v>Реанимация</x:v>
      </x:c>
      <x:c r="E2457" t="str">
        <x:v>ЛИДЫ: Отвалы</x:v>
      </x:c>
      <x:c r="F2457" t="str">
        <x:v>Петр Дудин</x:v>
      </x:c>
      <x:c r="G2457" t="str">
        <x:v>нет</x:v>
      </x:c>
      <x:c r="H2457" t="str">
        <x:v>нет</x:v>
      </x:c>
    </x:row>
    <x:row r="2458">
      <x:c r="A2458" t="str">
        <x:v>20260</x:v>
      </x:c>
      <x:c r="B2458" t="str">
        <x:v>Александр</x:v>
      </x:c>
      <x:c r="C2458" t="e">
        <x:f>HYPERLINK("https://belberrycrm.bitrix24.ru/crm/deal/details/20260/","https://belberrycrm.bitrix24.ru/crm/deal/details/20260/")</x:f>
      </x:c>
      <x:c r="D2458" t="str">
        <x:v>Реанимация</x:v>
      </x:c>
      <x:c r="E2458" t="str">
        <x:v>ЛИДЫ: Отвалы</x:v>
      </x:c>
      <x:c r="F2458" t="str">
        <x:v>Петр Дудин</x:v>
      </x:c>
      <x:c r="G2458" t="str">
        <x:v>нет</x:v>
      </x:c>
      <x:c r="H2458" t="str">
        <x:v>нет</x:v>
      </x:c>
    </x:row>
    <x:row r="2459">
      <x:c r="A2459" t="str">
        <x:v>20300</x:v>
      </x:c>
      <x:c r="B2459" t="str">
        <x:v>arte-spb.ru</x:v>
      </x:c>
      <x:c r="C2459" t="e">
        <x:f>HYPERLINK("https://belberrycrm.bitrix24.ru/crm/deal/details/20300/","https://belberrycrm.bitrix24.ru/crm/deal/details/20300/")</x:f>
      </x:c>
      <x:c r="D2459" t="str">
        <x:v>Реанимация</x:v>
      </x:c>
      <x:c r="E2459" t="str">
        <x:v>ЛИДЫ: Отвалы</x:v>
      </x:c>
      <x:c r="F2459" t="str">
        <x:v>Петр Дудин</x:v>
      </x:c>
      <x:c r="G2459" t="str">
        <x:v>нет</x:v>
      </x:c>
      <x:c r="H2459" t="str">
        <x:v>нет</x:v>
      </x:c>
    </x:row>
    <x:row r="2460">
      <x:c r="A2460" t="str">
        <x:v>20302</x:v>
      </x:c>
      <x:c r="B2460" t="str">
        <x:v>m23clinic.ru</x:v>
      </x:c>
      <x:c r="C2460" t="e">
        <x:f>HYPERLINK("https://belberrycrm.bitrix24.ru/crm/deal/details/20302/","https://belberrycrm.bitrix24.ru/crm/deal/details/20302/")</x:f>
      </x:c>
      <x:c r="D2460" t="str">
        <x:v>Реанимация</x:v>
      </x:c>
      <x:c r="E2460" t="str">
        <x:v>ЛИДЫ: Отвалы</x:v>
      </x:c>
      <x:c r="F2460" t="str">
        <x:v>Петр Дудин</x:v>
      </x:c>
      <x:c r="G2460" t="str">
        <x:v>нет</x:v>
      </x:c>
      <x:c r="H2460" t="str">
        <x:v>нет</x:v>
      </x:c>
    </x:row>
    <x:row r="2461">
      <x:c r="A2461" t="str">
        <x:v>20322</x:v>
      </x:c>
      <x:c r="B2461" t="str">
        <x:v>evanetwork.ru</x:v>
      </x:c>
      <x:c r="C2461" t="e">
        <x:f>HYPERLINK("https://belberrycrm.bitrix24.ru/crm/deal/details/20322/","https://belberrycrm.bitrix24.ru/crm/deal/details/20322/")</x:f>
      </x:c>
      <x:c r="D2461" t="str">
        <x:v>Реанимация</x:v>
      </x:c>
      <x:c r="E2461" t="str">
        <x:v>ЛИДЫ: Отвалы</x:v>
      </x:c>
      <x:c r="F2461" t="str">
        <x:v>Александр Голядкин</x:v>
      </x:c>
      <x:c r="G2461" t="str">
        <x:v>да</x:v>
      </x:c>
      <x:c r="H2461" t="str">
        <x:v>нет</x:v>
      </x:c>
    </x:row>
    <x:row r="2462">
      <x:c r="A2462" t="str">
        <x:v>20324</x:v>
      </x:c>
      <x:c r="B2462" t="str">
        <x:v>Десятникова Светлана Александровна</x:v>
      </x:c>
      <x:c r="C2462" t="e">
        <x:f>HYPERLINK("https://belberrycrm.bitrix24.ru/crm/deal/details/20324/","https://belberrycrm.bitrix24.ru/crm/deal/details/20324/")</x:f>
      </x:c>
      <x:c r="D2462" t="str">
        <x:v>Реанимация</x:v>
      </x:c>
      <x:c r="E2462" t="str">
        <x:v>ЛИДЫ: Отвалы</x:v>
      </x:c>
      <x:c r="F2462" t="str">
        <x:v>Александр Голядкин</x:v>
      </x:c>
      <x:c r="G2462" t="str">
        <x:v>да</x:v>
      </x:c>
      <x:c r="H2462" t="str">
        <x:v>нет</x:v>
      </x:c>
    </x:row>
    <x:row r="2463">
      <x:c r="A2463" t="str">
        <x:v>20326</x:v>
      </x:c>
      <x:c r="B2463" t="str">
        <x:v>restoma.ru</x:v>
      </x:c>
      <x:c r="C2463" t="e">
        <x:f>HYPERLINK("https://belberrycrm.bitrix24.ru/crm/deal/details/20326/","https://belberrycrm.bitrix24.ru/crm/deal/details/20326/")</x:f>
      </x:c>
      <x:c r="D2463" t="str">
        <x:v>Реанимация</x:v>
      </x:c>
      <x:c r="E2463" t="str">
        <x:v>ЛИДЫ: Отвалы</x:v>
      </x:c>
      <x:c r="F2463" t="str">
        <x:v>Дарья Исаева</x:v>
      </x:c>
      <x:c r="G2463" t="str">
        <x:v>да</x:v>
      </x:c>
      <x:c r="H2463" t="str">
        <x:v>нет</x:v>
      </x:c>
    </x:row>
    <x:row r="2464">
      <x:c r="A2464" t="str">
        <x:v>20336</x:v>
      </x:c>
      <x:c r="B2464" t="str">
        <x:v>wifilab.ru</x:v>
      </x:c>
      <x:c r="C2464" t="e">
        <x:f>HYPERLINK("https://belberrycrm.bitrix24.ru/crm/deal/details/20336/","https://belberrycrm.bitrix24.ru/crm/deal/details/20336/")</x:f>
      </x:c>
      <x:c r="D2464" t="str">
        <x:v>Реанимация</x:v>
      </x:c>
      <x:c r="E2464" t="str">
        <x:v>ЛИДЫ: Отвалы</x:v>
      </x:c>
      <x:c r="F2464" t="str">
        <x:v>Александр Голядкин</x:v>
      </x:c>
      <x:c r="G2464" t="str">
        <x:v>нет</x:v>
      </x:c>
      <x:c r="H2464" t="str">
        <x:v>нет</x:v>
      </x:c>
    </x:row>
    <x:row r="2465">
      <x:c r="A2465" t="str">
        <x:v>20342</x:v>
      </x:c>
      <x:c r="B2465" t="str">
        <x:v>инфинанс.рф</x:v>
      </x:c>
      <x:c r="C2465" t="e">
        <x:f>HYPERLINK("https://belberrycrm.bitrix24.ru/crm/deal/details/20342/","https://belberrycrm.bitrix24.ru/crm/deal/details/20342/")</x:f>
      </x:c>
      <x:c r="D2465" t="str">
        <x:v>Реанимация</x:v>
      </x:c>
      <x:c r="E2465" t="str">
        <x:v>ЛИДЫ: Отвалы</x:v>
      </x:c>
      <x:c r="F2465" t="str">
        <x:v>Мария Ус</x:v>
      </x:c>
      <x:c r="G2465" t="str">
        <x:v>нет</x:v>
      </x:c>
      <x:c r="H2465" t="str">
        <x:v>нет</x:v>
      </x:c>
    </x:row>
    <x:row r="2466">
      <x:c r="A2466" t="str">
        <x:v>20344</x:v>
      </x:c>
      <x:c r="B2466" t="str">
        <x:v>startschool-msk.ru</x:v>
      </x:c>
      <x:c r="C2466" t="e">
        <x:f>HYPERLINK("https://belberrycrm.bitrix24.ru/crm/deal/details/20344/","https://belberrycrm.bitrix24.ru/crm/deal/details/20344/")</x:f>
      </x:c>
      <x:c r="D2466" t="str">
        <x:v>Реанимация</x:v>
      </x:c>
      <x:c r="E2466" t="str">
        <x:v>ЛИДЫ: Отвалы</x:v>
      </x:c>
      <x:c r="F2466" t="str">
        <x:v>Петр Дудин</x:v>
      </x:c>
      <x:c r="G2466" t="str">
        <x:v>нет</x:v>
      </x:c>
      <x:c r="H2466" t="str">
        <x:v>нет</x:v>
      </x:c>
    </x:row>
    <x:row r="2467">
      <x:c r="A2467" t="str">
        <x:v>20348</x:v>
      </x:c>
      <x:c r="B2467" t="str">
        <x:v>truck-international.ru</x:v>
      </x:c>
      <x:c r="C2467" t="e">
        <x:f>HYPERLINK("https://belberrycrm.bitrix24.ru/crm/deal/details/20348/","https://belberrycrm.bitrix24.ru/crm/deal/details/20348/")</x:f>
      </x:c>
      <x:c r="D2467" t="str">
        <x:v>Реанимация</x:v>
      </x:c>
      <x:c r="E2467" t="str">
        <x:v>ЛИДЫ: Отвалы</x:v>
      </x:c>
      <x:c r="F2467" t="str">
        <x:v>Александр Голядкин</x:v>
      </x:c>
      <x:c r="G2467" t="str">
        <x:v>нет</x:v>
      </x:c>
      <x:c r="H2467" t="str">
        <x:v>нет</x:v>
      </x:c>
    </x:row>
    <x:row r="2468">
      <x:c r="A2468" t="str">
        <x:v>20350</x:v>
      </x:c>
      <x:c r="B2468" t="str">
        <x:v>curare.clinic</x:v>
      </x:c>
      <x:c r="C2468" t="e">
        <x:f>HYPERLINK("https://belberrycrm.bitrix24.ru/crm/deal/details/20350/","https://belberrycrm.bitrix24.ru/crm/deal/details/20350/")</x:f>
      </x:c>
      <x:c r="D2468" t="str">
        <x:v>Реанимация</x:v>
      </x:c>
      <x:c r="E2468" t="str">
        <x:v>ЛИДЫ: Отвалы</x:v>
      </x:c>
      <x:c r="F2468" t="str">
        <x:v>Петр Дудин</x:v>
      </x:c>
      <x:c r="G2468" t="str">
        <x:v>нет</x:v>
      </x:c>
      <x:c r="H2468" t="str">
        <x:v>нет</x:v>
      </x:c>
    </x:row>
    <x:row r="2469">
      <x:c r="A2469" t="str">
        <x:v>20356</x:v>
      </x:c>
      <x:c r="B2469" t="str">
        <x:v>ТОО "БЕЛОРУССКИЙ ДОМ БЕЛЬЯ"</x:v>
      </x:c>
      <x:c r="C2469" t="e">
        <x:f>HYPERLINK("https://belberrycrm.bitrix24.ru/crm/deal/details/20356/","https://belberrycrm.bitrix24.ru/crm/deal/details/20356/")</x:f>
      </x:c>
      <x:c r="D2469" t="str">
        <x:v>Реанимация</x:v>
      </x:c>
      <x:c r="E2469" t="str">
        <x:v>ЛИДЫ: Отвалы</x:v>
      </x:c>
      <x:c r="F2469" t="str">
        <x:v>Дарья Исаева</x:v>
      </x:c>
      <x:c r="G2469" t="str">
        <x:v>нет</x:v>
      </x:c>
      <x:c r="H2469" t="str">
        <x:v>нет</x:v>
      </x:c>
    </x:row>
    <x:row r="2470">
      <x:c r="A2470" t="str">
        <x:v>20362</x:v>
      </x:c>
      <x:c r="B2470" t="str">
        <x:v>cofi.ru</x:v>
      </x:c>
      <x:c r="C2470" t="e">
        <x:f>HYPERLINK("https://belberrycrm.bitrix24.ru/crm/deal/details/20362/","https://belberrycrm.bitrix24.ru/crm/deal/details/20362/")</x:f>
      </x:c>
      <x:c r="D2470" t="str">
        <x:v>Реанимация</x:v>
      </x:c>
      <x:c r="E2470" t="str">
        <x:v>ЛИДЫ: Отвалы</x:v>
      </x:c>
      <x:c r="F2470" t="str">
        <x:v>Александр Голядкин</x:v>
      </x:c>
      <x:c r="G2470" t="str">
        <x:v>нет</x:v>
      </x:c>
      <x:c r="H2470" t="str">
        <x:v>нет</x:v>
      </x:c>
    </x:row>
    <x:row r="2471">
      <x:c r="A2471" t="str">
        <x:v>20372</x:v>
      </x:c>
      <x:c r="B2471" t="str">
        <x:v>teaterfit.ru</x:v>
      </x:c>
      <x:c r="C2471" t="e">
        <x:f>HYPERLINK("https://belberrycrm.bitrix24.ru/crm/deal/details/20372/","https://belberrycrm.bitrix24.ru/crm/deal/details/20372/")</x:f>
      </x:c>
      <x:c r="D2471" t="str">
        <x:v>Реанимация</x:v>
      </x:c>
      <x:c r="E2471" t="str">
        <x:v>ЛИДЫ: Отвалы</x:v>
      </x:c>
      <x:c r="F2471" t="str">
        <x:v>Евгения Гордиенко</x:v>
      </x:c>
      <x:c r="G2471" t="str">
        <x:v>да</x:v>
      </x:c>
      <x:c r="H2471" t="str">
        <x:v>нет</x:v>
      </x:c>
    </x:row>
    <x:row r="2472">
      <x:c r="A2472" t="str">
        <x:v>20378</x:v>
      </x:c>
      <x:c r="B2472" t="str">
        <x:v>avicenadoctor.ru</x:v>
      </x:c>
      <x:c r="C2472" t="e">
        <x:f>HYPERLINK("https://belberrycrm.bitrix24.ru/crm/deal/details/20378/","https://belberrycrm.bitrix24.ru/crm/deal/details/20378/")</x:f>
      </x:c>
      <x:c r="D2472" t="str">
        <x:v>Реанимация</x:v>
      </x:c>
      <x:c r="E2472" t="str">
        <x:v>ЛИДЫ: Отвалы</x:v>
      </x:c>
      <x:c r="F2472" t="str">
        <x:v>Петр Дудин</x:v>
      </x:c>
      <x:c r="G2472" t="str">
        <x:v>нет</x:v>
      </x:c>
      <x:c r="H2472" t="str">
        <x:v>нет</x:v>
      </x:c>
    </x:row>
    <x:row r="2473">
      <x:c r="A2473" t="str">
        <x:v>20388</x:v>
      </x:c>
      <x:c r="B2473" t="str">
        <x:v>winnum.io</x:v>
      </x:c>
      <x:c r="C2473" t="e">
        <x:f>HYPERLINK("https://belberrycrm.bitrix24.ru/crm/deal/details/20388/","https://belberrycrm.bitrix24.ru/crm/deal/details/20388/")</x:f>
      </x:c>
      <x:c r="D2473" t="str">
        <x:v>Реанимация</x:v>
      </x:c>
      <x:c r="E2473" t="str">
        <x:v>ЛИДЫ: Отвалы</x:v>
      </x:c>
      <x:c r="F2473" t="str">
        <x:v>Александр Голядкин</x:v>
      </x:c>
      <x:c r="G2473" t="str">
        <x:v>нет</x:v>
      </x:c>
      <x:c r="H2473" t="str">
        <x:v>нет</x:v>
      </x:c>
    </x:row>
    <x:row r="2474">
      <x:c r="A2474" t="str">
        <x:v>20390</x:v>
      </x:c>
      <x:c r="B2474" t="str">
        <x:v>petfabric.ru</x:v>
      </x:c>
      <x:c r="C2474" t="e">
        <x:f>HYPERLINK("https://belberrycrm.bitrix24.ru/crm/deal/details/20390/","https://belberrycrm.bitrix24.ru/crm/deal/details/20390/")</x:f>
      </x:c>
      <x:c r="D2474" t="str">
        <x:v>Реанимация</x:v>
      </x:c>
      <x:c r="E2474" t="str">
        <x:v>ЛИДЫ: Отвалы</x:v>
      </x:c>
      <x:c r="F2474" t="str">
        <x:v>Александр Голядкин</x:v>
      </x:c>
      <x:c r="G2474" t="str">
        <x:v>да</x:v>
      </x:c>
      <x:c r="H2474" t="str">
        <x:v>нет</x:v>
      </x:c>
    </x:row>
    <x:row r="2475">
      <x:c r="A2475" t="str">
        <x:v>20394</x:v>
      </x:c>
      <x:c r="B2475" t="str">
        <x:v>Заявка с сайта от Евгения 79148275984</x:v>
      </x:c>
      <x:c r="C2475" t="e">
        <x:f>HYPERLINK("https://belberrycrm.bitrix24.ru/crm/deal/details/20394/","https://belberrycrm.bitrix24.ru/crm/deal/details/20394/")</x:f>
      </x:c>
      <x:c r="D2475" t="str">
        <x:v>Реанимация</x:v>
      </x:c>
      <x:c r="E2475" t="str">
        <x:v>ЛИДЫ: Отвалы</x:v>
      </x:c>
      <x:c r="F2475" t="str">
        <x:v>Петр Дудин</x:v>
      </x:c>
      <x:c r="G2475" t="str">
        <x:v>нет</x:v>
      </x:c>
      <x:c r="H2475" t="str">
        <x:v>нет</x:v>
      </x:c>
    </x:row>
    <x:row r="2476">
      <x:c r="A2476" t="str">
        <x:v>20396</x:v>
      </x:c>
      <x:c r="B2476" t="str">
        <x:v>ratinovclinic.kg</x:v>
      </x:c>
      <x:c r="C2476" t="e">
        <x:f>HYPERLINK("https://belberrycrm.bitrix24.ru/crm/deal/details/20396/","https://belberrycrm.bitrix24.ru/crm/deal/details/20396/")</x:f>
      </x:c>
      <x:c r="D2476" t="str">
        <x:v>Реанимация</x:v>
      </x:c>
      <x:c r="E2476" t="str">
        <x:v>ЛИДЫ: Отвалы</x:v>
      </x:c>
      <x:c r="F2476" t="str">
        <x:v>Петр Дудин</x:v>
      </x:c>
      <x:c r="G2476" t="str">
        <x:v>нет</x:v>
      </x:c>
      <x:c r="H2476" t="str">
        <x:v>нет</x:v>
      </x:c>
    </x:row>
    <x:row r="2477">
      <x:c r="A2477" t="str">
        <x:v>20406</x:v>
      </x:c>
      <x:c r="B2477" t="str">
        <x:v>Заявка с сайта от Сергей 79832308870</x:v>
      </x:c>
      <x:c r="C2477" t="e">
        <x:f>HYPERLINK("https://belberrycrm.bitrix24.ru/crm/deal/details/20406/","https://belberrycrm.bitrix24.ru/crm/deal/details/20406/")</x:f>
      </x:c>
      <x:c r="D2477" t="str">
        <x:v>Реанимация</x:v>
      </x:c>
      <x:c r="E2477" t="str">
        <x:v>ЛИДЫ: Отвалы</x:v>
      </x:c>
      <x:c r="F2477" t="str">
        <x:v>Руслан Дмитриев</x:v>
      </x:c>
      <x:c r="G2477" t="str">
        <x:v>нет</x:v>
      </x:c>
      <x:c r="H2477" t="str">
        <x:v>нет</x:v>
      </x:c>
    </x:row>
    <x:row r="2478">
      <x:c r="A2478" t="str">
        <x:v>20418</x:v>
      </x:c>
      <x:c r="B2478" t="str">
        <x:v>Анастасия Трофимова врач-психиатр</x:v>
      </x:c>
      <x:c r="C2478" t="e">
        <x:f>HYPERLINK("https://belberrycrm.bitrix24.ru/crm/deal/details/20418/","https://belberrycrm.bitrix24.ru/crm/deal/details/20418/")</x:f>
      </x:c>
      <x:c r="D2478" t="str">
        <x:v>Реанимация</x:v>
      </x:c>
      <x:c r="E2478" t="str">
        <x:v>ЛИДЫ: Отвалы</x:v>
      </x:c>
      <x:c r="F2478" t="str">
        <x:v>Анна Гудинова</x:v>
      </x:c>
      <x:c r="G2478" t="str">
        <x:v>нет</x:v>
      </x:c>
      <x:c r="H2478" t="str">
        <x:v>нет</x:v>
      </x:c>
    </x:row>
    <x:row r="2479">
      <x:c r="A2479" t="str">
        <x:v>20422</x:v>
      </x:c>
      <x:c r="B2479" t="str">
        <x:v>glasscomp.ru</x:v>
      </x:c>
      <x:c r="C2479" t="e">
        <x:f>HYPERLINK("https://belberrycrm.bitrix24.ru/crm/deal/details/20422/","https://belberrycrm.bitrix24.ru/crm/deal/details/20422/")</x:f>
      </x:c>
      <x:c r="D2479" t="str">
        <x:v>Реанимация</x:v>
      </x:c>
      <x:c r="E2479" t="str">
        <x:v>ЛИДЫ: Отвалы</x:v>
      </x:c>
      <x:c r="F2479" t="str">
        <x:v>Дарья Исаева</x:v>
      </x:c>
      <x:c r="G2479" t="str">
        <x:v>нет</x:v>
      </x:c>
      <x:c r="H2479" t="str">
        <x:v>нет</x:v>
      </x:c>
    </x:row>
    <x:row r="2480">
      <x:c r="A2480" t="str">
        <x:v>20432</x:v>
      </x:c>
      <x:c r="B2480" t="str">
        <x:v>a-medik.su</x:v>
      </x:c>
      <x:c r="C2480" t="e">
        <x:f>HYPERLINK("https://belberrycrm.bitrix24.ru/crm/deal/details/20432/","https://belberrycrm.bitrix24.ru/crm/deal/details/20432/")</x:f>
      </x:c>
      <x:c r="D2480" t="str">
        <x:v>Реанимация</x:v>
      </x:c>
      <x:c r="E2480" t="str">
        <x:v>ЛИДЫ: Черный список</x:v>
      </x:c>
      <x:c r="F2480" t="str">
        <x:v>Евгений Щемелёв</x:v>
      </x:c>
      <x:c r="G2480" t="str">
        <x:v>нет</x:v>
      </x:c>
      <x:c r="H2480" t="str">
        <x:v>нет</x:v>
      </x:c>
    </x:row>
    <x:row r="2481">
      <x:c r="A2481" t="str">
        <x:v>20436</x:v>
      </x:c>
      <x:c r="B2481" t="str">
        <x:v>megaclinic.ru</x:v>
      </x:c>
      <x:c r="C2481" t="e">
        <x:f>HYPERLINK("https://belberrycrm.bitrix24.ru/crm/deal/details/20436/","https://belberrycrm.bitrix24.ru/crm/deal/details/20436/")</x:f>
      </x:c>
      <x:c r="D2481" t="str">
        <x:v>Реанимация</x:v>
      </x:c>
      <x:c r="E2481" t="str">
        <x:v>ЛИДЫ: Черный список</x:v>
      </x:c>
      <x:c r="F2481" t="str">
        <x:v>Админ всея Belberry</x:v>
      </x:c>
      <x:c r="G2481" t="str">
        <x:v>нет</x:v>
      </x:c>
      <x:c r="H2481" t="str">
        <x:v>нет</x:v>
      </x:c>
    </x:row>
    <x:row r="2482">
      <x:c r="A2482" t="str">
        <x:v>20442</x:v>
      </x:c>
      <x:c r="B2482" t="str">
        <x:v>wwerb.ru</x:v>
      </x:c>
      <x:c r="C2482" t="e">
        <x:f>HYPERLINK("https://belberrycrm.bitrix24.ru/crm/deal/details/20442/","https://belberrycrm.bitrix24.ru/crm/deal/details/20442/")</x:f>
      </x:c>
      <x:c r="D2482" t="str">
        <x:v>Реанимация</x:v>
      </x:c>
      <x:c r="E2482" t="str">
        <x:v>ЛИДЫ: Черный список</x:v>
      </x:c>
      <x:c r="F2482" t="str">
        <x:v>Тим Акула</x:v>
      </x:c>
      <x:c r="G2482" t="str">
        <x:v>нет</x:v>
      </x:c>
      <x:c r="H2482" t="str">
        <x:v>нет</x:v>
      </x:c>
    </x:row>
    <x:row r="2483">
      <x:c r="A2483" t="str">
        <x:v>20458</x:v>
      </x:c>
      <x:c r="B2483" t="str">
        <x:v>volkovurolog.ru</x:v>
      </x:c>
      <x:c r="C2483" t="e">
        <x:f>HYPERLINK("https://belberrycrm.bitrix24.ru/crm/deal/details/20458/","https://belberrycrm.bitrix24.ru/crm/deal/details/20458/")</x:f>
      </x:c>
      <x:c r="D2483" t="str">
        <x:v>Реанимация</x:v>
      </x:c>
      <x:c r="E2483" t="str">
        <x:v>ЛИДЫ: Черный список</x:v>
      </x:c>
      <x:c r="F2483" t="str">
        <x:v>Евгений Щемелёв</x:v>
      </x:c>
      <x:c r="G2483" t="str">
        <x:v>да</x:v>
      </x:c>
      <x:c r="H2483" t="str">
        <x:v>нет</x:v>
      </x:c>
    </x:row>
    <x:row r="2484">
      <x:c r="A2484" t="str">
        <x:v>20462</x:v>
      </x:c>
      <x:c r="B2484" t="str">
        <x:v>primepark.ru</x:v>
      </x:c>
      <x:c r="C2484" t="e">
        <x:f>HYPERLINK("https://belberrycrm.bitrix24.ru/crm/deal/details/20462/","https://belberrycrm.bitrix24.ru/crm/deal/details/20462/")</x:f>
      </x:c>
      <x:c r="D2484" t="str">
        <x:v>Реанимация</x:v>
      </x:c>
      <x:c r="E2484" t="str">
        <x:v>ЛИДЫ: Черный список</x:v>
      </x:c>
      <x:c r="F2484" t="str">
        <x:v>Евгений Щемелёв</x:v>
      </x:c>
      <x:c r="G2484" t="str">
        <x:v>нет</x:v>
      </x:c>
      <x:c r="H2484" t="str">
        <x:v>нет</x:v>
      </x:c>
    </x:row>
    <x:row r="2485">
      <x:c r="A2485" t="str">
        <x:v>20468</x:v>
      </x:c>
      <x:c r="B2485" t="str">
        <x:v>pl-sfera.ru</x:v>
      </x:c>
      <x:c r="C2485" t="e">
        <x:f>HYPERLINK("https://belberrycrm.bitrix24.ru/crm/deal/details/20468/","https://belberrycrm.bitrix24.ru/crm/deal/details/20468/")</x:f>
      </x:c>
      <x:c r="D2485" t="str">
        <x:v>Реанимация</x:v>
      </x:c>
      <x:c r="E2485" t="str">
        <x:v>ЛИДЫ: Черный список</x:v>
      </x:c>
      <x:c r="F2485" t="str">
        <x:v>Александр Голядкин</x:v>
      </x:c>
      <x:c r="G2485" t="str">
        <x:v>да</x:v>
      </x:c>
      <x:c r="H2485" t="str">
        <x:v>нет</x:v>
      </x:c>
    </x:row>
    <x:row r="2486">
      <x:c r="A2486" t="str">
        <x:v>20470</x:v>
      </x:c>
      <x:c r="B2486" t="str">
        <x:v>drebot.ru</x:v>
      </x:c>
      <x:c r="C2486" t="e">
        <x:f>HYPERLINK("https://belberrycrm.bitrix24.ru/crm/deal/details/20470/","https://belberrycrm.bitrix24.ru/crm/deal/details/20470/")</x:f>
      </x:c>
      <x:c r="D2486" t="str">
        <x:v>Реанимация</x:v>
      </x:c>
      <x:c r="E2486" t="str">
        <x:v>ЛИДЫ: Черный список</x:v>
      </x:c>
      <x:c r="F2486" t="str">
        <x:v>Евгений Щемелёв</x:v>
      </x:c>
      <x:c r="G2486" t="str">
        <x:v>нет</x:v>
      </x:c>
      <x:c r="H2486" t="str">
        <x:v>нет</x:v>
      </x:c>
    </x:row>
    <x:row r="2487">
      <x:c r="A2487" t="str">
        <x:v>20472</x:v>
      </x:c>
      <x:c r="B2487" t="str">
        <x:v>Елена, Бухучёт.</x:v>
      </x:c>
      <x:c r="C2487" t="e">
        <x:f>HYPERLINK("https://belberrycrm.bitrix24.ru/crm/deal/details/20472/","https://belberrycrm.bitrix24.ru/crm/deal/details/20472/")</x:f>
      </x:c>
      <x:c r="D2487" t="str">
        <x:v>Реанимация</x:v>
      </x:c>
      <x:c r="E2487" t="str">
        <x:v>ЛИДЫ: Черный список</x:v>
      </x:c>
      <x:c r="F2487" t="str">
        <x:v>Евгений Щемелёв</x:v>
      </x:c>
      <x:c r="G2487" t="str">
        <x:v>нет</x:v>
      </x:c>
      <x:c r="H2487" t="str">
        <x:v>нет</x:v>
      </x:c>
    </x:row>
    <x:row r="2488">
      <x:c r="A2488" t="str">
        <x:v>20482</x:v>
      </x:c>
      <x:c r="B2488" t="str">
        <x:v>Заявка с сайта от Владислав 79819585219</x:v>
      </x:c>
      <x:c r="C2488" t="e">
        <x:f>HYPERLINK("https://belberrycrm.bitrix24.ru/crm/deal/details/20482/","https://belberrycrm.bitrix24.ru/crm/deal/details/20482/")</x:f>
      </x:c>
      <x:c r="D2488" t="str">
        <x:v>Реанимация</x:v>
      </x:c>
      <x:c r="E2488" t="str">
        <x:v>ЛИДЫ: Черный список</x:v>
      </x:c>
      <x:c r="F2488" t="str">
        <x:v>Александр Голядкин</x:v>
      </x:c>
      <x:c r="G2488" t="str">
        <x:v>нет</x:v>
      </x:c>
      <x:c r="H2488" t="str">
        <x:v>нет</x:v>
      </x:c>
    </x:row>
    <x:row r="2489">
      <x:c r="A2489" t="str">
        <x:v>20484</x:v>
      </x:c>
      <x:c r="B2489" t="str">
        <x:v>Ибраимов Марлен Фазилович</x:v>
      </x:c>
      <x:c r="C2489" t="e">
        <x:f>HYPERLINK("https://belberrycrm.bitrix24.ru/crm/deal/details/20484/","https://belberrycrm.bitrix24.ru/crm/deal/details/20484/")</x:f>
      </x:c>
      <x:c r="D2489" t="str">
        <x:v>Реанимация</x:v>
      </x:c>
      <x:c r="E2489" t="str">
        <x:v>ЛИДЫ: Черный список</x:v>
      </x:c>
      <x:c r="F2489" t="str">
        <x:v>Анна Гудинова</x:v>
      </x:c>
      <x:c r="G2489" t="str">
        <x:v>нет</x:v>
      </x:c>
      <x:c r="H2489" t="str">
        <x:v>нет</x:v>
      </x:c>
    </x:row>
    <x:row r="2490">
      <x:c r="A2490" t="str">
        <x:v>20488</x:v>
      </x:c>
      <x:c r="B2490" t="str">
        <x:v>Заказ интернет-магазина №184</x:v>
      </x:c>
      <x:c r="C2490" t="e">
        <x:f>HYPERLINK("https://belberrycrm.bitrix24.ru/crm/deal/details/20488/","https://belberrycrm.bitrix24.ru/crm/deal/details/20488/")</x:f>
      </x:c>
      <x:c r="D2490" t="str">
        <x:v>Реанимация</x:v>
      </x:c>
      <x:c r="E2490" t="str">
        <x:v>АРХИВ Общая</x:v>
      </x:c>
      <x:c r="F2490" t="str">
        <x:v>Анна Гудинова</x:v>
      </x:c>
      <x:c r="G2490" t="str">
        <x:v>нет</x:v>
      </x:c>
      <x:c r="H2490" t="str">
        <x:v>нет</x:v>
      </x:c>
    </x:row>
    <x:row r="2491">
      <x:c r="A2491" t="str">
        <x:v>20552</x:v>
      </x:c>
      <x:c r="B2491" t="str">
        <x:v>Заказ интернет-магазина №186</x:v>
      </x:c>
      <x:c r="C2491" t="e">
        <x:f>HYPERLINK("https://belberrycrm.bitrix24.ru/crm/deal/details/20552/","https://belberrycrm.bitrix24.ru/crm/deal/details/20552/")</x:f>
      </x:c>
      <x:c r="D2491" t="str">
        <x:v>Реанимация</x:v>
      </x:c>
      <x:c r="E2491" t="str">
        <x:v>АРХИВ Общая</x:v>
      </x:c>
      <x:c r="F2491" t="str">
        <x:v>Анна Гудинова</x:v>
      </x:c>
      <x:c r="G2491" t="str">
        <x:v>нет</x:v>
      </x:c>
      <x:c r="H2491" t="str">
        <x:v>нет</x:v>
      </x:c>
    </x:row>
    <x:row r="2492">
      <x:c r="A2492" t="str">
        <x:v>20554</x:v>
      </x:c>
      <x:c r="B2492" t="str">
        <x:v>Заказ интернет-магазина №188</x:v>
      </x:c>
      <x:c r="C2492" t="e">
        <x:f>HYPERLINK("https://belberrycrm.bitrix24.ru/crm/deal/details/20554/","https://belberrycrm.bitrix24.ru/crm/deal/details/20554/")</x:f>
      </x:c>
      <x:c r="D2492" t="str">
        <x:v>Реанимация</x:v>
      </x:c>
      <x:c r="E2492" t="str">
        <x:v>АРХИВ Общая</x:v>
      </x:c>
      <x:c r="F2492" t="str">
        <x:v>Анна Гудинова</x:v>
      </x:c>
      <x:c r="G2492" t="str">
        <x:v>нет</x:v>
      </x:c>
      <x:c r="H2492" t="str">
        <x:v>нет</x:v>
      </x:c>
    </x:row>
    <x:row r="2493">
      <x:c r="A2493" t="str">
        <x:v>20558</x:v>
      </x:c>
      <x:c r="B2493" t="str">
        <x:v>Заказ интернет-магазина №190</x:v>
      </x:c>
      <x:c r="C2493" t="e">
        <x:f>HYPERLINK("https://belberrycrm.bitrix24.ru/crm/deal/details/20558/","https://belberrycrm.bitrix24.ru/crm/deal/details/20558/")</x:f>
      </x:c>
      <x:c r="D2493" t="str">
        <x:v>Реанимация</x:v>
      </x:c>
      <x:c r="E2493" t="str">
        <x:v>АРХИВ Общая</x:v>
      </x:c>
      <x:c r="F2493" t="str">
        <x:v>Анна Гудинова</x:v>
      </x:c>
      <x:c r="G2493" t="str">
        <x:v>нет</x:v>
      </x:c>
      <x:c r="H2493" t="str">
        <x:v>нет</x:v>
      </x:c>
    </x:row>
    <x:row r="2494">
      <x:c r="A2494" t="str">
        <x:v>20560</x:v>
      </x:c>
      <x:c r="B2494" t="str">
        <x:v>Заказ интернет-магазина №192</x:v>
      </x:c>
      <x:c r="C2494" t="e">
        <x:f>HYPERLINK("https://belberrycrm.bitrix24.ru/crm/deal/details/20560/","https://belberrycrm.bitrix24.ru/crm/deal/details/20560/")</x:f>
      </x:c>
      <x:c r="D2494" t="str">
        <x:v>Реанимация</x:v>
      </x:c>
      <x:c r="E2494" t="str">
        <x:v>АРХИВ Общая</x:v>
      </x:c>
      <x:c r="F2494" t="str">
        <x:v>Анна Гудинова</x:v>
      </x:c>
      <x:c r="G2494" t="str">
        <x:v>нет</x:v>
      </x:c>
      <x:c r="H2494" t="str">
        <x:v>нет</x:v>
      </x:c>
    </x:row>
    <x:row r="2495">
      <x:c r="A2495" t="str">
        <x:v>20562</x:v>
      </x:c>
      <x:c r="B2495" t="str">
        <x:v>Заказ интернет-магазина №194</x:v>
      </x:c>
      <x:c r="C2495" t="e">
        <x:f>HYPERLINK("https://belberrycrm.bitrix24.ru/crm/deal/details/20562/","https://belberrycrm.bitrix24.ru/crm/deal/details/20562/")</x:f>
      </x:c>
      <x:c r="D2495" t="str">
        <x:v>Реанимация</x:v>
      </x:c>
      <x:c r="E2495" t="str">
        <x:v>АРХИВ Общая</x:v>
      </x:c>
      <x:c r="F2495" t="str">
        <x:v>Анна Гудинова</x:v>
      </x:c>
      <x:c r="G2495" t="str">
        <x:v>нет</x:v>
      </x:c>
      <x:c r="H2495" t="str">
        <x:v>нет</x:v>
      </x:c>
    </x:row>
    <x:row r="2496">
      <x:c r="A2496" t="str">
        <x:v>20648</x:v>
      </x:c>
      <x:c r="B2496" t="str">
        <x:v>tr78.ru</x:v>
      </x:c>
      <x:c r="C2496" t="e">
        <x:f>HYPERLINK("https://belberrycrm.bitrix24.ru/crm/deal/details/20648/","https://belberrycrm.bitrix24.ru/crm/deal/details/20648/")</x:f>
      </x:c>
      <x:c r="D2496" t="str">
        <x:v>Реанимация</x:v>
      </x:c>
      <x:c r="E2496" t="str">
        <x:v>ЛИДЫ: Отвалы</x:v>
      </x:c>
      <x:c r="F2496" t="str">
        <x:v>Александр Голядкин</x:v>
      </x:c>
      <x:c r="G2496" t="str">
        <x:v>нет</x:v>
      </x:c>
      <x:c r="H2496" t="str">
        <x:v>нет</x:v>
      </x:c>
    </x:row>
    <x:row r="2497">
      <x:c r="A2497" t="str">
        <x:v>20650</x:v>
      </x:c>
      <x:c r="B2497" t="str">
        <x:v>avtoprom.net</x:v>
      </x:c>
      <x:c r="C2497" t="e">
        <x:f>HYPERLINK("https://belberrycrm.bitrix24.ru/crm/deal/details/20650/","https://belberrycrm.bitrix24.ru/crm/deal/details/20650/")</x:f>
      </x:c>
      <x:c r="D2497" t="str">
        <x:v>Реанимация</x:v>
      </x:c>
      <x:c r="E2497" t="str">
        <x:v>База для реанимации</x:v>
      </x:c>
      <x:c r="F2497" t="str">
        <x:v>Илья Смирнов</x:v>
      </x:c>
      <x:c r="G2497" t="str">
        <x:v>нет</x:v>
      </x:c>
      <x:c r="H2497" t="str">
        <x:v>нет</x:v>
      </x:c>
    </x:row>
    <x:row r="2498">
      <x:c r="A2498" t="str">
        <x:v>20666</x:v>
      </x:c>
      <x:c r="B2498" t="str">
        <x:v>spitzenreiter.ru</x:v>
      </x:c>
      <x:c r="C2498" t="e">
        <x:f>HYPERLINK("https://belberrycrm.bitrix24.ru/crm/deal/details/20666/","https://belberrycrm.bitrix24.ru/crm/deal/details/20666/")</x:f>
      </x:c>
      <x:c r="D2498" t="str">
        <x:v>Реанимация</x:v>
      </x:c>
      <x:c r="E2498" t="str">
        <x:v>ЛИДЫ: Отвалы</x:v>
      </x:c>
      <x:c r="F2498" t="str">
        <x:v>Александр Голядкин</x:v>
      </x:c>
      <x:c r="G2498" t="str">
        <x:v>нет</x:v>
      </x:c>
      <x:c r="H2498" t="str">
        <x:v>нет</x:v>
      </x:c>
    </x:row>
    <x:row r="2499">
      <x:c r="A2499" t="str">
        <x:v>20668</x:v>
      </x:c>
      <x:c r="B2499" t="str">
        <x:v>unitoys.ru</x:v>
      </x:c>
      <x:c r="C2499" t="e">
        <x:f>HYPERLINK("https://belberrycrm.bitrix24.ru/crm/deal/details/20668/","https://belberrycrm.bitrix24.ru/crm/deal/details/20668/")</x:f>
      </x:c>
      <x:c r="D2499" t="str">
        <x:v>Реанимация</x:v>
      </x:c>
      <x:c r="E2499" t="str">
        <x:v>ЛИДЫ: Отвалы</x:v>
      </x:c>
      <x:c r="F2499" t="str">
        <x:v>Александр Голядкин</x:v>
      </x:c>
      <x:c r="G2499" t="str">
        <x:v>нет</x:v>
      </x:c>
      <x:c r="H2499" t="str">
        <x:v>нет</x:v>
      </x:c>
    </x:row>
    <x:row r="2500">
      <x:c r="A2500" t="str">
        <x:v>20672</x:v>
      </x:c>
      <x:c r="B2500" t="str">
        <x:v>pulsal.ru</x:v>
      </x:c>
      <x:c r="C2500" t="e">
        <x:f>HYPERLINK("https://belberrycrm.bitrix24.ru/crm/deal/details/20672/","https://belberrycrm.bitrix24.ru/crm/deal/details/20672/")</x:f>
      </x:c>
      <x:c r="D2500" t="str">
        <x:v>Реанимация</x:v>
      </x:c>
      <x:c r="E2500" t="str">
        <x:v>ЛИДЫ: Отвалы</x:v>
      </x:c>
      <x:c r="F2500" t="str">
        <x:v>Александр Голядкин</x:v>
      </x:c>
      <x:c r="G2500" t="str">
        <x:v>нет</x:v>
      </x:c>
      <x:c r="H2500" t="str">
        <x:v>нет</x:v>
      </x:c>
    </x:row>
    <x:row r="2501">
      <x:c r="A2501" t="str">
        <x:v>20682</x:v>
      </x:c>
      <x:c r="B2501" t="str">
        <x:v>telwin.su</x:v>
      </x:c>
      <x:c r="C2501" t="e">
        <x:f>HYPERLINK("https://belberrycrm.bitrix24.ru/crm/deal/details/20682/","https://belberrycrm.bitrix24.ru/crm/deal/details/20682/")</x:f>
      </x:c>
      <x:c r="D2501" t="str">
        <x:v>Реанимация</x:v>
      </x:c>
      <x:c r="E2501" t="str">
        <x:v>ЛИДЫ: Отвалы</x:v>
      </x:c>
      <x:c r="F2501" t="str">
        <x:v>Александр Голядкин</x:v>
      </x:c>
      <x:c r="G2501" t="str">
        <x:v>нет</x:v>
      </x:c>
      <x:c r="H2501" t="str">
        <x:v>нет</x:v>
      </x:c>
    </x:row>
    <x:row r="2502">
      <x:c r="A2502" t="str">
        <x:v>20690</x:v>
      </x:c>
      <x:c r="B2502" t="str">
        <x:v>p-el.ru</x:v>
      </x:c>
      <x:c r="C2502" t="e">
        <x:f>HYPERLINK("https://belberrycrm.bitrix24.ru/crm/deal/details/20690/","https://belberrycrm.bitrix24.ru/crm/deal/details/20690/")</x:f>
      </x:c>
      <x:c r="D2502" t="str">
        <x:v>Реанимация</x:v>
      </x:c>
      <x:c r="E2502" t="str">
        <x:v>ЛИДЫ: Отвалы</x:v>
      </x:c>
      <x:c r="F2502" t="str">
        <x:v>Александр Голядкин</x:v>
      </x:c>
      <x:c r="G2502" t="str">
        <x:v>нет</x:v>
      </x:c>
      <x:c r="H2502" t="str">
        <x:v>нет</x:v>
      </x:c>
    </x:row>
    <x:row r="2503">
      <x:c r="A2503" t="str">
        <x:v>20702</x:v>
      </x:c>
      <x:c r="B2503" t="str">
        <x:v>texet.ru</x:v>
      </x:c>
      <x:c r="C2503" t="e">
        <x:f>HYPERLINK("https://belberrycrm.bitrix24.ru/crm/deal/details/20702/","https://belberrycrm.bitrix24.ru/crm/deal/details/20702/")</x:f>
      </x:c>
      <x:c r="D2503" t="str">
        <x:v>Реанимация</x:v>
      </x:c>
      <x:c r="E2503" t="str">
        <x:v>ЛИДЫ: Отвалы</x:v>
      </x:c>
      <x:c r="F2503" t="str">
        <x:v>Александр Голядкин</x:v>
      </x:c>
      <x:c r="G2503" t="str">
        <x:v>нет</x:v>
      </x:c>
      <x:c r="H2503" t="str">
        <x:v>нет</x:v>
      </x:c>
    </x:row>
    <x:row r="2504">
      <x:c r="A2504" t="str">
        <x:v>20718</x:v>
      </x:c>
      <x:c r="B2504" t="str">
        <x:v>store.nord-sm.ru</x:v>
      </x:c>
      <x:c r="C2504" t="e">
        <x:f>HYPERLINK("https://belberrycrm.bitrix24.ru/crm/deal/details/20718/","https://belberrycrm.bitrix24.ru/crm/deal/details/20718/")</x:f>
      </x:c>
      <x:c r="D2504" t="str">
        <x:v>Реанимация</x:v>
      </x:c>
      <x:c r="E2504" t="str">
        <x:v>ЛИДЫ: Отвалы</x:v>
      </x:c>
      <x:c r="F2504" t="str">
        <x:v>Евгения Гордиенко</x:v>
      </x:c>
      <x:c r="G2504" t="str">
        <x:v>да</x:v>
      </x:c>
      <x:c r="H2504" t="str">
        <x:v>нет</x:v>
      </x:c>
    </x:row>
    <x:row r="2505">
      <x:c r="A2505" t="str">
        <x:v>20724</x:v>
      </x:c>
      <x:c r="B2505" t="str">
        <x:v>rill.ru</x:v>
      </x:c>
      <x:c r="C2505" t="e">
        <x:f>HYPERLINK("https://belberrycrm.bitrix24.ru/crm/deal/details/20724/","https://belberrycrm.bitrix24.ru/crm/deal/details/20724/")</x:f>
      </x:c>
      <x:c r="D2505" t="str">
        <x:v>Реанимация</x:v>
      </x:c>
      <x:c r="E2505" t="str">
        <x:v>ЛИДЫ: Отвалы</x:v>
      </x:c>
      <x:c r="F2505" t="str">
        <x:v>Александр Голядкин</x:v>
      </x:c>
      <x:c r="G2505" t="str">
        <x:v>нет</x:v>
      </x:c>
      <x:c r="H2505" t="str">
        <x:v>нет</x:v>
      </x:c>
    </x:row>
    <x:row r="2506">
      <x:c r="A2506" t="str">
        <x:v>20732</x:v>
      </x:c>
      <x:c r="B2506" t="str">
        <x:v>ritmixrussia.ru</x:v>
      </x:c>
      <x:c r="C2506" t="e">
        <x:f>HYPERLINK("https://belberrycrm.bitrix24.ru/crm/deal/details/20732/","https://belberrycrm.bitrix24.ru/crm/deal/details/20732/")</x:f>
      </x:c>
      <x:c r="D2506" t="str">
        <x:v>Реанимация</x:v>
      </x:c>
      <x:c r="E2506" t="str">
        <x:v>ЛИДЫ: Отвалы</x:v>
      </x:c>
      <x:c r="F2506" t="str">
        <x:v>Александр Голядкин</x:v>
      </x:c>
      <x:c r="G2506" t="str">
        <x:v>нет</x:v>
      </x:c>
      <x:c r="H2506" t="str">
        <x:v>нет</x:v>
      </x:c>
    </x:row>
    <x:row r="2507">
      <x:c r="A2507" t="str">
        <x:v>20734</x:v>
      </x:c>
      <x:c r="B2507" t="str">
        <x:v>radom.ru</x:v>
      </x:c>
      <x:c r="C2507" t="e">
        <x:f>HYPERLINK("https://belberrycrm.bitrix24.ru/crm/deal/details/20734/","https://belberrycrm.bitrix24.ru/crm/deal/details/20734/")</x:f>
      </x:c>
      <x:c r="D2507" t="str">
        <x:v>Реанимация</x:v>
      </x:c>
      <x:c r="E2507" t="str">
        <x:v>ЛИДЫ: Отвалы</x:v>
      </x:c>
      <x:c r="F2507" t="str">
        <x:v>Александр Голядкин</x:v>
      </x:c>
      <x:c r="G2507" t="str">
        <x:v>нет</x:v>
      </x:c>
      <x:c r="H2507" t="str">
        <x:v>нет</x:v>
      </x:c>
    </x:row>
    <x:row r="2508">
      <x:c r="A2508" t="str">
        <x:v>20746</x:v>
      </x:c>
      <x:c r="B2508" t="str">
        <x:v>health-architecture.com</x:v>
      </x:c>
      <x:c r="C2508" t="e">
        <x:f>HYPERLINK("https://belberrycrm.bitrix24.ru/crm/deal/details/20746/","https://belberrycrm.bitrix24.ru/crm/deal/details/20746/")</x:f>
      </x:c>
      <x:c r="D2508" t="str">
        <x:v>Реанимация</x:v>
      </x:c>
      <x:c r="E2508" t="str">
        <x:v>ЛИДЫ: Отвалы</x:v>
      </x:c>
      <x:c r="F2508" t="str">
        <x:v>Дарья Исаева</x:v>
      </x:c>
      <x:c r="G2508" t="str">
        <x:v>да</x:v>
      </x:c>
      <x:c r="H2508" t="str">
        <x:v>нет</x:v>
      </x:c>
    </x:row>
    <x:row r="2509">
      <x:c r="A2509" t="str">
        <x:v>20770</x:v>
      </x:c>
      <x:c r="B2509" t="str">
        <x:v>centertvid.ru</x:v>
      </x:c>
      <x:c r="C2509" t="e">
        <x:f>HYPERLINK("https://belberrycrm.bitrix24.ru/crm/deal/details/20770/","https://belberrycrm.bitrix24.ru/crm/deal/details/20770/")</x:f>
      </x:c>
      <x:c r="D2509" t="str">
        <x:v>Реанимация</x:v>
      </x:c>
      <x:c r="E2509" t="str">
        <x:v>ЛИДЫ: Отвалы</x:v>
      </x:c>
      <x:c r="F2509" t="str">
        <x:v>Дарья Исаева</x:v>
      </x:c>
      <x:c r="G2509" t="str">
        <x:v>нет</x:v>
      </x:c>
      <x:c r="H2509" t="str">
        <x:v>нет</x:v>
      </x:c>
    </x:row>
    <x:row r="2510">
      <x:c r="A2510" t="str">
        <x:v>20798</x:v>
      </x:c>
      <x:c r="B2510" t="str">
        <x:v>medikal.vip</x:v>
      </x:c>
      <x:c r="C2510" t="e">
        <x:f>HYPERLINK("https://belberrycrm.bitrix24.ru/crm/deal/details/20798/","https://belberrycrm.bitrix24.ru/crm/deal/details/20798/")</x:f>
      </x:c>
      <x:c r="D2510" t="str">
        <x:v>Реанимация</x:v>
      </x:c>
      <x:c r="E2510" t="str">
        <x:v>ЛИДЫ: Отвалы</x:v>
      </x:c>
      <x:c r="F2510" t="str">
        <x:v>Дарья Исаева</x:v>
      </x:c>
      <x:c r="G2510" t="str">
        <x:v>нет</x:v>
      </x:c>
      <x:c r="H2510" t="str">
        <x:v>нет</x:v>
      </x:c>
    </x:row>
    <x:row r="2511">
      <x:c r="A2511" t="str">
        <x:v>20804</x:v>
      </x:c>
      <x:c r="B2511" t="str">
        <x:v>voscopran.ru</x:v>
      </x:c>
      <x:c r="C2511" t="e">
        <x:f>HYPERLINK("https://belberrycrm.bitrix24.ru/crm/deal/details/20804/","https://belberrycrm.bitrix24.ru/crm/deal/details/20804/")</x:f>
      </x:c>
      <x:c r="D2511" t="str">
        <x:v>Реанимация</x:v>
      </x:c>
      <x:c r="E2511" t="str">
        <x:v>ЛИДЫ: Отвалы</x:v>
      </x:c>
      <x:c r="F2511" t="str">
        <x:v>Евгения Гордиенко</x:v>
      </x:c>
      <x:c r="G2511" t="str">
        <x:v>нет</x:v>
      </x:c>
      <x:c r="H2511" t="str">
        <x:v>нет</x:v>
      </x:c>
    </x:row>
    <x:row r="2512">
      <x:c r="A2512" t="str">
        <x:v>20806</x:v>
      </x:c>
      <x:c r="B2512" t="str">
        <x:v>store.logobos.ru</x:v>
      </x:c>
      <x:c r="C2512" t="e">
        <x:f>HYPERLINK("https://belberrycrm.bitrix24.ru/crm/deal/details/20806/","https://belberrycrm.bitrix24.ru/crm/deal/details/20806/")</x:f>
      </x:c>
      <x:c r="D2512" t="str">
        <x:v>Реанимация</x:v>
      </x:c>
      <x:c r="E2512" t="str">
        <x:v>ЛИДЫ: Отвалы</x:v>
      </x:c>
      <x:c r="F2512" t="str">
        <x:v>Александр Голядкин</x:v>
      </x:c>
      <x:c r="G2512" t="str">
        <x:v>нет</x:v>
      </x:c>
      <x:c r="H2512" t="str">
        <x:v>нет</x:v>
      </x:c>
    </x:row>
    <x:row r="2513">
      <x:c r="A2513" t="str">
        <x:v>20834</x:v>
      </x:c>
      <x:c r="B2513" t="str">
        <x:v>seaexplorer.ru</x:v>
      </x:c>
      <x:c r="C2513" t="e">
        <x:f>HYPERLINK("https://belberrycrm.bitrix24.ru/crm/deal/details/20834/","https://belberrycrm.bitrix24.ru/crm/deal/details/20834/")</x:f>
      </x:c>
      <x:c r="D2513" t="str">
        <x:v>Реанимация</x:v>
      </x:c>
      <x:c r="E2513" t="str">
        <x:v>ЛИДЫ: Отвалы</x:v>
      </x:c>
      <x:c r="F2513" t="str">
        <x:v>Александр Голядкин</x:v>
      </x:c>
      <x:c r="G2513" t="str">
        <x:v>да</x:v>
      </x:c>
      <x:c r="H2513" t="str">
        <x:v>нет</x:v>
      </x:c>
    </x:row>
    <x:row r="2514">
      <x:c r="A2514" t="str">
        <x:v>20846</x:v>
      </x:c>
      <x:c r="B2514" t="str">
        <x:v>ecodent-clinic.ru</x:v>
      </x:c>
      <x:c r="C2514" t="e">
        <x:f>HYPERLINK("https://belberrycrm.bitrix24.ru/crm/deal/details/20846/","https://belberrycrm.bitrix24.ru/crm/deal/details/20846/")</x:f>
      </x:c>
      <x:c r="D2514" t="str">
        <x:v>Реанимация</x:v>
      </x:c>
      <x:c r="E2514" t="str">
        <x:v>ЛИДЫ: Отвалы</x:v>
      </x:c>
      <x:c r="F2514" t="str">
        <x:v>Мария Ус</x:v>
      </x:c>
      <x:c r="G2514" t="str">
        <x:v>нет</x:v>
      </x:c>
      <x:c r="H2514" t="str">
        <x:v>нет</x:v>
      </x:c>
    </x:row>
    <x:row r="2515">
      <x:c r="A2515" t="str">
        <x:v>20868</x:v>
      </x:c>
      <x:c r="B2515" t="str">
        <x:v>omnicare.clinic</x:v>
      </x:c>
      <x:c r="C2515" t="e">
        <x:f>HYPERLINK("https://belberrycrm.bitrix24.ru/crm/deal/details/20868/","https://belberrycrm.bitrix24.ru/crm/deal/details/20868/")</x:f>
      </x:c>
      <x:c r="D2515" t="str">
        <x:v>Реанимация</x:v>
      </x:c>
      <x:c r="E2515" t="str">
        <x:v>ЛИДЫ: Отвалы</x:v>
      </x:c>
      <x:c r="F2515" t="str">
        <x:v>Александр Голядкин</x:v>
      </x:c>
      <x:c r="G2515" t="str">
        <x:v>нет</x:v>
      </x:c>
      <x:c r="H2515" t="str">
        <x:v>нет</x:v>
      </x:c>
    </x:row>
    <x:row r="2516">
      <x:c r="A2516" t="str">
        <x:v>20874</x:v>
      </x:c>
      <x:c r="B2516" t="str">
        <x:v>powerconcept.ru</x:v>
      </x:c>
      <x:c r="C2516" t="e">
        <x:f>HYPERLINK("https://belberrycrm.bitrix24.ru/crm/deal/details/20874/","https://belberrycrm.bitrix24.ru/crm/deal/details/20874/")</x:f>
      </x:c>
      <x:c r="D2516" t="str">
        <x:v>Реанимация</x:v>
      </x:c>
      <x:c r="E2516" t="str">
        <x:v>ЛИДЫ: Отвалы</x:v>
      </x:c>
      <x:c r="F2516" t="str">
        <x:v>Александр Голядкин</x:v>
      </x:c>
      <x:c r="G2516" t="str">
        <x:v>нет</x:v>
      </x:c>
      <x:c r="H2516" t="str">
        <x:v>нет</x:v>
      </x:c>
    </x:row>
    <x:row r="2517">
      <x:c r="A2517" t="str">
        <x:v>20880</x:v>
      </x:c>
      <x:c r="B2517" t="str">
        <x:v>simct.ru</x:v>
      </x:c>
      <x:c r="C2517" t="e">
        <x:f>HYPERLINK("https://belberrycrm.bitrix24.ru/crm/deal/details/20880/","https://belberrycrm.bitrix24.ru/crm/deal/details/20880/")</x:f>
      </x:c>
      <x:c r="D2517" t="str">
        <x:v>Реанимация</x:v>
      </x:c>
      <x:c r="E2517" t="str">
        <x:v>ЛИДЫ: Отвалы</x:v>
      </x:c>
      <x:c r="F2517" t="str">
        <x:v>Александр Голядкин</x:v>
      </x:c>
      <x:c r="G2517" t="str">
        <x:v>нет</x:v>
      </x:c>
      <x:c r="H2517" t="str">
        <x:v>нет</x:v>
      </x:c>
    </x:row>
    <x:row r="2518">
      <x:c r="A2518" t="str">
        <x:v>20884</x:v>
      </x:c>
      <x:c r="B2518" t="str">
        <x:v>tako-line.ru</x:v>
      </x:c>
      <x:c r="C2518" t="e">
        <x:f>HYPERLINK("https://belberrycrm.bitrix24.ru/crm/deal/details/20884/","https://belberrycrm.bitrix24.ru/crm/deal/details/20884/")</x:f>
      </x:c>
      <x:c r="D2518" t="str">
        <x:v>Реанимация</x:v>
      </x:c>
      <x:c r="E2518" t="str">
        <x:v>ЛИДЫ: Отвалы</x:v>
      </x:c>
      <x:c r="F2518" t="str">
        <x:v>Александр Голядкин</x:v>
      </x:c>
      <x:c r="G2518" t="str">
        <x:v>нет</x:v>
      </x:c>
      <x:c r="H2518" t="str">
        <x:v>нет</x:v>
      </x:c>
    </x:row>
    <x:row r="2519">
      <x:c r="A2519" t="str">
        <x:v>20888</x:v>
      </x:c>
      <x:c r="B2519" t="str">
        <x:v>rosshelf.ru</x:v>
      </x:c>
      <x:c r="C2519" t="e">
        <x:f>HYPERLINK("https://belberrycrm.bitrix24.ru/crm/deal/details/20888/","https://belberrycrm.bitrix24.ru/crm/deal/details/20888/")</x:f>
      </x:c>
      <x:c r="D2519" t="str">
        <x:v>Реанимация</x:v>
      </x:c>
      <x:c r="E2519" t="str">
        <x:v>ЛИДЫ: Отвалы</x:v>
      </x:c>
      <x:c r="F2519" t="str">
        <x:v>Александр Голядкин</x:v>
      </x:c>
      <x:c r="G2519" t="str">
        <x:v>нет</x:v>
      </x:c>
      <x:c r="H2519" t="str">
        <x:v>нет</x:v>
      </x:c>
    </x:row>
    <x:row r="2520">
      <x:c r="A2520" t="str">
        <x:v>20890</x:v>
      </x:c>
      <x:c r="B2520" t="str">
        <x:v>vshouz.ru</x:v>
      </x:c>
      <x:c r="C2520" t="e">
        <x:f>HYPERLINK("https://belberrycrm.bitrix24.ru/crm/deal/details/20890/","https://belberrycrm.bitrix24.ru/crm/deal/details/20890/")</x:f>
      </x:c>
      <x:c r="D2520" t="str">
        <x:v>Реанимация</x:v>
      </x:c>
      <x:c r="E2520" t="str">
        <x:v>ЛИДЫ: Отвалы</x:v>
      </x:c>
      <x:c r="F2520" t="str">
        <x:v>Александр Голядкин</x:v>
      </x:c>
      <x:c r="G2520" t="str">
        <x:v>нет</x:v>
      </x:c>
      <x:c r="H2520" t="str">
        <x:v>нет</x:v>
      </x:c>
    </x:row>
    <x:row r="2521">
      <x:c r="A2521" t="str">
        <x:v>20898</x:v>
      </x:c>
      <x:c r="B2521" t="str">
        <x:v>pmk-167.ru</x:v>
      </x:c>
      <x:c r="C2521" t="e">
        <x:f>HYPERLINK("https://belberrycrm.bitrix24.ru/crm/deal/details/20898/","https://belberrycrm.bitrix24.ru/crm/deal/details/20898/")</x:f>
      </x:c>
      <x:c r="D2521" t="str">
        <x:v>Реанимация</x:v>
      </x:c>
      <x:c r="E2521" t="str">
        <x:v>ЛИДЫ: Отвалы</x:v>
      </x:c>
      <x:c r="F2521" t="str">
        <x:v>Александр Голядкин</x:v>
      </x:c>
      <x:c r="G2521" t="str">
        <x:v>нет</x:v>
      </x:c>
      <x:c r="H2521" t="str">
        <x:v>нет</x:v>
      </x:c>
    </x:row>
    <x:row r="2522">
      <x:c r="A2522" t="str">
        <x:v>20902</x:v>
      </x:c>
      <x:c r="B2522" t="str">
        <x:v>spektr-m.spb.ru</x:v>
      </x:c>
      <x:c r="C2522" t="e">
        <x:f>HYPERLINK("https://belberrycrm.bitrix24.ru/crm/deal/details/20902/","https://belberrycrm.bitrix24.ru/crm/deal/details/20902/")</x:f>
      </x:c>
      <x:c r="D2522" t="str">
        <x:v>Реанимация</x:v>
      </x:c>
      <x:c r="E2522" t="str">
        <x:v>ЛИДЫ: Отвалы</x:v>
      </x:c>
      <x:c r="F2522" t="str">
        <x:v>Александр Голядкин</x:v>
      </x:c>
      <x:c r="G2522" t="str">
        <x:v>нет</x:v>
      </x:c>
      <x:c r="H2522" t="str">
        <x:v>нет</x:v>
      </x:c>
    </x:row>
    <x:row r="2523">
      <x:c r="A2523" t="str">
        <x:v>20914</x:v>
      </x:c>
      <x:c r="B2523" t="str">
        <x:v>triton-group.ru</x:v>
      </x:c>
      <x:c r="C2523" t="e">
        <x:f>HYPERLINK("https://belberrycrm.bitrix24.ru/crm/deal/details/20914/","https://belberrycrm.bitrix24.ru/crm/deal/details/20914/")</x:f>
      </x:c>
      <x:c r="D2523" t="str">
        <x:v>Реанимация</x:v>
      </x:c>
      <x:c r="E2523" t="str">
        <x:v>ЛИДЫ: Отвалы</x:v>
      </x:c>
      <x:c r="F2523" t="str">
        <x:v>Александр Голядкин</x:v>
      </x:c>
      <x:c r="G2523" t="str">
        <x:v>нет</x:v>
      </x:c>
      <x:c r="H2523" t="str">
        <x:v>нет</x:v>
      </x:c>
    </x:row>
    <x:row r="2524">
      <x:c r="A2524" t="str">
        <x:v>20924</x:v>
      </x:c>
      <x:c r="B2524" t="str">
        <x:v>tehnoros.ru</x:v>
      </x:c>
      <x:c r="C2524" t="e">
        <x:f>HYPERLINK("https://belberrycrm.bitrix24.ru/crm/deal/details/20924/","https://belberrycrm.bitrix24.ru/crm/deal/details/20924/")</x:f>
      </x:c>
      <x:c r="D2524" t="str">
        <x:v>Реанимация</x:v>
      </x:c>
      <x:c r="E2524" t="str">
        <x:v>ЛИДЫ: Отвалы</x:v>
      </x:c>
      <x:c r="F2524" t="str">
        <x:v>Александр Голядкин</x:v>
      </x:c>
      <x:c r="G2524" t="str">
        <x:v>да</x:v>
      </x:c>
      <x:c r="H2524" t="str">
        <x:v>нет</x:v>
      </x:c>
    </x:row>
    <x:row r="2525">
      <x:c r="A2525" t="str">
        <x:v>20928</x:v>
      </x:c>
      <x:c r="B2525" t="str">
        <x:v>skzi.ru</x:v>
      </x:c>
      <x:c r="C2525" t="e">
        <x:f>HYPERLINK("https://belberrycrm.bitrix24.ru/crm/deal/details/20928/","https://belberrycrm.bitrix24.ru/crm/deal/details/20928/")</x:f>
      </x:c>
      <x:c r="D2525" t="str">
        <x:v>Реанимация</x:v>
      </x:c>
      <x:c r="E2525" t="str">
        <x:v>ЛИДЫ: Отвалы</x:v>
      </x:c>
      <x:c r="F2525" t="str">
        <x:v>Александр Голядкин</x:v>
      </x:c>
      <x:c r="G2525" t="str">
        <x:v>нет</x:v>
      </x:c>
      <x:c r="H2525" t="str">
        <x:v>нет</x:v>
      </x:c>
    </x:row>
    <x:row r="2526">
      <x:c r="A2526" t="str">
        <x:v>20944</x:v>
      </x:c>
      <x:c r="B2526" t="str">
        <x:v>scale.ru</x:v>
      </x:c>
      <x:c r="C2526" t="e">
        <x:f>HYPERLINK("https://belberrycrm.bitrix24.ru/crm/deal/details/20944/","https://belberrycrm.bitrix24.ru/crm/deal/details/20944/")</x:f>
      </x:c>
      <x:c r="D2526" t="str">
        <x:v>Реанимация</x:v>
      </x:c>
      <x:c r="E2526" t="str">
        <x:v>ЛИДЫ: Отвалы</x:v>
      </x:c>
      <x:c r="F2526" t="str">
        <x:v>Александр Голядкин</x:v>
      </x:c>
      <x:c r="G2526" t="str">
        <x:v>нет</x:v>
      </x:c>
      <x:c r="H2526" t="str">
        <x:v>нет</x:v>
      </x:c>
    </x:row>
    <x:row r="2527">
      <x:c r="A2527" t="str">
        <x:v>20950</x:v>
      </x:c>
      <x:c r="B2527" t="str">
        <x:v>rosmetallkomplekt.ru</x:v>
      </x:c>
      <x:c r="C2527" t="e">
        <x:f>HYPERLINK("https://belberrycrm.bitrix24.ru/crm/deal/details/20950/","https://belberrycrm.bitrix24.ru/crm/deal/details/20950/")</x:f>
      </x:c>
      <x:c r="D2527" t="str">
        <x:v>Реанимация</x:v>
      </x:c>
      <x:c r="E2527" t="str">
        <x:v>ЛИДЫ: Отвалы</x:v>
      </x:c>
      <x:c r="F2527" t="str">
        <x:v>Александр Голядкин</x:v>
      </x:c>
      <x:c r="G2527" t="str">
        <x:v>да</x:v>
      </x:c>
      <x:c r="H2527" t="str">
        <x:v>нет</x:v>
      </x:c>
    </x:row>
    <x:row r="2528">
      <x:c r="A2528" t="str">
        <x:v>20952</x:v>
      </x:c>
      <x:c r="B2528" t="str">
        <x:v>spb-cactus.ru</x:v>
      </x:c>
      <x:c r="C2528" t="e">
        <x:f>HYPERLINK("https://belberrycrm.bitrix24.ru/crm/deal/details/20952/","https://belberrycrm.bitrix24.ru/crm/deal/details/20952/")</x:f>
      </x:c>
      <x:c r="D2528" t="str">
        <x:v>Реанимация</x:v>
      </x:c>
      <x:c r="E2528" t="str">
        <x:v>ЛИДЫ: Отвалы</x:v>
      </x:c>
      <x:c r="F2528" t="str">
        <x:v>Александр Голядкин</x:v>
      </x:c>
      <x:c r="G2528" t="str">
        <x:v>да</x:v>
      </x:c>
      <x:c r="H2528" t="str">
        <x:v>нет</x:v>
      </x:c>
    </x:row>
    <x:row r="2529">
      <x:c r="A2529" t="str">
        <x:v>20962</x:v>
      </x:c>
      <x:c r="B2529" t="str">
        <x:v>zrp.ru</x:v>
      </x:c>
      <x:c r="C2529" t="e">
        <x:f>HYPERLINK("https://belberrycrm.bitrix24.ru/crm/deal/details/20962/","https://belberrycrm.bitrix24.ru/crm/deal/details/20962/")</x:f>
      </x:c>
      <x:c r="D2529" t="str">
        <x:v>Реанимация</x:v>
      </x:c>
      <x:c r="E2529" t="str">
        <x:v>ЛИДЫ: Отвалы</x:v>
      </x:c>
      <x:c r="F2529" t="str">
        <x:v>Мария Ус</x:v>
      </x:c>
      <x:c r="G2529" t="str">
        <x:v>да</x:v>
      </x:c>
      <x:c r="H2529" t="str">
        <x:v>нет</x:v>
      </x:c>
    </x:row>
    <x:row r="2530">
      <x:c r="A2530" t="str">
        <x:v>20966</x:v>
      </x:c>
      <x:c r="B2530" t="str">
        <x:v>rialstf.ru</x:v>
      </x:c>
      <x:c r="C2530" t="e">
        <x:f>HYPERLINK("https://belberrycrm.bitrix24.ru/crm/deal/details/20966/","https://belberrycrm.bitrix24.ru/crm/deal/details/20966/")</x:f>
      </x:c>
      <x:c r="D2530" t="str">
        <x:v>Реанимация</x:v>
      </x:c>
      <x:c r="E2530" t="str">
        <x:v>ЛИДЫ: Отвалы</x:v>
      </x:c>
      <x:c r="F2530" t="str">
        <x:v>Александр Голядкин</x:v>
      </x:c>
      <x:c r="G2530" t="str">
        <x:v>нет</x:v>
      </x:c>
      <x:c r="H2530" t="str">
        <x:v>нет</x:v>
      </x:c>
    </x:row>
    <x:row r="2531">
      <x:c r="A2531" t="str">
        <x:v>20990</x:v>
      </x:c>
      <x:c r="B2531" t="str">
        <x:v>refexpress.ru</x:v>
      </x:c>
      <x:c r="C2531" t="e">
        <x:f>HYPERLINK("https://belberrycrm.bitrix24.ru/crm/deal/details/20990/","https://belberrycrm.bitrix24.ru/crm/deal/details/20990/")</x:f>
      </x:c>
      <x:c r="D2531" t="str">
        <x:v>Реанимация</x:v>
      </x:c>
      <x:c r="E2531" t="str">
        <x:v>ЛИДЫ: Отвалы</x:v>
      </x:c>
      <x:c r="F2531" t="str">
        <x:v>Александр Голядкин</x:v>
      </x:c>
      <x:c r="G2531" t="str">
        <x:v>нет</x:v>
      </x:c>
      <x:c r="H2531" t="str">
        <x:v>нет</x:v>
      </x:c>
    </x:row>
    <x:row r="2532">
      <x:c r="A2532" t="str">
        <x:v>20994</x:v>
      </x:c>
      <x:c r="B2532" t="str">
        <x:v>vitekh.ru</x:v>
      </x:c>
      <x:c r="C2532" t="e">
        <x:f>HYPERLINK("https://belberrycrm.bitrix24.ru/crm/deal/details/20994/","https://belberrycrm.bitrix24.ru/crm/deal/details/20994/")</x:f>
      </x:c>
      <x:c r="D2532" t="str">
        <x:v>Реанимация</x:v>
      </x:c>
      <x:c r="E2532" t="str">
        <x:v>ЛИДЫ: Отвалы</x:v>
      </x:c>
      <x:c r="F2532" t="str">
        <x:v>Александр Голядкин</x:v>
      </x:c>
      <x:c r="G2532" t="str">
        <x:v>нет</x:v>
      </x:c>
      <x:c r="H2532" t="str">
        <x:v>нет</x:v>
      </x:c>
    </x:row>
    <x:row r="2533">
      <x:c r="A2533" t="str">
        <x:v>21010</x:v>
      </x:c>
      <x:c r="B2533" t="str">
        <x:v>shar-price.ru</x:v>
      </x:c>
      <x:c r="C2533" t="e">
        <x:f>HYPERLINK("https://belberrycrm.bitrix24.ru/crm/deal/details/21010/","https://belberrycrm.bitrix24.ru/crm/deal/details/21010/")</x:f>
      </x:c>
      <x:c r="D2533" t="str">
        <x:v>Реанимация</x:v>
      </x:c>
      <x:c r="E2533" t="str">
        <x:v>ЛИДЫ: Отвалы</x:v>
      </x:c>
      <x:c r="F2533" t="str">
        <x:v>Мария Ус</x:v>
      </x:c>
      <x:c r="G2533" t="str">
        <x:v>да</x:v>
      </x:c>
      <x:c r="H2533" t="str">
        <x:v>нет</x:v>
      </x:c>
    </x:row>
    <x:row r="2534">
      <x:c r="A2534" t="str">
        <x:v>21016</x:v>
      </x:c>
      <x:c r="B2534" t="str">
        <x:v>mednet.ru</x:v>
      </x:c>
      <x:c r="C2534" t="e">
        <x:f>HYPERLINK("https://belberrycrm.bitrix24.ru/crm/deal/details/21016/","https://belberrycrm.bitrix24.ru/crm/deal/details/21016/")</x:f>
      </x:c>
      <x:c r="D2534" t="str">
        <x:v>Реанимация</x:v>
      </x:c>
      <x:c r="E2534" t="str">
        <x:v>ЛИДЫ: Отвалы</x:v>
      </x:c>
      <x:c r="F2534" t="str">
        <x:v>Александр Голядкин</x:v>
      </x:c>
      <x:c r="G2534" t="str">
        <x:v>нет</x:v>
      </x:c>
      <x:c r="H2534" t="str">
        <x:v>нет</x:v>
      </x:c>
    </x:row>
    <x:row r="2535">
      <x:c r="A2535" t="str">
        <x:v>21018</x:v>
      </x:c>
      <x:c r="B2535" t="str">
        <x:v>cls-clinic.ru</x:v>
      </x:c>
      <x:c r="C2535" t="e">
        <x:f>HYPERLINK("https://belberrycrm.bitrix24.ru/crm/deal/details/21018/","https://belberrycrm.bitrix24.ru/crm/deal/details/21018/")</x:f>
      </x:c>
      <x:c r="D2535" t="str">
        <x:v>Реанимация</x:v>
      </x:c>
      <x:c r="E2535" t="str">
        <x:v>ЛИДЫ: Отвалы</x:v>
      </x:c>
      <x:c r="F2535" t="str">
        <x:v>Александр Голядкин</x:v>
      </x:c>
      <x:c r="G2535" t="str">
        <x:v>нет</x:v>
      </x:c>
      <x:c r="H2535" t="str">
        <x:v>нет</x:v>
      </x:c>
    </x:row>
    <x:row r="2536">
      <x:c r="A2536" t="str">
        <x:v>21022</x:v>
      </x:c>
      <x:c r="B2536" t="str">
        <x:v>rusonar.ru</x:v>
      </x:c>
      <x:c r="C2536" t="e">
        <x:f>HYPERLINK("https://belberrycrm.bitrix24.ru/crm/deal/details/21022/","https://belberrycrm.bitrix24.ru/crm/deal/details/21022/")</x:f>
      </x:c>
      <x:c r="D2536" t="str">
        <x:v>Реанимация</x:v>
      </x:c>
      <x:c r="E2536" t="str">
        <x:v>ЛИДЫ: Отвалы</x:v>
      </x:c>
      <x:c r="F2536" t="str">
        <x:v>Александр Голядкин</x:v>
      </x:c>
      <x:c r="G2536" t="str">
        <x:v>да</x:v>
      </x:c>
      <x:c r="H2536" t="str">
        <x:v>нет</x:v>
      </x:c>
    </x:row>
    <x:row r="2537">
      <x:c r="A2537" t="str">
        <x:v>21024</x:v>
      </x:c>
      <x:c r="B2537" t="str">
        <x:v>zuba32.ru</x:v>
      </x:c>
      <x:c r="C2537" t="e">
        <x:f>HYPERLINK("https://belberrycrm.bitrix24.ru/crm/deal/details/21024/","https://belberrycrm.bitrix24.ru/crm/deal/details/21024/")</x:f>
      </x:c>
      <x:c r="D2537" t="str">
        <x:v>Реанимация</x:v>
      </x:c>
      <x:c r="E2537" t="str">
        <x:v>ЛИДЫ: Отвалы</x:v>
      </x:c>
      <x:c r="F2537" t="str">
        <x:v>Александр Голядкин</x:v>
      </x:c>
      <x:c r="G2537" t="str">
        <x:v>нет</x:v>
      </x:c>
      <x:c r="H2537" t="str">
        <x:v>нет</x:v>
      </x:c>
    </x:row>
    <x:row r="2538">
      <x:c r="A2538" t="str">
        <x:v>21026</x:v>
      </x:c>
      <x:c r="B2538" t="str">
        <x:v>Медцель.рф</x:v>
      </x:c>
      <x:c r="C2538" t="e">
        <x:f>HYPERLINK("https://belberrycrm.bitrix24.ru/crm/deal/details/21026/","https://belberrycrm.bitrix24.ru/crm/deal/details/21026/")</x:f>
      </x:c>
      <x:c r="D2538" t="str">
        <x:v>Реанимация</x:v>
      </x:c>
      <x:c r="E2538" t="str">
        <x:v>ЛИДЫ: Отвалы</x:v>
      </x:c>
      <x:c r="F2538" t="str">
        <x:v>Александр Голядкин</x:v>
      </x:c>
      <x:c r="G2538" t="str">
        <x:v>нет</x:v>
      </x:c>
      <x:c r="H2538" t="str">
        <x:v>нет</x:v>
      </x:c>
    </x:row>
    <x:row r="2539">
      <x:c r="A2539" t="str">
        <x:v>21028</x:v>
      </x:c>
      <x:c r="B2539" t="str">
        <x:v>kohinorstroy.ru</x:v>
      </x:c>
      <x:c r="C2539" t="e">
        <x:f>HYPERLINK("https://belberrycrm.bitrix24.ru/crm/deal/details/21028/","https://belberrycrm.bitrix24.ru/crm/deal/details/21028/")</x:f>
      </x:c>
      <x:c r="D2539" t="str">
        <x:v>Реанимация</x:v>
      </x:c>
      <x:c r="E2539" t="str">
        <x:v>ЛИДЫ: Отвалы</x:v>
      </x:c>
      <x:c r="F2539" t="str">
        <x:v>Дарья Исаева</x:v>
      </x:c>
      <x:c r="G2539" t="str">
        <x:v>да</x:v>
      </x:c>
      <x:c r="H2539" t="str">
        <x:v>нет</x:v>
      </x:c>
    </x:row>
    <x:row r="2540">
      <x:c r="A2540" t="str">
        <x:v>21030</x:v>
      </x:c>
      <x:c r="B2540" t="str">
        <x:v>articon-clinic.ru</x:v>
      </x:c>
      <x:c r="C2540" t="e">
        <x:f>HYPERLINK("https://belberrycrm.bitrix24.ru/crm/deal/details/21030/","https://belberrycrm.bitrix24.ru/crm/deal/details/21030/")</x:f>
      </x:c>
      <x:c r="D2540" t="str">
        <x:v>Реанимация</x:v>
      </x:c>
      <x:c r="E2540" t="str">
        <x:v>ЛИДЫ: Отвалы</x:v>
      </x:c>
      <x:c r="F2540" t="str">
        <x:v>Руслан Дмитриев</x:v>
      </x:c>
      <x:c r="G2540" t="str">
        <x:v>нет</x:v>
      </x:c>
      <x:c r="H2540" t="str">
        <x:v>нет</x:v>
      </x:c>
    </x:row>
    <x:row r="2541">
      <x:c r="A2541" t="str">
        <x:v>21038</x:v>
      </x:c>
      <x:c r="B2541" t="str">
        <x:v>zvktools.ru</x:v>
      </x:c>
      <x:c r="C2541" t="e">
        <x:f>HYPERLINK("https://belberrycrm.bitrix24.ru/crm/deal/details/21038/","https://belberrycrm.bitrix24.ru/crm/deal/details/21038/")</x:f>
      </x:c>
      <x:c r="D2541" t="str">
        <x:v>Реанимация</x:v>
      </x:c>
      <x:c r="E2541" t="str">
        <x:v>ЛИДЫ: Отвалы</x:v>
      </x:c>
      <x:c r="F2541" t="str">
        <x:v>Александр Голядкин</x:v>
      </x:c>
      <x:c r="G2541" t="str">
        <x:v>нет</x:v>
      </x:c>
      <x:c r="H2541" t="str">
        <x:v>нет</x:v>
      </x:c>
    </x:row>
    <x:row r="2542">
      <x:c r="A2542" t="str">
        <x:v>21040</x:v>
      </x:c>
      <x:c r="B2542" t="str">
        <x:v>v3me.ru</x:v>
      </x:c>
      <x:c r="C2542" t="e">
        <x:f>HYPERLINK("https://belberrycrm.bitrix24.ru/crm/deal/details/21040/","https://belberrycrm.bitrix24.ru/crm/deal/details/21040/")</x:f>
      </x:c>
      <x:c r="D2542" t="str">
        <x:v>Реанимация</x:v>
      </x:c>
      <x:c r="E2542" t="str">
        <x:v>ЛИДЫ: Отвалы</x:v>
      </x:c>
      <x:c r="F2542" t="str">
        <x:v>Александр Голядкин</x:v>
      </x:c>
      <x:c r="G2542" t="str">
        <x:v>нет</x:v>
      </x:c>
      <x:c r="H2542" t="str">
        <x:v>нет</x:v>
      </x:c>
    </x:row>
    <x:row r="2543">
      <x:c r="A2543" t="str">
        <x:v>21044</x:v>
      </x:c>
      <x:c r="B2543" t="str">
        <x:v>postium.ru</x:v>
      </x:c>
      <x:c r="C2543" t="e">
        <x:f>HYPERLINK("https://belberrycrm.bitrix24.ru/crm/deal/details/21044/","https://belberrycrm.bitrix24.ru/crm/deal/details/21044/")</x:f>
      </x:c>
      <x:c r="D2543" t="str">
        <x:v>Реанимация</x:v>
      </x:c>
      <x:c r="E2543" t="str">
        <x:v>ЛИДЫ: Отвалы</x:v>
      </x:c>
      <x:c r="F2543" t="str">
        <x:v>Александр Голядкин</x:v>
      </x:c>
      <x:c r="G2543" t="str">
        <x:v>нет</x:v>
      </x:c>
      <x:c r="H2543" t="str">
        <x:v>нет</x:v>
      </x:c>
    </x:row>
    <x:row r="2544">
      <x:c r="A2544" t="str">
        <x:v>21054</x:v>
      </x:c>
      <x:c r="B2544" t="str">
        <x:v>sportres.ru</x:v>
      </x:c>
      <x:c r="C2544" t="e">
        <x:f>HYPERLINK("https://belberrycrm.bitrix24.ru/crm/deal/details/21054/","https://belberrycrm.bitrix24.ru/crm/deal/details/21054/")</x:f>
      </x:c>
      <x:c r="D2544" t="str">
        <x:v>Реанимация</x:v>
      </x:c>
      <x:c r="E2544" t="str">
        <x:v>ЛИДЫ: Отвалы</x:v>
      </x:c>
      <x:c r="F2544" t="str">
        <x:v>Александр Голядкин</x:v>
      </x:c>
      <x:c r="G2544" t="str">
        <x:v>нет</x:v>
      </x:c>
      <x:c r="H2544" t="str">
        <x:v>нет</x:v>
      </x:c>
    </x:row>
    <x:row r="2545">
      <x:c r="A2545" t="str">
        <x:v>21058</x:v>
      </x:c>
      <x:c r="B2545" t="str">
        <x:v>Panorama.ws</x:v>
      </x:c>
      <x:c r="C2545" t="e">
        <x:f>HYPERLINK("https://belberrycrm.bitrix24.ru/crm/deal/details/21058/","https://belberrycrm.bitrix24.ru/crm/deal/details/21058/")</x:f>
      </x:c>
      <x:c r="D2545" t="str">
        <x:v>Реанимация</x:v>
      </x:c>
      <x:c r="E2545" t="str">
        <x:v>ЛИДЫ: Отвалы</x:v>
      </x:c>
      <x:c r="F2545" t="str">
        <x:v>Александр Голядкин</x:v>
      </x:c>
      <x:c r="G2545" t="str">
        <x:v>нет</x:v>
      </x:c>
      <x:c r="H2545" t="str">
        <x:v>нет</x:v>
      </x:c>
    </x:row>
    <x:row r="2546">
      <x:c r="A2546" t="str">
        <x:v>21060</x:v>
      </x:c>
      <x:c r="B2546" t="str">
        <x:v>Salta.moscow</x:v>
      </x:c>
      <x:c r="C2546" t="e">
        <x:f>HYPERLINK("https://belberrycrm.bitrix24.ru/crm/deal/details/21060/","https://belberrycrm.bitrix24.ru/crm/deal/details/21060/")</x:f>
      </x:c>
      <x:c r="D2546" t="str">
        <x:v>Реанимация</x:v>
      </x:c>
      <x:c r="E2546" t="str">
        <x:v>ЛИДЫ: Отвалы</x:v>
      </x:c>
      <x:c r="F2546" t="str">
        <x:v>Александр Голядкин</x:v>
      </x:c>
      <x:c r="G2546" t="str">
        <x:v>нет</x:v>
      </x:c>
      <x:c r="H2546" t="str">
        <x:v>нет</x:v>
      </x:c>
    </x:row>
    <x:row r="2547">
      <x:c r="A2547" t="str">
        <x:v>21064</x:v>
      </x:c>
      <x:c r="B2547" t="str">
        <x:v>klinikaspini.ru</x:v>
      </x:c>
      <x:c r="C2547" t="e">
        <x:f>HYPERLINK("https://belberrycrm.bitrix24.ru/crm/deal/details/21064/","https://belberrycrm.bitrix24.ru/crm/deal/details/21064/")</x:f>
      </x:c>
      <x:c r="D2547" t="str">
        <x:v>Реанимация</x:v>
      </x:c>
      <x:c r="E2547" t="str">
        <x:v>ЛИДЫ: Отвалы</x:v>
      </x:c>
      <x:c r="F2547" t="str">
        <x:v>Дарья Исаева</x:v>
      </x:c>
      <x:c r="G2547" t="str">
        <x:v>нет</x:v>
      </x:c>
      <x:c r="H2547" t="str">
        <x:v>нет</x:v>
      </x:c>
    </x:row>
    <x:row r="2548">
      <x:c r="A2548" t="str">
        <x:v>21068</x:v>
      </x:c>
      <x:c r="B2548" t="str">
        <x:v>Slon-e.Ru</x:v>
      </x:c>
      <x:c r="C2548" t="e">
        <x:f>HYPERLINK("https://belberrycrm.bitrix24.ru/crm/deal/details/21068/","https://belberrycrm.bitrix24.ru/crm/deal/details/21068/")</x:f>
      </x:c>
      <x:c r="D2548" t="str">
        <x:v>Реанимация</x:v>
      </x:c>
      <x:c r="E2548" t="str">
        <x:v>ЛИДЫ: Отвалы</x:v>
      </x:c>
      <x:c r="F2548" t="str">
        <x:v>Александр Голядкин</x:v>
      </x:c>
      <x:c r="G2548" t="str">
        <x:v>нет</x:v>
      </x:c>
      <x:c r="H2548" t="str">
        <x:v>нет</x:v>
      </x:c>
    </x:row>
    <x:row r="2549">
      <x:c r="A2549" t="str">
        <x:v>21072</x:v>
      </x:c>
      <x:c r="B2549" t="str">
        <x:v>Кирилл (Салон лазерной эпиляции)</x:v>
      </x:c>
      <x:c r="C2549" t="e">
        <x:f>HYPERLINK("https://belberrycrm.bitrix24.ru/crm/deal/details/21072/","https://belberrycrm.bitrix24.ru/crm/deal/details/21072/")</x:f>
      </x:c>
      <x:c r="D2549" t="str">
        <x:v>Реанимация</x:v>
      </x:c>
      <x:c r="E2549" t="str">
        <x:v>ЛИДЫ: Отвалы</x:v>
      </x:c>
      <x:c r="F2549" t="str">
        <x:v>Дарья Исаева</x:v>
      </x:c>
      <x:c r="G2549" t="str">
        <x:v>нет</x:v>
      </x:c>
      <x:c r="H2549" t="str">
        <x:v>нет</x:v>
      </x:c>
    </x:row>
    <x:row r="2550">
      <x:c r="A2550" t="str">
        <x:v>21076</x:v>
      </x:c>
      <x:c r="B2550" t="str">
        <x:v>docmaximova.ru</x:v>
      </x:c>
      <x:c r="C2550" t="e">
        <x:f>HYPERLINK("https://belberrycrm.bitrix24.ru/crm/deal/details/21076/","https://belberrycrm.bitrix24.ru/crm/deal/details/21076/")</x:f>
      </x:c>
      <x:c r="D2550" t="str">
        <x:v>Реанимация</x:v>
      </x:c>
      <x:c r="E2550" t="str">
        <x:v>ЛИДЫ: Отвалы</x:v>
      </x:c>
      <x:c r="F2550" t="str">
        <x:v>Руслан Дмитриев</x:v>
      </x:c>
      <x:c r="G2550" t="str">
        <x:v>да</x:v>
      </x:c>
      <x:c r="H2550" t="str">
        <x:v>нет</x:v>
      </x:c>
    </x:row>
    <x:row r="2551">
      <x:c r="A2551" t="str">
        <x:v>21080</x:v>
      </x:c>
      <x:c r="B2551" t="str">
        <x:v>gorclinica.ru</x:v>
      </x:c>
      <x:c r="C2551" t="e">
        <x:f>HYPERLINK("https://belberrycrm.bitrix24.ru/crm/deal/details/21080/","https://belberrycrm.bitrix24.ru/crm/deal/details/21080/")</x:f>
      </x:c>
      <x:c r="D2551" t="str">
        <x:v>Реанимация</x:v>
      </x:c>
      <x:c r="E2551" t="str">
        <x:v>ЛИДЫ: Отвалы</x:v>
      </x:c>
      <x:c r="F2551" t="str">
        <x:v>Александр Голядкин</x:v>
      </x:c>
      <x:c r="G2551" t="str">
        <x:v>нет</x:v>
      </x:c>
      <x:c r="H2551" t="str">
        <x:v>нет</x:v>
      </x:c>
    </x:row>
    <x:row r="2552">
      <x:c r="A2552" t="str">
        <x:v>21082</x:v>
      </x:c>
      <x:c r="B2552" t="str">
        <x:v>blagoclinic.ru</x:v>
      </x:c>
      <x:c r="C2552" t="e">
        <x:f>HYPERLINK("https://belberrycrm.bitrix24.ru/crm/deal/details/21082/","https://belberrycrm.bitrix24.ru/crm/deal/details/21082/")</x:f>
      </x:c>
      <x:c r="D2552" t="str">
        <x:v>Реанимация</x:v>
      </x:c>
      <x:c r="E2552" t="str">
        <x:v>ЛИДЫ: Отвалы</x:v>
      </x:c>
      <x:c r="F2552" t="str">
        <x:v>Александр Голядкин</x:v>
      </x:c>
      <x:c r="G2552" t="str">
        <x:v>нет</x:v>
      </x:c>
      <x:c r="H2552" t="str">
        <x:v>нет</x:v>
      </x:c>
    </x:row>
    <x:row r="2553">
      <x:c r="A2553" t="str">
        <x:v>21084</x:v>
      </x:c>
      <x:c r="B2553" t="str">
        <x:v>cmdshelepiha.ru</x:v>
      </x:c>
      <x:c r="C2553" t="e">
        <x:f>HYPERLINK("https://belberrycrm.bitrix24.ru/crm/deal/details/21084/","https://belberrycrm.bitrix24.ru/crm/deal/details/21084/")</x:f>
      </x:c>
      <x:c r="D2553" t="str">
        <x:v>Реанимация</x:v>
      </x:c>
      <x:c r="E2553" t="str">
        <x:v>ЛИДЫ: Отвалы</x:v>
      </x:c>
      <x:c r="F2553" t="str">
        <x:v>Дарья Исаева</x:v>
      </x:c>
      <x:c r="G2553" t="str">
        <x:v>нет</x:v>
      </x:c>
      <x:c r="H2553" t="str">
        <x:v>нет</x:v>
      </x:c>
    </x:row>
    <x:row r="2554">
      <x:c r="A2554" t="str">
        <x:v>21086</x:v>
      </x:c>
      <x:c r="B2554" t="str">
        <x:v>kosmetologmsk.ru</x:v>
      </x:c>
      <x:c r="C2554" t="e">
        <x:f>HYPERLINK("https://belberrycrm.bitrix24.ru/crm/deal/details/21086/","https://belberrycrm.bitrix24.ru/crm/deal/details/21086/")</x:f>
      </x:c>
      <x:c r="D2554" t="str">
        <x:v>Реанимация</x:v>
      </x:c>
      <x:c r="E2554" t="str">
        <x:v>ЛИДЫ: Отвалы</x:v>
      </x:c>
      <x:c r="F2554" t="str">
        <x:v>Александр Голядкин</x:v>
      </x:c>
      <x:c r="G2554" t="str">
        <x:v>нет</x:v>
      </x:c>
      <x:c r="H2554" t="str">
        <x:v>нет</x:v>
      </x:c>
    </x:row>
    <x:row r="2555">
      <x:c r="A2555" t="str">
        <x:v>21088</x:v>
      </x:c>
      <x:c r="B2555" t="str">
        <x:v>ООО Сектор</x:v>
      </x:c>
      <x:c r="C2555" t="e">
        <x:f>HYPERLINK("https://belberrycrm.bitrix24.ru/crm/deal/details/21088/","https://belberrycrm.bitrix24.ru/crm/deal/details/21088/")</x:f>
      </x:c>
      <x:c r="D2555" t="str">
        <x:v>Реанимация</x:v>
      </x:c>
      <x:c r="E2555" t="str">
        <x:v>ЛИДЫ: Отвалы</x:v>
      </x:c>
      <x:c r="F2555" t="str">
        <x:v>Александр Голядкин</x:v>
      </x:c>
      <x:c r="G2555" t="str">
        <x:v>да</x:v>
      </x:c>
      <x:c r="H2555" t="str">
        <x:v>нет</x:v>
      </x:c>
    </x:row>
    <x:row r="2556">
      <x:c r="A2556" t="str">
        <x:v>21090</x:v>
      </x:c>
      <x:c r="B2556" t="str">
        <x:v>stom-desna.ru</x:v>
      </x:c>
      <x:c r="C2556" t="e">
        <x:f>HYPERLINK("https://belberrycrm.bitrix24.ru/crm/deal/details/21090/","https://belberrycrm.bitrix24.ru/crm/deal/details/21090/")</x:f>
      </x:c>
      <x:c r="D2556" t="str">
        <x:v>Реанимация</x:v>
      </x:c>
      <x:c r="E2556" t="str">
        <x:v>ЛИДЫ: Отвалы</x:v>
      </x:c>
      <x:c r="F2556" t="str">
        <x:v>Александр Голядкин</x:v>
      </x:c>
      <x:c r="G2556" t="str">
        <x:v>нет</x:v>
      </x:c>
      <x:c r="H2556" t="str">
        <x:v>нет</x:v>
      </x:c>
    </x:row>
    <x:row r="2557">
      <x:c r="A2557" t="str">
        <x:v>21092</x:v>
      </x:c>
      <x:c r="B2557" t="str">
        <x:v>Мета Медика</x:v>
      </x:c>
      <x:c r="C2557" t="e">
        <x:f>HYPERLINK("https://belberrycrm.bitrix24.ru/crm/deal/details/21092/","https://belberrycrm.bitrix24.ru/crm/deal/details/21092/")</x:f>
      </x:c>
      <x:c r="D2557" t="str">
        <x:v>Реанимация</x:v>
      </x:c>
      <x:c r="E2557" t="str">
        <x:v>ЛИДЫ: Отвалы</x:v>
      </x:c>
      <x:c r="F2557" t="str">
        <x:v>Петр Дудин</x:v>
      </x:c>
      <x:c r="G2557" t="str">
        <x:v>да</x:v>
      </x:c>
      <x:c r="H2557" t="str">
        <x:v>нет</x:v>
      </x:c>
    </x:row>
    <x:row r="2558">
      <x:c r="A2558" t="str">
        <x:v>21100</x:v>
      </x:c>
      <x:c r="B2558" t="str">
        <x:v>shalerus.com</x:v>
      </x:c>
      <x:c r="C2558" t="e">
        <x:f>HYPERLINK("https://belberrycrm.bitrix24.ru/crm/deal/details/21100/","https://belberrycrm.bitrix24.ru/crm/deal/details/21100/")</x:f>
      </x:c>
      <x:c r="D2558" t="str">
        <x:v>Реанимация</x:v>
      </x:c>
      <x:c r="E2558" t="str">
        <x:v>ЛИДЫ: Отвалы</x:v>
      </x:c>
      <x:c r="F2558" t="str">
        <x:v>Александр Голядкин</x:v>
      </x:c>
      <x:c r="G2558" t="str">
        <x:v>нет</x:v>
      </x:c>
      <x:c r="H2558" t="str">
        <x:v>нет</x:v>
      </x:c>
    </x:row>
    <x:row r="2559">
      <x:c r="A2559" t="str">
        <x:v>21106</x:v>
      </x:c>
      <x:c r="B2559" t="str">
        <x:v>Доктор Преображенский</x:v>
      </x:c>
      <x:c r="C2559" t="e">
        <x:f>HYPERLINK("https://belberrycrm.bitrix24.ru/crm/deal/details/21106/","https://belberrycrm.bitrix24.ru/crm/deal/details/21106/")</x:f>
      </x:c>
      <x:c r="D2559" t="str">
        <x:v>Реанимация</x:v>
      </x:c>
      <x:c r="E2559" t="str">
        <x:v>ЛИДЫ: Отвалы</x:v>
      </x:c>
      <x:c r="F2559" t="str">
        <x:v>Александр Голядкин</x:v>
      </x:c>
      <x:c r="G2559" t="str">
        <x:v>да</x:v>
      </x:c>
      <x:c r="H2559" t="str">
        <x:v>нет</x:v>
      </x:c>
    </x:row>
    <x:row r="2560">
      <x:c r="A2560" t="str">
        <x:v>21112</x:v>
      </x:c>
      <x:c r="B2560" t="str">
        <x:v>podnebom.camp</x:v>
      </x:c>
      <x:c r="C2560" t="e">
        <x:f>HYPERLINK("https://belberrycrm.bitrix24.ru/crm/deal/details/21112/","https://belberrycrm.bitrix24.ru/crm/deal/details/21112/")</x:f>
      </x:c>
      <x:c r="D2560" t="str">
        <x:v>Реанимация</x:v>
      </x:c>
      <x:c r="E2560" t="str">
        <x:v>ЛИДЫ: Отвалы</x:v>
      </x:c>
      <x:c r="F2560" t="str">
        <x:v>Александр Голядкин</x:v>
      </x:c>
      <x:c r="G2560" t="str">
        <x:v>нет</x:v>
      </x:c>
      <x:c r="H2560" t="str">
        <x:v>нет</x:v>
      </x:c>
    </x:row>
    <x:row r="2561">
      <x:c r="A2561" t="str">
        <x:v>21114</x:v>
      </x:c>
      <x:c r="B2561" t="str">
        <x:v>zubkivsem.ru</x:v>
      </x:c>
      <x:c r="C2561" t="e">
        <x:f>HYPERLINK("https://belberrycrm.bitrix24.ru/crm/deal/details/21114/","https://belberrycrm.bitrix24.ru/crm/deal/details/21114/")</x:f>
      </x:c>
      <x:c r="D2561" t="str">
        <x:v>Реанимация</x:v>
      </x:c>
      <x:c r="E2561" t="str">
        <x:v>ЛИДЫ: Отвалы</x:v>
      </x:c>
      <x:c r="F2561" t="str">
        <x:v>Александр Голядкин</x:v>
      </x:c>
      <x:c r="G2561" t="str">
        <x:v>нет</x:v>
      </x:c>
      <x:c r="H2561" t="str">
        <x:v>нет</x:v>
      </x:c>
    </x:row>
    <x:row r="2562">
      <x:c r="A2562" t="str">
        <x:v>21128</x:v>
      </x:c>
      <x:c r="B2562" t="str">
        <x:v>bravodent.ru</x:v>
      </x:c>
      <x:c r="C2562" t="e">
        <x:f>HYPERLINK("https://belberrycrm.bitrix24.ru/crm/deal/details/21128/","https://belberrycrm.bitrix24.ru/crm/deal/details/21128/")</x:f>
      </x:c>
      <x:c r="D2562" t="str">
        <x:v>Реанимация</x:v>
      </x:c>
      <x:c r="E2562" t="str">
        <x:v>ЛИДЫ: Отвалы</x:v>
      </x:c>
      <x:c r="F2562" t="str">
        <x:v>Александр Голядкин</x:v>
      </x:c>
      <x:c r="G2562" t="str">
        <x:v>нет</x:v>
      </x:c>
      <x:c r="H2562" t="str">
        <x:v>нет</x:v>
      </x:c>
    </x:row>
    <x:row r="2563">
      <x:c r="A2563" t="str">
        <x:v>21136</x:v>
      </x:c>
      <x:c r="B2563" t="str">
        <x:v>itaka.spb.ru</x:v>
      </x:c>
      <x:c r="C2563" t="e">
        <x:f>HYPERLINK("https://belberrycrm.bitrix24.ru/crm/deal/details/21136/","https://belberrycrm.bitrix24.ru/crm/deal/details/21136/")</x:f>
      </x:c>
      <x:c r="D2563" t="str">
        <x:v>Реанимация</x:v>
      </x:c>
      <x:c r="E2563" t="str">
        <x:v>ЛИДЫ: Отвалы</x:v>
      </x:c>
      <x:c r="F2563" t="str">
        <x:v>Аркадий Вострецов</x:v>
      </x:c>
      <x:c r="G2563" t="str">
        <x:v>нет</x:v>
      </x:c>
      <x:c r="H2563" t="str">
        <x:v>нет</x:v>
      </x:c>
    </x:row>
    <x:row r="2564">
      <x:c r="A2564" t="str">
        <x:v>21140</x:v>
      </x:c>
      <x:c r="B2564" t="str">
        <x:v>valencia-spb.ru</x:v>
      </x:c>
      <x:c r="C2564" t="e">
        <x:f>HYPERLINK("https://belberrycrm.bitrix24.ru/crm/deal/details/21140/","https://belberrycrm.bitrix24.ru/crm/deal/details/21140/")</x:f>
      </x:c>
      <x:c r="D2564" t="str">
        <x:v>Реанимация</x:v>
      </x:c>
      <x:c r="E2564" t="str">
        <x:v>ЛИДЫ: Отвалы</x:v>
      </x:c>
      <x:c r="F2564" t="str">
        <x:v>Александр Голядкин</x:v>
      </x:c>
      <x:c r="G2564" t="str">
        <x:v>да</x:v>
      </x:c>
      <x:c r="H2564" t="str">
        <x:v>нет</x:v>
      </x:c>
    </x:row>
    <x:row r="2565">
      <x:c r="A2565" t="str">
        <x:v>21150</x:v>
      </x:c>
      <x:c r="B2565" t="str">
        <x:v>tg-russia.com</x:v>
      </x:c>
      <x:c r="C2565" t="e">
        <x:f>HYPERLINK("https://belberrycrm.bitrix24.ru/crm/deal/details/21150/","https://belberrycrm.bitrix24.ru/crm/deal/details/21150/")</x:f>
      </x:c>
      <x:c r="D2565" t="str">
        <x:v>Реанимация</x:v>
      </x:c>
      <x:c r="E2565" t="str">
        <x:v>ЛИДЫ: Отвалы</x:v>
      </x:c>
      <x:c r="F2565" t="str">
        <x:v>Александр Голядкин</x:v>
      </x:c>
      <x:c r="G2565" t="str">
        <x:v>нет</x:v>
      </x:c>
      <x:c r="H2565" t="str">
        <x:v>нет</x:v>
      </x:c>
    </x:row>
    <x:row r="2566">
      <x:c r="A2566" t="str">
        <x:v>21152</x:v>
      </x:c>
      <x:c r="B2566" t="str">
        <x:v>st-moskva.ru</x:v>
      </x:c>
      <x:c r="C2566" t="e">
        <x:f>HYPERLINK("https://belberrycrm.bitrix24.ru/crm/deal/details/21152/","https://belberrycrm.bitrix24.ru/crm/deal/details/21152/")</x:f>
      </x:c>
      <x:c r="D2566" t="str">
        <x:v>Реанимация</x:v>
      </x:c>
      <x:c r="E2566" t="str">
        <x:v>ЛИДЫ: Отвалы</x:v>
      </x:c>
      <x:c r="F2566" t="str">
        <x:v>Александр Голядкин</x:v>
      </x:c>
      <x:c r="G2566" t="str">
        <x:v>нет</x:v>
      </x:c>
      <x:c r="H2566" t="str">
        <x:v>нет</x:v>
      </x:c>
    </x:row>
    <x:row r="2567">
      <x:c r="A2567" t="str">
        <x:v>21168</x:v>
      </x:c>
      <x:c r="B2567" t="str">
        <x:v>refservice.ru</x:v>
      </x:c>
      <x:c r="C2567" t="e">
        <x:f>HYPERLINK("https://belberrycrm.bitrix24.ru/crm/deal/details/21168/","https://belberrycrm.bitrix24.ru/crm/deal/details/21168/")</x:f>
      </x:c>
      <x:c r="D2567" t="str">
        <x:v>Реанимация</x:v>
      </x:c>
      <x:c r="E2567" t="str">
        <x:v>ЛИДЫ: Отвалы</x:v>
      </x:c>
      <x:c r="F2567" t="str">
        <x:v>Александр Голядкин</x:v>
      </x:c>
      <x:c r="G2567" t="str">
        <x:v>нет</x:v>
      </x:c>
      <x:c r="H2567" t="str">
        <x:v>нет</x:v>
      </x:c>
    </x:row>
    <x:row r="2568">
      <x:c r="A2568" t="str">
        <x:v>21170</x:v>
      </x:c>
      <x:c r="B2568" t="str">
        <x:v>sofos.ru</x:v>
      </x:c>
      <x:c r="C2568" t="e">
        <x:f>HYPERLINK("https://belberrycrm.bitrix24.ru/crm/deal/details/21170/","https://belberrycrm.bitrix24.ru/crm/deal/details/21170/")</x:f>
      </x:c>
      <x:c r="D2568" t="str">
        <x:v>Реанимация</x:v>
      </x:c>
      <x:c r="E2568" t="str">
        <x:v>ЛИДЫ: Отвалы</x:v>
      </x:c>
      <x:c r="F2568" t="str">
        <x:v>Александр Голядкин</x:v>
      </x:c>
      <x:c r="G2568" t="str">
        <x:v>нет</x:v>
      </x:c>
      <x:c r="H2568" t="str">
        <x:v>нет</x:v>
      </x:c>
    </x:row>
    <x:row r="2569">
      <x:c r="A2569" t="str">
        <x:v>21174</x:v>
      </x:c>
      <x:c r="B2569" t="str">
        <x:v>urprofit.ru</x:v>
      </x:c>
      <x:c r="C2569" t="e">
        <x:f>HYPERLINK("https://belberrycrm.bitrix24.ru/crm/deal/details/21174/","https://belberrycrm.bitrix24.ru/crm/deal/details/21174/")</x:f>
      </x:c>
      <x:c r="D2569" t="str">
        <x:v>Реанимация</x:v>
      </x:c>
      <x:c r="E2569" t="str">
        <x:v>ЛИДЫ: Отвалы</x:v>
      </x:c>
      <x:c r="F2569" t="str">
        <x:v>Александр Голядкин</x:v>
      </x:c>
      <x:c r="G2569" t="str">
        <x:v>нет</x:v>
      </x:c>
      <x:c r="H2569" t="str">
        <x:v>нет</x:v>
      </x:c>
    </x:row>
    <x:row r="2570">
      <x:c r="A2570" t="str">
        <x:v>21180</x:v>
      </x:c>
      <x:c r="B2570" t="str">
        <x:v>tropichouse.ru</x:v>
      </x:c>
      <x:c r="C2570" t="e">
        <x:f>HYPERLINK("https://belberrycrm.bitrix24.ru/crm/deal/details/21180/","https://belberrycrm.bitrix24.ru/crm/deal/details/21180/")</x:f>
      </x:c>
      <x:c r="D2570" t="str">
        <x:v>Реанимация</x:v>
      </x:c>
      <x:c r="E2570" t="str">
        <x:v>ЛИДЫ: Отвалы</x:v>
      </x:c>
      <x:c r="F2570" t="str">
        <x:v>Евгения Гордиенко</x:v>
      </x:c>
      <x:c r="G2570" t="str">
        <x:v>да</x:v>
      </x:c>
      <x:c r="H2570" t="str">
        <x:v>нет</x:v>
      </x:c>
    </x:row>
    <x:row r="2571">
      <x:c r="A2571" t="str">
        <x:v>21182</x:v>
      </x:c>
      <x:c r="B2571" t="str">
        <x:v>woodfun.ru</x:v>
      </x:c>
      <x:c r="C2571" t="e">
        <x:f>HYPERLINK("https://belberrycrm.bitrix24.ru/crm/deal/details/21182/","https://belberrycrm.bitrix24.ru/crm/deal/details/21182/")</x:f>
      </x:c>
      <x:c r="D2571" t="str">
        <x:v>Реанимация</x:v>
      </x:c>
      <x:c r="E2571" t="str">
        <x:v>ЛИДЫ: Отвалы</x:v>
      </x:c>
      <x:c r="F2571" t="str">
        <x:v>Мария Ус</x:v>
      </x:c>
      <x:c r="G2571" t="str">
        <x:v>нет</x:v>
      </x:c>
      <x:c r="H2571" t="str">
        <x:v>нет</x:v>
      </x:c>
    </x:row>
    <x:row r="2572">
      <x:c r="A2572" t="str">
        <x:v>21200</x:v>
      </x:c>
      <x:c r="B2572" t="str">
        <x:v>sroprp.ru</x:v>
      </x:c>
      <x:c r="C2572" t="e">
        <x:f>HYPERLINK("https://belberrycrm.bitrix24.ru/crm/deal/details/21200/","https://belberrycrm.bitrix24.ru/crm/deal/details/21200/")</x:f>
      </x:c>
      <x:c r="D2572" t="str">
        <x:v>Реанимация</x:v>
      </x:c>
      <x:c r="E2572" t="str">
        <x:v>ЛИДЫ: Отвалы</x:v>
      </x:c>
      <x:c r="F2572" t="str">
        <x:v>Екатерина Кохтачева</x:v>
      </x:c>
      <x:c r="G2572" t="str">
        <x:v>нет</x:v>
      </x:c>
      <x:c r="H2572" t="str">
        <x:v>нет</x:v>
      </x:c>
    </x:row>
    <x:row r="2573">
      <x:c r="A2573" t="str">
        <x:v>21202</x:v>
      </x:c>
      <x:c r="B2573" t="str">
        <x:v>renovir.ru</x:v>
      </x:c>
      <x:c r="C2573" t="e">
        <x:f>HYPERLINK("https://belberrycrm.bitrix24.ru/crm/deal/details/21202/","https://belberrycrm.bitrix24.ru/crm/deal/details/21202/")</x:f>
      </x:c>
      <x:c r="D2573" t="str">
        <x:v>Реанимация</x:v>
      </x:c>
      <x:c r="E2573" t="str">
        <x:v>ЛИДЫ: Отвалы</x:v>
      </x:c>
      <x:c r="F2573" t="str">
        <x:v>Александр Голядкин</x:v>
      </x:c>
      <x:c r="G2573" t="str">
        <x:v>нет</x:v>
      </x:c>
      <x:c r="H2573" t="str">
        <x:v>нет</x:v>
      </x:c>
    </x:row>
    <x:row r="2574">
      <x:c r="A2574" t="str">
        <x:v>21204</x:v>
      </x:c>
      <x:c r="B2574" t="str">
        <x:v>medongroup-lub.ru</x:v>
      </x:c>
      <x:c r="C2574" t="e">
        <x:f>HYPERLINK("https://belberrycrm.bitrix24.ru/crm/deal/details/21204/","https://belberrycrm.bitrix24.ru/crm/deal/details/21204/")</x:f>
      </x:c>
      <x:c r="D2574" t="str">
        <x:v>Реанимация</x:v>
      </x:c>
      <x:c r="E2574" t="str">
        <x:v>ЛИДЫ: Отвалы</x:v>
      </x:c>
      <x:c r="F2574" t="str">
        <x:v>Александр Голядкин</x:v>
      </x:c>
      <x:c r="G2574" t="str">
        <x:v>нет</x:v>
      </x:c>
      <x:c r="H2574" t="str">
        <x:v>нет</x:v>
      </x:c>
    </x:row>
    <x:row r="2575">
      <x:c r="A2575" t="str">
        <x:v>21206</x:v>
      </x:c>
      <x:c r="B2575" t="str">
        <x:v>brightsideclinic.ru</x:v>
      </x:c>
      <x:c r="C2575" t="e">
        <x:f>HYPERLINK("https://belberrycrm.bitrix24.ru/crm/deal/details/21206/","https://belberrycrm.bitrix24.ru/crm/deal/details/21206/")</x:f>
      </x:c>
      <x:c r="D2575" t="str">
        <x:v>Реанимация</x:v>
      </x:c>
      <x:c r="E2575" t="str">
        <x:v>ЛИДЫ: Отвалы</x:v>
      </x:c>
      <x:c r="F2575" t="str">
        <x:v>Дарья Исаева</x:v>
      </x:c>
      <x:c r="G2575" t="str">
        <x:v>нет</x:v>
      </x:c>
      <x:c r="H2575" t="str">
        <x:v>нет</x:v>
      </x:c>
    </x:row>
    <x:row r="2576">
      <x:c r="A2576" t="str">
        <x:v>21208</x:v>
      </x:c>
      <x:c r="B2576" t="str">
        <x:v>drpanteleeva.ru</x:v>
      </x:c>
      <x:c r="C2576" t="e">
        <x:f>HYPERLINK("https://belberrycrm.bitrix24.ru/crm/deal/details/21208/","https://belberrycrm.bitrix24.ru/crm/deal/details/21208/")</x:f>
      </x:c>
      <x:c r="D2576" t="str">
        <x:v>Реанимация</x:v>
      </x:c>
      <x:c r="E2576" t="str">
        <x:v>ЛИДЫ: Отвалы</x:v>
      </x:c>
      <x:c r="F2576" t="str">
        <x:v>Александр Голядкин</x:v>
      </x:c>
      <x:c r="G2576" t="str">
        <x:v>да</x:v>
      </x:c>
      <x:c r="H2576" t="str">
        <x:v>нет</x:v>
      </x:c>
    </x:row>
    <x:row r="2577">
      <x:c r="A2577" t="str">
        <x:v>21214</x:v>
      </x:c>
      <x:c r="B2577" t="str">
        <x:v>Стаялюпина.рф</x:v>
      </x:c>
      <x:c r="C2577" t="e">
        <x:f>HYPERLINK("https://belberrycrm.bitrix24.ru/crm/deal/details/21214/","https://belberrycrm.bitrix24.ru/crm/deal/details/21214/")</x:f>
      </x:c>
      <x:c r="D2577" t="str">
        <x:v>Реанимация</x:v>
      </x:c>
      <x:c r="E2577" t="str">
        <x:v>ЛИДЫ: Отвалы</x:v>
      </x:c>
      <x:c r="F2577" t="str">
        <x:v>Екатерина Кохтачева</x:v>
      </x:c>
      <x:c r="G2577" t="str">
        <x:v>да</x:v>
      </x:c>
      <x:c r="H2577" t="str">
        <x:v>нет</x:v>
      </x:c>
    </x:row>
    <x:row r="2578">
      <x:c r="A2578" t="str">
        <x:v>21218</x:v>
      </x:c>
      <x:c r="B2578" t="str">
        <x:v>Биоиндмед</x:v>
      </x:c>
      <x:c r="C2578" t="e">
        <x:f>HYPERLINK("https://belberrycrm.bitrix24.ru/crm/deal/details/21218/","https://belberrycrm.bitrix24.ru/crm/deal/details/21218/")</x:f>
      </x:c>
      <x:c r="D2578" t="str">
        <x:v>Реанимация</x:v>
      </x:c>
      <x:c r="E2578" t="str">
        <x:v>ЛИДЫ: Отвалы</x:v>
      </x:c>
      <x:c r="F2578" t="str">
        <x:v>Александр Голядкин</x:v>
      </x:c>
      <x:c r="G2578" t="str">
        <x:v>нет</x:v>
      </x:c>
      <x:c r="H2578" t="str">
        <x:v>нет</x:v>
      </x:c>
    </x:row>
    <x:row r="2579">
      <x:c r="A2579" t="str">
        <x:v>21220</x:v>
      </x:c>
      <x:c r="B2579" t="str">
        <x:v>siuhov.ru</x:v>
      </x:c>
      <x:c r="C2579" t="e">
        <x:f>HYPERLINK("https://belberrycrm.bitrix24.ru/crm/deal/details/21220/","https://belberrycrm.bitrix24.ru/crm/deal/details/21220/")</x:f>
      </x:c>
      <x:c r="D2579" t="str">
        <x:v>Реанимация</x:v>
      </x:c>
      <x:c r="E2579" t="str">
        <x:v>ЛИДЫ: Отвалы</x:v>
      </x:c>
      <x:c r="F2579" t="str">
        <x:v>Александр Голядкин</x:v>
      </x:c>
      <x:c r="G2579" t="str">
        <x:v>нет</x:v>
      </x:c>
      <x:c r="H2579" t="str">
        <x:v>нет</x:v>
      </x:c>
    </x:row>
    <x:row r="2580">
      <x:c r="A2580" t="str">
        <x:v>21222</x:v>
      </x:c>
      <x:c r="B2580" t="str">
        <x:v>drsukhova.com</x:v>
      </x:c>
      <x:c r="C2580" t="e">
        <x:f>HYPERLINK("https://belberrycrm.bitrix24.ru/crm/deal/details/21222/","https://belberrycrm.bitrix24.ru/crm/deal/details/21222/")</x:f>
      </x:c>
      <x:c r="D2580" t="str">
        <x:v>Реанимация</x:v>
      </x:c>
      <x:c r="E2580" t="str">
        <x:v>ЛИДЫ: Отвалы</x:v>
      </x:c>
      <x:c r="F2580" t="str">
        <x:v>Дарья Исаева</x:v>
      </x:c>
      <x:c r="G2580" t="str">
        <x:v>нет</x:v>
      </x:c>
      <x:c r="H2580" t="str">
        <x:v>нет</x:v>
      </x:c>
    </x:row>
    <x:row r="2581">
      <x:c r="A2581" t="str">
        <x:v>21226</x:v>
      </x:c>
      <x:c r="B2581" t="str">
        <x:v>labprestige.com</x:v>
      </x:c>
      <x:c r="C2581" t="e">
        <x:f>HYPERLINK("https://belberrycrm.bitrix24.ru/crm/deal/details/21226/","https://belberrycrm.bitrix24.ru/crm/deal/details/21226/")</x:f>
      </x:c>
      <x:c r="D2581" t="str">
        <x:v>Реанимация</x:v>
      </x:c>
      <x:c r="E2581" t="str">
        <x:v>ЛИДЫ: Отвалы</x:v>
      </x:c>
      <x:c r="F2581" t="str">
        <x:v>Александр Голядкин</x:v>
      </x:c>
      <x:c r="G2581" t="str">
        <x:v>нет</x:v>
      </x:c>
      <x:c r="H2581" t="str">
        <x:v>нет</x:v>
      </x:c>
    </x:row>
    <x:row r="2582">
      <x:c r="A2582" t="str">
        <x:v>21228</x:v>
      </x:c>
      <x:c r="B2582" t="str">
        <x:v>daryadent.ru</x:v>
      </x:c>
      <x:c r="C2582" t="e">
        <x:f>HYPERLINK("https://belberrycrm.bitrix24.ru/crm/deal/details/21228/","https://belberrycrm.bitrix24.ru/crm/deal/details/21228/")</x:f>
      </x:c>
      <x:c r="D2582" t="str">
        <x:v>Реанимация</x:v>
      </x:c>
      <x:c r="E2582" t="str">
        <x:v>ЛИДЫ: Отвалы</x:v>
      </x:c>
      <x:c r="F2582" t="str">
        <x:v>Александр Голядкин</x:v>
      </x:c>
      <x:c r="G2582" t="str">
        <x:v>нет</x:v>
      </x:c>
      <x:c r="H2582" t="str">
        <x:v>нет</x:v>
      </x:c>
    </x:row>
    <x:row r="2583">
      <x:c r="A2583" t="str">
        <x:v>21234</x:v>
      </x:c>
      <x:c r="B2583" t="str">
        <x:v>vasilevkulagin.com</x:v>
      </x:c>
      <x:c r="C2583" t="e">
        <x:f>HYPERLINK("https://belberrycrm.bitrix24.ru/crm/deal/details/21234/","https://belberrycrm.bitrix24.ru/crm/deal/details/21234/")</x:f>
      </x:c>
      <x:c r="D2583" t="str">
        <x:v>Реанимация</x:v>
      </x:c>
      <x:c r="E2583" t="str">
        <x:v>ЛИДЫ: Отвалы</x:v>
      </x:c>
      <x:c r="F2583" t="str">
        <x:v>Александр Голядкин</x:v>
      </x:c>
      <x:c r="G2583" t="str">
        <x:v>да</x:v>
      </x:c>
      <x:c r="H2583" t="str">
        <x:v>нет</x:v>
      </x:c>
    </x:row>
    <x:row r="2584">
      <x:c r="A2584" t="str">
        <x:v>21240</x:v>
      </x:c>
      <x:c r="B2584" t="str">
        <x:v>impladent-spb.ru</x:v>
      </x:c>
      <x:c r="C2584" t="e">
        <x:f>HYPERLINK("https://belberrycrm.bitrix24.ru/crm/deal/details/21240/","https://belberrycrm.bitrix24.ru/crm/deal/details/21240/")</x:f>
      </x:c>
      <x:c r="D2584" t="str">
        <x:v>Реанимация</x:v>
      </x:c>
      <x:c r="E2584" t="str">
        <x:v>ЛИДЫ: Отвалы</x:v>
      </x:c>
      <x:c r="F2584" t="str">
        <x:v>Александр Голядкин</x:v>
      </x:c>
      <x:c r="G2584" t="str">
        <x:v>нет</x:v>
      </x:c>
      <x:c r="H2584" t="str">
        <x:v>нет</x:v>
      </x:c>
    </x:row>
    <x:row r="2585">
      <x:c r="A2585" t="str">
        <x:v>21244</x:v>
      </x:c>
      <x:c r="B2585" t="str">
        <x:v>Егор Вход Разработка сайта</x:v>
      </x:c>
      <x:c r="C2585" t="e">
        <x:f>HYPERLINK("https://belberrycrm.bitrix24.ru/crm/deal/details/21244/","https://belberrycrm.bitrix24.ru/crm/deal/details/21244/")</x:f>
      </x:c>
      <x:c r="D2585" t="str">
        <x:v>Реанимация</x:v>
      </x:c>
      <x:c r="E2585" t="str">
        <x:v>ЛИДЫ: Отвалы</x:v>
      </x:c>
      <x:c r="F2585" t="str">
        <x:v>Петр Дудин</x:v>
      </x:c>
      <x:c r="G2585" t="str">
        <x:v>нет</x:v>
      </x:c>
      <x:c r="H2585" t="str">
        <x:v>нет</x:v>
      </x:c>
    </x:row>
    <x:row r="2586">
      <x:c r="A2586" t="str">
        <x:v>21250</x:v>
      </x:c>
      <x:c r="B2586" t="str">
        <x:v>mc-dimetra.ru</x:v>
      </x:c>
      <x:c r="C2586" t="e">
        <x:f>HYPERLINK("https://belberrycrm.bitrix24.ru/crm/deal/details/21250/","https://belberrycrm.bitrix24.ru/crm/deal/details/21250/")</x:f>
      </x:c>
      <x:c r="D2586" t="str">
        <x:v>Реанимация</x:v>
      </x:c>
      <x:c r="E2586" t="str">
        <x:v>ЛИДЫ: Отвалы</x:v>
      </x:c>
      <x:c r="F2586" t="str">
        <x:v>Дарья Исаева</x:v>
      </x:c>
      <x:c r="G2586" t="str">
        <x:v>нет</x:v>
      </x:c>
      <x:c r="H2586" t="str">
        <x:v>нет</x:v>
      </x:c>
    </x:row>
    <x:row r="2587">
      <x:c r="A2587" t="str">
        <x:v>21252</x:v>
      </x:c>
      <x:c r="B2587" t="str">
        <x:v>дгп68.рф</x:v>
      </x:c>
      <x:c r="C2587" t="e">
        <x:f>HYPERLINK("https://belberrycrm.bitrix24.ru/crm/deal/details/21252/","https://belberrycrm.bitrix24.ru/crm/deal/details/21252/")</x:f>
      </x:c>
      <x:c r="D2587" t="str">
        <x:v>Реанимация</x:v>
      </x:c>
      <x:c r="E2587" t="str">
        <x:v>ЛИДЫ: Отвалы</x:v>
      </x:c>
      <x:c r="F2587" t="str">
        <x:v>Александр Голядкин</x:v>
      </x:c>
      <x:c r="G2587" t="str">
        <x:v>нет</x:v>
      </x:c>
      <x:c r="H2587" t="str">
        <x:v>нет</x:v>
      </x:c>
    </x:row>
    <x:row r="2588">
      <x:c r="A2588" t="str">
        <x:v>21254</x:v>
      </x:c>
      <x:c r="B2588" t="str">
        <x:v>docbobrov.ru</x:v>
      </x:c>
      <x:c r="C2588" t="e">
        <x:f>HYPERLINK("https://belberrycrm.bitrix24.ru/crm/deal/details/21254/","https://belberrycrm.bitrix24.ru/crm/deal/details/21254/")</x:f>
      </x:c>
      <x:c r="D2588" t="str">
        <x:v>Реанимация</x:v>
      </x:c>
      <x:c r="E2588" t="str">
        <x:v>ЛИДЫ: Отвалы</x:v>
      </x:c>
      <x:c r="F2588" t="str">
        <x:v>Дарья Исаева</x:v>
      </x:c>
      <x:c r="G2588" t="str">
        <x:v>нет</x:v>
      </x:c>
      <x:c r="H2588" t="str">
        <x:v>нет</x:v>
      </x:c>
    </x:row>
    <x:row r="2589">
      <x:c r="A2589" t="str">
        <x:v>21256</x:v>
      </x:c>
      <x:c r="B2589" t="str">
        <x:v>Аэстетика бьюти</x:v>
      </x:c>
      <x:c r="C2589" t="e">
        <x:f>HYPERLINK("https://belberrycrm.bitrix24.ru/crm/deal/details/21256/","https://belberrycrm.bitrix24.ru/crm/deal/details/21256/")</x:f>
      </x:c>
      <x:c r="D2589" t="str">
        <x:v>Реанимация</x:v>
      </x:c>
      <x:c r="E2589" t="str">
        <x:v>ЛИДЫ: Отвалы</x:v>
      </x:c>
      <x:c r="F2589" t="str">
        <x:v>Александр Голядкин</x:v>
      </x:c>
      <x:c r="G2589" t="str">
        <x:v>нет</x:v>
      </x:c>
      <x:c r="H2589" t="str">
        <x:v>нет</x:v>
      </x:c>
    </x:row>
    <x:row r="2590">
      <x:c r="A2590" t="str">
        <x:v>21280</x:v>
      </x:c>
      <x:c r="B2590" t="str">
        <x:v>linecosmo.ru</x:v>
      </x:c>
      <x:c r="C2590" t="e">
        <x:f>HYPERLINK("https://belberrycrm.bitrix24.ru/crm/deal/details/21280/","https://belberrycrm.bitrix24.ru/crm/deal/details/21280/")</x:f>
      </x:c>
      <x:c r="D2590" t="str">
        <x:v>Реанимация</x:v>
      </x:c>
      <x:c r="E2590" t="str">
        <x:v>ЛИДЫ: Отвалы</x:v>
      </x:c>
      <x:c r="F2590" t="str">
        <x:v>Александр Голядкин</x:v>
      </x:c>
      <x:c r="G2590" t="str">
        <x:v>нет</x:v>
      </x:c>
      <x:c r="H2590" t="str">
        <x:v>нет</x:v>
      </x:c>
    </x:row>
    <x:row r="2591">
      <x:c r="A2591" t="str">
        <x:v>21286</x:v>
      </x:c>
      <x:c r="B2591" t="str">
        <x:v>Tarantasik.ru</x:v>
      </x:c>
      <x:c r="C2591" t="e">
        <x:f>HYPERLINK("https://belberrycrm.bitrix24.ru/crm/deal/details/21286/","https://belberrycrm.bitrix24.ru/crm/deal/details/21286/")</x:f>
      </x:c>
      <x:c r="D2591" t="str">
        <x:v>Реанимация</x:v>
      </x:c>
      <x:c r="E2591" t="str">
        <x:v>ЛИДЫ: Отвалы</x:v>
      </x:c>
      <x:c r="F2591" t="str">
        <x:v>Александр Голядкин</x:v>
      </x:c>
      <x:c r="G2591" t="str">
        <x:v>нет</x:v>
      </x:c>
      <x:c r="H2591" t="str">
        <x:v>нет</x:v>
      </x:c>
    </x:row>
    <x:row r="2592">
      <x:c r="A2592" t="str">
        <x:v>21294</x:v>
      </x:c>
      <x:c r="B2592" t="str">
        <x:v>gpmu.org</x:v>
      </x:c>
      <x:c r="C2592" t="e">
        <x:f>HYPERLINK("https://belberrycrm.bitrix24.ru/crm/deal/details/21294/","https://belberrycrm.bitrix24.ru/crm/deal/details/21294/")</x:f>
      </x:c>
      <x:c r="D2592" t="str">
        <x:v>Реанимация</x:v>
      </x:c>
      <x:c r="E2592" t="str">
        <x:v>ЛИДЫ: Отвалы</x:v>
      </x:c>
      <x:c r="F2592" t="str">
        <x:v>Александр Голядкин</x:v>
      </x:c>
      <x:c r="G2592" t="str">
        <x:v>да</x:v>
      </x:c>
      <x:c r="H2592" t="str">
        <x:v>нет</x:v>
      </x:c>
    </x:row>
    <x:row r="2593">
      <x:c r="A2593" t="str">
        <x:v>21296</x:v>
      </x:c>
      <x:c r="B2593" t="str">
        <x:v>stomcomplex24.ru</x:v>
      </x:c>
      <x:c r="C2593" t="e">
        <x:f>HYPERLINK("https://belberrycrm.bitrix24.ru/crm/deal/details/21296/","https://belberrycrm.bitrix24.ru/crm/deal/details/21296/")</x:f>
      </x:c>
      <x:c r="D2593" t="str">
        <x:v>Реанимация</x:v>
      </x:c>
      <x:c r="E2593" t="str">
        <x:v>ЛИДЫ: Отвалы</x:v>
      </x:c>
      <x:c r="F2593" t="str">
        <x:v>Дарья Исаева</x:v>
      </x:c>
      <x:c r="G2593" t="str">
        <x:v>нет</x:v>
      </x:c>
      <x:c r="H2593" t="str">
        <x:v>нет</x:v>
      </x:c>
    </x:row>
    <x:row r="2594">
      <x:c r="A2594" t="str">
        <x:v>21298</x:v>
      </x:c>
      <x:c r="B2594" t="str">
        <x:v>azizdoctor.ru</x:v>
      </x:c>
      <x:c r="C2594" t="e">
        <x:f>HYPERLINK("https://belberrycrm.bitrix24.ru/crm/deal/details/21298/","https://belberrycrm.bitrix24.ru/crm/deal/details/21298/")</x:f>
      </x:c>
      <x:c r="D2594" t="str">
        <x:v>Реанимация</x:v>
      </x:c>
      <x:c r="E2594" t="str">
        <x:v>ЛИДЫ: Отвалы</x:v>
      </x:c>
      <x:c r="F2594" t="str">
        <x:v>Дарья Исаева</x:v>
      </x:c>
      <x:c r="G2594" t="str">
        <x:v>нет</x:v>
      </x:c>
      <x:c r="H2594" t="str">
        <x:v>нет</x:v>
      </x:c>
    </x:row>
    <x:row r="2595">
      <x:c r="A2595" t="str">
        <x:v>21310</x:v>
      </x:c>
      <x:c r="B2595" t="str">
        <x:v>sup-fitness.ru</x:v>
      </x:c>
      <x:c r="C2595" t="e">
        <x:f>HYPERLINK("https://belberrycrm.bitrix24.ru/crm/deal/details/21310/","https://belberrycrm.bitrix24.ru/crm/deal/details/21310/")</x:f>
      </x:c>
      <x:c r="D2595" t="str">
        <x:v>Реанимация</x:v>
      </x:c>
      <x:c r="E2595" t="str">
        <x:v>ЛИДЫ: Отвалы</x:v>
      </x:c>
      <x:c r="F2595" t="str">
        <x:v>Дарья Исаева</x:v>
      </x:c>
      <x:c r="G2595" t="str">
        <x:v>нет</x:v>
      </x:c>
      <x:c r="H2595" t="str">
        <x:v>нет</x:v>
      </x:c>
    </x:row>
    <x:row r="2596">
      <x:c r="A2596" t="str">
        <x:v>21318</x:v>
      </x:c>
      <x:c r="B2596" t="str">
        <x:v>Дмитрий (разработка)</x:v>
      </x:c>
      <x:c r="C2596" t="e">
        <x:f>HYPERLINK("https://belberrycrm.bitrix24.ru/crm/deal/details/21318/","https://belberrycrm.bitrix24.ru/crm/deal/details/21318/")</x:f>
      </x:c>
      <x:c r="D2596" t="str">
        <x:v>Реанимация</x:v>
      </x:c>
      <x:c r="E2596" t="str">
        <x:v>ЛИДЫ: Отвалы</x:v>
      </x:c>
      <x:c r="F2596" t="str">
        <x:v>Александр Голядкин</x:v>
      </x:c>
      <x:c r="G2596" t="str">
        <x:v>нет</x:v>
      </x:c>
      <x:c r="H2596" t="str">
        <x:v>нет</x:v>
      </x:c>
    </x:row>
    <x:row r="2597">
      <x:c r="A2597" t="str">
        <x:v>21328</x:v>
      </x:c>
      <x:c r="B2597" t="str">
        <x:v>colibri-clinik.ru (smm)</x:v>
      </x:c>
      <x:c r="C2597" t="e">
        <x:f>HYPERLINK("https://belberrycrm.bitrix24.ru/crm/deal/details/21328/","https://belberrycrm.bitrix24.ru/crm/deal/details/21328/")</x:f>
      </x:c>
      <x:c r="D2597" t="str">
        <x:v>Реанимация</x:v>
      </x:c>
      <x:c r="E2597" t="str">
        <x:v>ЛИДЫ: Отвалы</x:v>
      </x:c>
      <x:c r="F2597" t="str">
        <x:v>Петр Дудин</x:v>
      </x:c>
      <x:c r="G2597" t="str">
        <x:v>да</x:v>
      </x:c>
      <x:c r="H2597" t="str">
        <x:v>нет</x:v>
      </x:c>
    </x:row>
    <x:row r="2598">
      <x:c r="A2598" t="str">
        <x:v>21334</x:v>
      </x:c>
      <x:c r="B2598" t="str">
        <x:v>sokolov-laser.ru</x:v>
      </x:c>
      <x:c r="C2598" t="e">
        <x:f>HYPERLINK("https://belberrycrm.bitrix24.ru/crm/deal/details/21334/","https://belberrycrm.bitrix24.ru/crm/deal/details/21334/")</x:f>
      </x:c>
      <x:c r="D2598" t="str">
        <x:v>Реанимация</x:v>
      </x:c>
      <x:c r="E2598" t="str">
        <x:v>ЛИДЫ: Отвалы</x:v>
      </x:c>
      <x:c r="F2598" t="str">
        <x:v>Александр Голядкин</x:v>
      </x:c>
      <x:c r="G2598" t="str">
        <x:v>нет</x:v>
      </x:c>
      <x:c r="H2598" t="str">
        <x:v>нет</x:v>
      </x:c>
    </x:row>
    <x:row r="2599">
      <x:c r="A2599" t="str">
        <x:v>21336</x:v>
      </x:c>
      <x:c r="B2599" t="str">
        <x:v>Александр (Риелтор)</x:v>
      </x:c>
      <x:c r="C2599" t="e">
        <x:f>HYPERLINK("https://belberrycrm.bitrix24.ru/crm/deal/details/21336/","https://belberrycrm.bitrix24.ru/crm/deal/details/21336/")</x:f>
      </x:c>
      <x:c r="D2599" t="str">
        <x:v>Реанимация</x:v>
      </x:c>
      <x:c r="E2599" t="str">
        <x:v>ЛИДЫ: Отвалы</x:v>
      </x:c>
      <x:c r="F2599" t="str">
        <x:v>Александр Голядкин</x:v>
      </x:c>
      <x:c r="G2599" t="str">
        <x:v>нет</x:v>
      </x:c>
      <x:c r="H2599" t="str">
        <x:v>нет</x:v>
      </x:c>
    </x:row>
    <x:row r="2600">
      <x:c r="A2600" t="str">
        <x:v>21342</x:v>
      </x:c>
      <x:c r="B2600" t="str">
        <x:v>svoydantist.ru</x:v>
      </x:c>
      <x:c r="C2600" t="e">
        <x:f>HYPERLINK("https://belberrycrm.bitrix24.ru/crm/deal/details/21342/","https://belberrycrm.bitrix24.ru/crm/deal/details/21342/")</x:f>
      </x:c>
      <x:c r="D2600" t="str">
        <x:v>Реанимация</x:v>
      </x:c>
      <x:c r="E2600" t="str">
        <x:v>ЛИДЫ: Отвалы</x:v>
      </x:c>
      <x:c r="F2600" t="str">
        <x:v>Александр Голядкин</x:v>
      </x:c>
      <x:c r="G2600" t="str">
        <x:v>нет</x:v>
      </x:c>
      <x:c r="H2600" t="str">
        <x:v>нет</x:v>
      </x:c>
    </x:row>
    <x:row r="2601">
      <x:c r="A2601" t="str">
        <x:v>21362</x:v>
      </x:c>
      <x:c r="B2601" t="str">
        <x:v>Александра Бабич  МТС True Tech</x:v>
      </x:c>
      <x:c r="C2601" t="e">
        <x:f>HYPERLINK("https://belberrycrm.bitrix24.ru/crm/deal/details/21362/","https://belberrycrm.bitrix24.ru/crm/deal/details/21362/")</x:f>
      </x:c>
      <x:c r="D2601" t="str">
        <x:v>Реанимация</x:v>
      </x:c>
      <x:c r="E2601" t="str">
        <x:v>ЛИДЫ: Отвалы</x:v>
      </x:c>
      <x:c r="F2601" t="str">
        <x:v>Александр Голядкин</x:v>
      </x:c>
      <x:c r="G2601" t="str">
        <x:v>нет</x:v>
      </x:c>
      <x:c r="H2601" t="str">
        <x:v>нет</x:v>
      </x:c>
    </x:row>
    <x:row r="2602">
      <x:c r="A2602" t="str">
        <x:v>21372</x:v>
      </x:c>
      <x:c r="B2602" t="str">
        <x:v>medcentermsi.ru</x:v>
      </x:c>
      <x:c r="C2602" t="e">
        <x:f>HYPERLINK("https://belberrycrm.bitrix24.ru/crm/deal/details/21372/","https://belberrycrm.bitrix24.ru/crm/deal/details/21372/")</x:f>
      </x:c>
      <x:c r="D2602" t="str">
        <x:v>Реанимация</x:v>
      </x:c>
      <x:c r="E2602" t="str">
        <x:v>ЛИДЫ: Отвалы</x:v>
      </x:c>
      <x:c r="F2602" t="str">
        <x:v>Петр Дудин</x:v>
      </x:c>
      <x:c r="G2602" t="str">
        <x:v>нет</x:v>
      </x:c>
      <x:c r="H2602" t="str">
        <x:v>нет</x:v>
      </x:c>
    </x:row>
    <x:row r="2603">
      <x:c r="A2603" t="str">
        <x:v>21384</x:v>
      </x:c>
      <x:c r="B2603" t="str">
        <x:v>divineray.pro</x:v>
      </x:c>
      <x:c r="C2603" t="e">
        <x:f>HYPERLINK("https://belberrycrm.bitrix24.ru/crm/deal/details/21384/","https://belberrycrm.bitrix24.ru/crm/deal/details/21384/")</x:f>
      </x:c>
      <x:c r="D2603" t="str">
        <x:v>Реанимация</x:v>
      </x:c>
      <x:c r="E2603" t="str">
        <x:v>ЛИДЫ: Отвалы</x:v>
      </x:c>
      <x:c r="F2603" t="str">
        <x:v>Александр Голядкин</x:v>
      </x:c>
      <x:c r="G2603" t="str">
        <x:v>нет</x:v>
      </x:c>
      <x:c r="H2603" t="str">
        <x:v>нет</x:v>
      </x:c>
    </x:row>
    <x:row r="2604">
      <x:c r="A2604" t="str">
        <x:v>21388</x:v>
      </x:c>
      <x:c r="B2604" t="str">
        <x:v>sacreclinic.ru</x:v>
      </x:c>
      <x:c r="C2604" t="e">
        <x:f>HYPERLINK("https://belberrycrm.bitrix24.ru/crm/deal/details/21388/","https://belberrycrm.bitrix24.ru/crm/deal/details/21388/")</x:f>
      </x:c>
      <x:c r="D2604" t="str">
        <x:v>Реанимация</x:v>
      </x:c>
      <x:c r="E2604" t="str">
        <x:v>ЛИДЫ: Отвалы</x:v>
      </x:c>
      <x:c r="F2604" t="str">
        <x:v>Александр Голядкин</x:v>
      </x:c>
      <x:c r="G2604" t="str">
        <x:v>нет</x:v>
      </x:c>
      <x:c r="H2604" t="str">
        <x:v>нет</x:v>
      </x:c>
    </x:row>
    <x:row r="2605">
      <x:c r="A2605" t="str">
        <x:v>21392</x:v>
      </x:c>
      <x:c r="B2605" t="str">
        <x:v>family-yug.ru</x:v>
      </x:c>
      <x:c r="C2605" t="e">
        <x:f>HYPERLINK("https://belberrycrm.bitrix24.ru/crm/deal/details/21392/","https://belberrycrm.bitrix24.ru/crm/deal/details/21392/")</x:f>
      </x:c>
      <x:c r="D2605" t="str">
        <x:v>Реанимация</x:v>
      </x:c>
      <x:c r="E2605" t="str">
        <x:v>ЛИДЫ: Отвалы</x:v>
      </x:c>
      <x:c r="F2605" t="str">
        <x:v>Александр Голядкин</x:v>
      </x:c>
      <x:c r="G2605" t="str">
        <x:v>нет</x:v>
      </x:c>
      <x:c r="H2605" t="str">
        <x:v>нет</x:v>
      </x:c>
    </x:row>
    <x:row r="2606">
      <x:c r="A2606" t="str">
        <x:v>21396</x:v>
      </x:c>
      <x:c r="B2606" t="str">
        <x:v>gcd-russia.com</x:v>
      </x:c>
      <x:c r="C2606" t="e">
        <x:f>HYPERLINK("https://belberrycrm.bitrix24.ru/crm/deal/details/21396/","https://belberrycrm.bitrix24.ru/crm/deal/details/21396/")</x:f>
      </x:c>
      <x:c r="D2606" t="str">
        <x:v>Реанимация</x:v>
      </x:c>
      <x:c r="E2606" t="str">
        <x:v>ЛИДЫ: Отвалы</x:v>
      </x:c>
      <x:c r="F2606" t="str">
        <x:v>Александр Голядкин</x:v>
      </x:c>
      <x:c r="G2606" t="str">
        <x:v>нет</x:v>
      </x:c>
      <x:c r="H2606" t="str">
        <x:v>нет</x:v>
      </x:c>
    </x:row>
    <x:row r="2607">
      <x:c r="A2607" t="str">
        <x:v>21404</x:v>
      </x:c>
      <x:c r="B2607" t="str">
        <x:v>decofloors.ru</x:v>
      </x:c>
      <x:c r="C2607" t="e">
        <x:f>HYPERLINK("https://belberrycrm.bitrix24.ru/crm/deal/details/21404/","https://belberrycrm.bitrix24.ru/crm/deal/details/21404/")</x:f>
      </x:c>
      <x:c r="D2607" t="str">
        <x:v>Реанимация</x:v>
      </x:c>
      <x:c r="E2607" t="str">
        <x:v>ЛИДЫ: Отвалы</x:v>
      </x:c>
      <x:c r="F2607" t="str">
        <x:v>Евгения Гордиенко</x:v>
      </x:c>
      <x:c r="G2607" t="str">
        <x:v>нет</x:v>
      </x:c>
      <x:c r="H2607" t="str">
        <x:v>нет</x:v>
      </x:c>
    </x:row>
    <x:row r="2608">
      <x:c r="A2608" t="str">
        <x:v>21412</x:v>
      </x:c>
      <x:c r="B2608" t="str">
        <x:v>zemvrach.ru</x:v>
      </x:c>
      <x:c r="C2608" t="e">
        <x:f>HYPERLINK("https://belberrycrm.bitrix24.ru/crm/deal/details/21412/","https://belberrycrm.bitrix24.ru/crm/deal/details/21412/")</x:f>
      </x:c>
      <x:c r="D2608" t="str">
        <x:v>Реанимация</x:v>
      </x:c>
      <x:c r="E2608" t="str">
        <x:v>ЛИДЫ: Отвалы</x:v>
      </x:c>
      <x:c r="F2608" t="str">
        <x:v>Петр Дудин</x:v>
      </x:c>
      <x:c r="G2608" t="str">
        <x:v>нет</x:v>
      </x:c>
      <x:c r="H2608" t="str">
        <x:v>нет</x:v>
      </x:c>
    </x:row>
    <x:row r="2609">
      <x:c r="A2609" t="str">
        <x:v>21420</x:v>
      </x:c>
      <x:c r="B2609" t="str">
        <x:v>zooland-krasnodar.ru</x:v>
      </x:c>
      <x:c r="C2609" t="e">
        <x:f>HYPERLINK("https://belberrycrm.bitrix24.ru/crm/deal/details/21420/","https://belberrycrm.bitrix24.ru/crm/deal/details/21420/")</x:f>
      </x:c>
      <x:c r="D2609" t="str">
        <x:v>Реанимация</x:v>
      </x:c>
      <x:c r="E2609" t="str">
        <x:v>ЛИДЫ: Отвалы</x:v>
      </x:c>
      <x:c r="F2609" t="str">
        <x:v>Дарья Исаева</x:v>
      </x:c>
      <x:c r="G2609" t="str">
        <x:v>да</x:v>
      </x:c>
      <x:c r="H2609" t="str">
        <x:v>нет</x:v>
      </x:c>
    </x:row>
    <x:row r="2610">
      <x:c r="A2610" t="str">
        <x:v>21422</x:v>
      </x:c>
      <x:c r="B2610" t="str">
        <x:v>komp-industry.ru</x:v>
      </x:c>
      <x:c r="C2610" t="e">
        <x:f>HYPERLINK("https://belberrycrm.bitrix24.ru/crm/deal/details/21422/","https://belberrycrm.bitrix24.ru/crm/deal/details/21422/")</x:f>
      </x:c>
      <x:c r="D2610" t="str">
        <x:v>Реанимация</x:v>
      </x:c>
      <x:c r="E2610" t="str">
        <x:v>ЛИДЫ: Отвалы</x:v>
      </x:c>
      <x:c r="F2610" t="str">
        <x:v>Александр Голядкин</x:v>
      </x:c>
      <x:c r="G2610" t="str">
        <x:v>нет</x:v>
      </x:c>
      <x:c r="H2610" t="str">
        <x:v>нет</x:v>
      </x:c>
    </x:row>
    <x:row r="2611">
      <x:c r="A2611" t="str">
        <x:v>21426</x:v>
      </x:c>
      <x:c r="B2611" t="str">
        <x:v>Кафе около метро</x:v>
      </x:c>
      <x:c r="C2611" t="e">
        <x:f>HYPERLINK("https://belberrycrm.bitrix24.ru/crm/deal/details/21426/","https://belberrycrm.bitrix24.ru/crm/deal/details/21426/")</x:f>
      </x:c>
      <x:c r="D2611" t="str">
        <x:v>Реанимация</x:v>
      </x:c>
      <x:c r="E2611" t="str">
        <x:v>ЛИДЫ: Отвалы</x:v>
      </x:c>
      <x:c r="F2611" t="str">
        <x:v>Евгения Гордиенко</x:v>
      </x:c>
      <x:c r="G2611" t="str">
        <x:v>нет</x:v>
      </x:c>
      <x:c r="H2611" t="str">
        <x:v>нет</x:v>
      </x:c>
    </x:row>
    <x:row r="2612">
      <x:c r="A2612" t="str">
        <x:v>21430</x:v>
      </x:c>
      <x:c r="B2612" t="str">
        <x:v>Администрация "Петербурга."</x:v>
      </x:c>
      <x:c r="C2612" t="e">
        <x:f>HYPERLINK("https://belberrycrm.bitrix24.ru/crm/deal/details/21430/","https://belberrycrm.bitrix24.ru/crm/deal/details/21430/")</x:f>
      </x:c>
      <x:c r="D2612" t="str">
        <x:v>Реанимация</x:v>
      </x:c>
      <x:c r="E2612" t="str">
        <x:v>ЛИДЫ: Отвалы</x:v>
      </x:c>
      <x:c r="F2612" t="str">
        <x:v>Евгения Гордиенко</x:v>
      </x:c>
      <x:c r="G2612" t="str">
        <x:v>нет</x:v>
      </x:c>
      <x:c r="H2612" t="str">
        <x:v>нет</x:v>
      </x:c>
    </x:row>
    <x:row r="2613">
      <x:c r="A2613" t="str">
        <x:v>21432</x:v>
      </x:c>
      <x:c r="B2613" t="str">
        <x:v>tekta.ru</x:v>
      </x:c>
      <x:c r="C2613" t="e">
        <x:f>HYPERLINK("https://belberrycrm.bitrix24.ru/crm/deal/details/21432/","https://belberrycrm.bitrix24.ru/crm/deal/details/21432/")</x:f>
      </x:c>
      <x:c r="D2613" t="str">
        <x:v>Реанимация</x:v>
      </x:c>
      <x:c r="E2613" t="str">
        <x:v>ЛИДЫ: Отвалы</x:v>
      </x:c>
      <x:c r="F2613" t="str">
        <x:v>Евгения Гордиенко</x:v>
      </x:c>
      <x:c r="G2613" t="str">
        <x:v>да</x:v>
      </x:c>
      <x:c r="H2613" t="str">
        <x:v>нет</x:v>
      </x:c>
    </x:row>
    <x:row r="2614">
      <x:c r="A2614" t="str">
        <x:v>21438</x:v>
      </x:c>
      <x:c r="B2614" t="str">
        <x:v>eos-stomatology.ru</x:v>
      </x:c>
      <x:c r="C2614" t="e">
        <x:f>HYPERLINK("https://belberrycrm.bitrix24.ru/crm/deal/details/21438/","https://belberrycrm.bitrix24.ru/crm/deal/details/21438/")</x:f>
      </x:c>
      <x:c r="D2614" t="str">
        <x:v>Реанимация</x:v>
      </x:c>
      <x:c r="E2614" t="str">
        <x:v>ЛИДЫ: Отвалы</x:v>
      </x:c>
      <x:c r="F2614" t="str">
        <x:v>Александр Голядкин</x:v>
      </x:c>
      <x:c r="G2614" t="str">
        <x:v>нет</x:v>
      </x:c>
      <x:c r="H2614" t="str">
        <x:v>нет</x:v>
      </x:c>
    </x:row>
    <x:row r="2615">
      <x:c r="A2615" t="str">
        <x:v>21454</x:v>
      </x:c>
      <x:c r="B2615" t="str">
        <x:v>Егор (Сайта нет)</x:v>
      </x:c>
      <x:c r="C2615" t="e">
        <x:f>HYPERLINK("https://belberrycrm.bitrix24.ru/crm/deal/details/21454/","https://belberrycrm.bitrix24.ru/crm/deal/details/21454/")</x:f>
      </x:c>
      <x:c r="D2615" t="str">
        <x:v>Реанимация</x:v>
      </x:c>
      <x:c r="E2615" t="str">
        <x:v>ЛИДЫ: Отвалы</x:v>
      </x:c>
      <x:c r="F2615" t="str">
        <x:v>Евгения Гордиенко</x:v>
      </x:c>
      <x:c r="G2615" t="str">
        <x:v>нет</x:v>
      </x:c>
      <x:c r="H2615" t="str">
        <x:v>нет</x:v>
      </x:c>
    </x:row>
    <x:row r="2616">
      <x:c r="A2616" t="str">
        <x:v>21466</x:v>
      </x:c>
      <x:c r="B2616" t="str">
        <x:v>Химкинская больница</x:v>
      </x:c>
      <x:c r="C2616" t="e">
        <x:f>HYPERLINK("https://belberrycrm.bitrix24.ru/crm/deal/details/21466/","https://belberrycrm.bitrix24.ru/crm/deal/details/21466/")</x:f>
      </x:c>
      <x:c r="D2616" t="str">
        <x:v>Реанимация</x:v>
      </x:c>
      <x:c r="E2616" t="str">
        <x:v>ЛИДЫ: Отвалы</x:v>
      </x:c>
      <x:c r="F2616" t="str">
        <x:v>Александр Голядкин</x:v>
      </x:c>
      <x:c r="G2616" t="str">
        <x:v>нет</x:v>
      </x:c>
      <x:c r="H2616" t="str">
        <x:v>нет</x:v>
      </x:c>
    </x:row>
    <x:row r="2617">
      <x:c r="A2617" t="str">
        <x:v>21486</x:v>
      </x:c>
      <x:c r="B2617" t="str">
        <x:v>stz.tmk-group.ru</x:v>
      </x:c>
      <x:c r="C2617" t="e">
        <x:f>HYPERLINK("https://belberrycrm.bitrix24.ru/crm/deal/details/21486/","https://belberrycrm.bitrix24.ru/crm/deal/details/21486/")</x:f>
      </x:c>
      <x:c r="D2617" t="str">
        <x:v>Реанимация</x:v>
      </x:c>
      <x:c r="E2617" t="str">
        <x:v>ЛИДЫ: Отвалы</x:v>
      </x:c>
      <x:c r="F2617" t="str">
        <x:v>Александр Голядкин</x:v>
      </x:c>
      <x:c r="G2617" t="str">
        <x:v>да</x:v>
      </x:c>
      <x:c r="H2617" t="str">
        <x:v>нет</x:v>
      </x:c>
    </x:row>
    <x:row r="2618">
      <x:c r="A2618" t="str">
        <x:v>21492</x:v>
      </x:c>
      <x:c r="B2618" t="str">
        <x:v>tmk-group.ru</x:v>
      </x:c>
      <x:c r="C2618" t="e">
        <x:f>HYPERLINK("https://belberrycrm.bitrix24.ru/crm/deal/details/21492/","https://belberrycrm.bitrix24.ru/crm/deal/details/21492/")</x:f>
      </x:c>
      <x:c r="D2618" t="str">
        <x:v>Реанимация</x:v>
      </x:c>
      <x:c r="E2618" t="str">
        <x:v>ЛИДЫ: Отвалы</x:v>
      </x:c>
      <x:c r="F2618" t="str">
        <x:v>Александр Голядкин</x:v>
      </x:c>
      <x:c r="G2618" t="str">
        <x:v>да</x:v>
      </x:c>
      <x:c r="H2618" t="str">
        <x:v>нет</x:v>
      </x:c>
    </x:row>
    <x:row r="2619">
      <x:c r="A2619" t="str">
        <x:v>21560</x:v>
      </x:c>
      <x:c r="B2619" t="str">
        <x:v>doctortrusova.tilda.ws</x:v>
      </x:c>
      <x:c r="C2619" t="e">
        <x:f>HYPERLINK("https://belberrycrm.bitrix24.ru/crm/deal/details/21560/","https://belberrycrm.bitrix24.ru/crm/deal/details/21560/")</x:f>
      </x:c>
      <x:c r="D2619" t="str">
        <x:v>Реанимация</x:v>
      </x:c>
      <x:c r="E2619" t="str">
        <x:v>ЛИДЫ: Отвалы</x:v>
      </x:c>
      <x:c r="F2619" t="str">
        <x:v>Мария Ус</x:v>
      </x:c>
      <x:c r="G2619" t="str">
        <x:v>нет</x:v>
      </x:c>
      <x:c r="H2619" t="str">
        <x:v>нет</x:v>
      </x:c>
    </x:row>
    <x:row r="2620">
      <x:c r="A2620" t="str">
        <x:v>21566</x:v>
      </x:c>
      <x:c r="B2620" t="str">
        <x:v>Заявка с сайта от Вадим 79522600056</x:v>
      </x:c>
      <x:c r="C2620" t="e">
        <x:f>HYPERLINK("https://belberrycrm.bitrix24.ru/crm/deal/details/21566/","https://belberrycrm.bitrix24.ru/crm/deal/details/21566/")</x:f>
      </x:c>
      <x:c r="D2620" t="str">
        <x:v>Реанимация</x:v>
      </x:c>
      <x:c r="E2620" t="str">
        <x:v>ЛИДЫ: Отвалы</x:v>
      </x:c>
      <x:c r="F2620" t="str">
        <x:v>Евгения Гордиенко</x:v>
      </x:c>
      <x:c r="G2620" t="str">
        <x:v>нет</x:v>
      </x:c>
      <x:c r="H2620" t="str">
        <x:v>нет</x:v>
      </x:c>
    </x:row>
    <x:row r="2621">
      <x:c r="A2621" t="str">
        <x:v>21608</x:v>
      </x:c>
      <x:c r="B2621" t="str">
        <x:v>iek.ru</x:v>
      </x:c>
      <x:c r="C2621" t="e">
        <x:f>HYPERLINK("https://belberrycrm.bitrix24.ru/crm/deal/details/21608/","https://belberrycrm.bitrix24.ru/crm/deal/details/21608/")</x:f>
      </x:c>
      <x:c r="D2621" t="str">
        <x:v>Реанимация</x:v>
      </x:c>
      <x:c r="E2621" t="str">
        <x:v>ЛИДЫ: Отвалы</x:v>
      </x:c>
      <x:c r="F2621" t="str">
        <x:v>Дарья Исаева</x:v>
      </x:c>
      <x:c r="G2621" t="str">
        <x:v>да</x:v>
      </x:c>
      <x:c r="H2621" t="str">
        <x:v>нет</x:v>
      </x:c>
    </x:row>
    <x:row r="2622">
      <x:c r="A2622" t="str">
        <x:v>21618</x:v>
      </x:c>
      <x:c r="B2622" t="str">
        <x:v>Email | hello@acoola.team от Novikova Darya darya.novikova@advelop.ru</x:v>
      </x:c>
      <x:c r="C2622" t="e">
        <x:f>HYPERLINK("https://belberrycrm.bitrix24.ru/crm/deal/details/21618/","https://belberrycrm.bitrix24.ru/crm/deal/details/21618/")</x:f>
      </x:c>
      <x:c r="D2622" t="str">
        <x:v>Реанимация</x:v>
      </x:c>
      <x:c r="E2622" t="str">
        <x:v>ЛИДЫ: Отвалы</x:v>
      </x:c>
      <x:c r="F2622" t="str">
        <x:v>Евгения Гордиенко</x:v>
      </x:c>
      <x:c r="G2622" t="str">
        <x:v>нет</x:v>
      </x:c>
      <x:c r="H2622" t="str">
        <x:v>нет</x:v>
      </x:c>
    </x:row>
    <x:row r="2623">
      <x:c r="A2623" t="str">
        <x:v>21620</x:v>
      </x:c>
      <x:c r="B2623" t="str">
        <x:v>https://wa.me/79307518874</x:v>
      </x:c>
      <x:c r="C2623" t="e">
        <x:f>HYPERLINK("https://belberrycrm.bitrix24.ru/crm/deal/details/21620/","https://belberrycrm.bitrix24.ru/crm/deal/details/21620/")</x:f>
      </x:c>
      <x:c r="D2623" t="str">
        <x:v>Реанимация</x:v>
      </x:c>
      <x:c r="E2623" t="str">
        <x:v>ЛИДЫ: Отвалы</x:v>
      </x:c>
      <x:c r="F2623" t="str">
        <x:v>Анна Гудинова</x:v>
      </x:c>
      <x:c r="G2623" t="str">
        <x:v>нет</x:v>
      </x:c>
      <x:c r="H2623" t="str">
        <x:v>нет</x:v>
      </x:c>
    </x:row>
    <x:row r="2624">
      <x:c r="A2624" t="str">
        <x:v>21632</x:v>
      </x:c>
      <x:c r="B2624" t="str">
        <x:v>avismile.ru</x:v>
      </x:c>
      <x:c r="C2624" t="e">
        <x:f>HYPERLINK("https://belberrycrm.bitrix24.ru/crm/deal/details/21632/","https://belberrycrm.bitrix24.ru/crm/deal/details/21632/")</x:f>
      </x:c>
      <x:c r="D2624" t="str">
        <x:v>Реанимация</x:v>
      </x:c>
      <x:c r="E2624" t="str">
        <x:v>ЛИДЫ: Отвалы</x:v>
      </x:c>
      <x:c r="F2624" t="str">
        <x:v>Дарья Исаева</x:v>
      </x:c>
      <x:c r="G2624" t="str">
        <x:v>да</x:v>
      </x:c>
      <x:c r="H2624" t="str">
        <x:v>нет</x:v>
      </x:c>
    </x:row>
    <x:row r="2625">
      <x:c r="A2625" t="str">
        <x:v>21646</x:v>
      </x:c>
      <x:c r="B2625" t="str">
        <x:v>Заявка с сайта от Элеонора 79603400684</x:v>
      </x:c>
      <x:c r="C2625" t="e">
        <x:f>HYPERLINK("https://belberrycrm.bitrix24.ru/crm/deal/details/21646/","https://belberrycrm.bitrix24.ru/crm/deal/details/21646/")</x:f>
      </x:c>
      <x:c r="D2625" t="str">
        <x:v>Реанимация</x:v>
      </x:c>
      <x:c r="E2625" t="str">
        <x:v>ЛИДЫ: Отвалы</x:v>
      </x:c>
      <x:c r="F2625" t="str">
        <x:v>Евгения Гордиенко</x:v>
      </x:c>
      <x:c r="G2625" t="str">
        <x:v>нет</x:v>
      </x:c>
      <x:c r="H2625" t="str">
        <x:v>нет</x:v>
      </x:c>
    </x:row>
    <x:row r="2626">
      <x:c r="A2626" t="str">
        <x:v>21694</x:v>
      </x:c>
      <x:c r="B2626" t="str">
        <x:v>от Саши Голядкина</x:v>
      </x:c>
      <x:c r="C2626" t="e">
        <x:f>HYPERLINK("https://belberrycrm.bitrix24.ru/crm/deal/details/21694/","https://belberrycrm.bitrix24.ru/crm/deal/details/21694/")</x:f>
      </x:c>
      <x:c r="D2626" t="str">
        <x:v>Реанимация</x:v>
      </x:c>
      <x:c r="E2626" t="str">
        <x:v>ЛИДЫ: Отвалы</x:v>
      </x:c>
      <x:c r="F2626" t="str">
        <x:v>Екатерина Кохтачева</x:v>
      </x:c>
      <x:c r="G2626" t="str">
        <x:v>нет</x:v>
      </x:c>
      <x:c r="H2626" t="str">
        <x:v>нет</x:v>
      </x:c>
    </x:row>
    <x:row r="2627">
      <x:c r="A2627" t="str">
        <x:v>21696</x:v>
      </x:c>
      <x:c r="B2627" t="str">
        <x:v>mebel-v-mode.ru</x:v>
      </x:c>
      <x:c r="C2627" t="e">
        <x:f>HYPERLINK("https://belberrycrm.bitrix24.ru/crm/deal/details/21696/","https://belberrycrm.bitrix24.ru/crm/deal/details/21696/")</x:f>
      </x:c>
      <x:c r="D2627" t="str">
        <x:v>Реанимация</x:v>
      </x:c>
      <x:c r="E2627" t="str">
        <x:v>ЛИДЫ: Отвалы</x:v>
      </x:c>
      <x:c r="F2627" t="str">
        <x:v>Дарья Исаева</x:v>
      </x:c>
      <x:c r="G2627" t="str">
        <x:v>нет</x:v>
      </x:c>
      <x:c r="H2627" t="str">
        <x:v>нет</x:v>
      </x:c>
    </x:row>
    <x:row r="2628">
      <x:c r="A2628" t="str">
        <x:v>21698</x:v>
      </x:c>
      <x:c r="B2628" t="str">
        <x:v>mebelsadko.spb.ru</x:v>
      </x:c>
      <x:c r="C2628" t="e">
        <x:f>HYPERLINK("https://belberrycrm.bitrix24.ru/crm/deal/details/21698/","https://belberrycrm.bitrix24.ru/crm/deal/details/21698/")</x:f>
      </x:c>
      <x:c r="D2628" t="str">
        <x:v>Реанимация</x:v>
      </x:c>
      <x:c r="E2628" t="str">
        <x:v>ЛИДЫ: Отвалы</x:v>
      </x:c>
      <x:c r="F2628" t="str">
        <x:v>Дарья Исаева</x:v>
      </x:c>
      <x:c r="G2628" t="str">
        <x:v>нет</x:v>
      </x:c>
      <x:c r="H2628" t="str">
        <x:v>нет</x:v>
      </x:c>
    </x:row>
    <x:row r="2629">
      <x:c r="A2629" t="str">
        <x:v>21704</x:v>
      </x:c>
      <x:c r="B2629" t="str">
        <x:v>ООО "А-Групп"</x:v>
      </x:c>
      <x:c r="C2629" t="e">
        <x:f>HYPERLINK("https://belberrycrm.bitrix24.ru/crm/deal/details/21704/","https://belberrycrm.bitrix24.ru/crm/deal/details/21704/")</x:f>
      </x:c>
      <x:c r="D2629" t="str">
        <x:v>Реанимация</x:v>
      </x:c>
      <x:c r="E2629" t="str">
        <x:v>ЛИДЫ: Отвалы</x:v>
      </x:c>
      <x:c r="F2629" t="str">
        <x:v>Екатерина Кохтачева</x:v>
      </x:c>
      <x:c r="G2629" t="str">
        <x:v>нет</x:v>
      </x:c>
      <x:c r="H2629" t="str">
        <x:v>нет</x:v>
      </x:c>
    </x:row>
    <x:row r="2630">
      <x:c r="A2630" t="str">
        <x:v>21706</x:v>
      </x:c>
      <x:c r="B2630" t="str">
        <x:v>ООО "РЕНТСТРОЙ"</x:v>
      </x:c>
      <x:c r="C2630" t="e">
        <x:f>HYPERLINK("https://belberrycrm.bitrix24.ru/crm/deal/details/21706/","https://belberrycrm.bitrix24.ru/crm/deal/details/21706/")</x:f>
      </x:c>
      <x:c r="D2630" t="str">
        <x:v>Реанимация</x:v>
      </x:c>
      <x:c r="E2630" t="str">
        <x:v>ЛИДЫ: Отвалы</x:v>
      </x:c>
      <x:c r="F2630" t="str">
        <x:v>Екатерина Кохтачева</x:v>
      </x:c>
      <x:c r="G2630" t="str">
        <x:v>нет</x:v>
      </x:c>
      <x:c r="H2630" t="str">
        <x:v>нет</x:v>
      </x:c>
    </x:row>
    <x:row r="2631">
      <x:c r="A2631" t="str">
        <x:v>21708</x:v>
      </x:c>
      <x:c r="B2631" t="str">
        <x:v>spbing.ru</x:v>
      </x:c>
      <x:c r="C2631" t="e">
        <x:f>HYPERLINK("https://belberrycrm.bitrix24.ru/crm/deal/details/21708/","https://belberrycrm.bitrix24.ru/crm/deal/details/21708/")</x:f>
      </x:c>
      <x:c r="D2631" t="str">
        <x:v>Реанимация</x:v>
      </x:c>
      <x:c r="E2631" t="str">
        <x:v>ЛИДЫ: Отвалы</x:v>
      </x:c>
      <x:c r="F2631" t="str">
        <x:v>Екатерина Кохтачева</x:v>
      </x:c>
      <x:c r="G2631" t="str">
        <x:v>нет</x:v>
      </x:c>
      <x:c r="H2631" t="str">
        <x:v>нет</x:v>
      </x:c>
    </x:row>
    <x:row r="2632">
      <x:c r="A2632" t="str">
        <x:v>21710</x:v>
      </x:c>
      <x:c r="B2632" t="str">
        <x:v>Лид от Дирекция, +74957349966 (E-mail Outreach)</x:v>
      </x:c>
      <x:c r="C2632" t="e">
        <x:f>HYPERLINK("https://belberrycrm.bitrix24.ru/crm/deal/details/21710/","https://belberrycrm.bitrix24.ru/crm/deal/details/21710/")</x:f>
      </x:c>
      <x:c r="D2632" t="str">
        <x:v>Реанимация</x:v>
      </x:c>
      <x:c r="E2632" t="str">
        <x:v>ЛИДЫ: Отвалы</x:v>
      </x:c>
      <x:c r="F2632" t="str">
        <x:v>Екатерина Кохтачева</x:v>
      </x:c>
      <x:c r="G2632" t="str">
        <x:v>нет</x:v>
      </x:c>
      <x:c r="H2632" t="str">
        <x:v>нет</x:v>
      </x:c>
    </x:row>
    <x:row r="2633">
      <x:c r="A2633" t="str">
        <x:v>21716</x:v>
      </x:c>
      <x:c r="B2633" t="str">
        <x:v>Борисенко Галина / Анализы Плюс (E-mail Outreach)</x:v>
      </x:c>
      <x:c r="C2633" t="e">
        <x:f>HYPERLINK("https://belberrycrm.bitrix24.ru/crm/deal/details/21716/","https://belberrycrm.bitrix24.ru/crm/deal/details/21716/")</x:f>
      </x:c>
      <x:c r="D2633" t="str">
        <x:v>Реанимация</x:v>
      </x:c>
      <x:c r="E2633" t="str">
        <x:v>ЛИДЫ: Отвалы</x:v>
      </x:c>
      <x:c r="F2633" t="str">
        <x:v>Петр Дудин</x:v>
      </x:c>
      <x:c r="G2633" t="str">
        <x:v>нет</x:v>
      </x:c>
      <x:c r="H2633" t="str">
        <x:v>нет</x:v>
      </x:c>
    </x:row>
    <x:row r="2634">
      <x:c r="A2634" t="str">
        <x:v>21718</x:v>
      </x:c>
      <x:c r="B2634" t="str">
        <x:v>Лид от ООО "ПРОГРЕСС ГРУПП", +79286014171 (E-mail Outreach)</x:v>
      </x:c>
      <x:c r="C2634" t="e">
        <x:f>HYPERLINK("https://belberrycrm.bitrix24.ru/crm/deal/details/21718/","https://belberrycrm.bitrix24.ru/crm/deal/details/21718/")</x:f>
      </x:c>
      <x:c r="D2634" t="str">
        <x:v>Реанимация</x:v>
      </x:c>
      <x:c r="E2634" t="str">
        <x:v>ЛИДЫ: Отвалы</x:v>
      </x:c>
      <x:c r="F2634" t="str">
        <x:v>Дарья Исаева</x:v>
      </x:c>
      <x:c r="G2634" t="str">
        <x:v>нет</x:v>
      </x:c>
      <x:c r="H2634" t="str">
        <x:v>нет</x:v>
      </x:c>
    </x:row>
    <x:row r="2635">
      <x:c r="A2635" t="str">
        <x:v>21724</x:v>
      </x:c>
      <x:c r="B2635" t="str">
        <x:v>sovmen-clinic.ru</x:v>
      </x:c>
      <x:c r="C2635" t="e">
        <x:f>HYPERLINK("https://belberrycrm.bitrix24.ru/crm/deal/details/21724/","https://belberrycrm.bitrix24.ru/crm/deal/details/21724/")</x:f>
      </x:c>
      <x:c r="D2635" t="str">
        <x:v>Реанимация</x:v>
      </x:c>
      <x:c r="E2635" t="str">
        <x:v>ЛИДЫ: Отвалы</x:v>
      </x:c>
      <x:c r="F2635" t="str">
        <x:v>Дарья Исаева</x:v>
      </x:c>
      <x:c r="G2635" t="str">
        <x:v>нет</x:v>
      </x:c>
      <x:c r="H2635" t="str">
        <x:v>нет</x:v>
      </x:c>
    </x:row>
    <x:row r="2636">
      <x:c r="A2636" t="str">
        <x:v>21726</x:v>
      </x:c>
      <x:c r="B2636" t="str">
        <x:v>junona-nsk.ru</x:v>
      </x:c>
      <x:c r="C2636" t="e">
        <x:f>HYPERLINK("https://belberrycrm.bitrix24.ru/crm/deal/details/21726/","https://belberrycrm.bitrix24.ru/crm/deal/details/21726/")</x:f>
      </x:c>
      <x:c r="D2636" t="str">
        <x:v>Реанимация</x:v>
      </x:c>
      <x:c r="E2636" t="str">
        <x:v>ЛИДЫ: Отвалы</x:v>
      </x:c>
      <x:c r="F2636" t="str">
        <x:v>Петр Дудин</x:v>
      </x:c>
      <x:c r="G2636" t="str">
        <x:v>нет</x:v>
      </x:c>
      <x:c r="H2636" t="str">
        <x:v>нет</x:v>
      </x:c>
    </x:row>
    <x:row r="2637">
      <x:c r="A2637" t="str">
        <x:v>21732</x:v>
      </x:c>
      <x:c r="B2637" t="str">
        <x:v>ООО "ЭЛЬ-КЛИНИК"</x:v>
      </x:c>
      <x:c r="C2637" t="e">
        <x:f>HYPERLINK("https://belberrycrm.bitrix24.ru/crm/deal/details/21732/","https://belberrycrm.bitrix24.ru/crm/deal/details/21732/")</x:f>
      </x:c>
      <x:c r="D2637" t="str">
        <x:v>Реанимация</x:v>
      </x:c>
      <x:c r="E2637" t="str">
        <x:v>ЛИДЫ: Отвалы</x:v>
      </x:c>
      <x:c r="F2637" t="str">
        <x:v>Дарья Исаева</x:v>
      </x:c>
      <x:c r="G2637" t="str">
        <x:v>да</x:v>
      </x:c>
      <x:c r="H2637" t="str">
        <x:v>нет</x:v>
      </x:c>
    </x:row>
    <x:row r="2638">
      <x:c r="A2638" t="str">
        <x:v>21734</x:v>
      </x:c>
      <x:c r="B2638" t="str">
        <x:v>turgenevsky23.ru</x:v>
      </x:c>
      <x:c r="C2638" t="e">
        <x:f>HYPERLINK("https://belberrycrm.bitrix24.ru/crm/deal/details/21734/","https://belberrycrm.bitrix24.ru/crm/deal/details/21734/")</x:f>
      </x:c>
      <x:c r="D2638" t="str">
        <x:v>Реанимация</x:v>
      </x:c>
      <x:c r="E2638" t="str">
        <x:v>ЛИДЫ: Отвалы</x:v>
      </x:c>
      <x:c r="F2638" t="str">
        <x:v>Елизавета Деговцова</x:v>
      </x:c>
      <x:c r="G2638" t="str">
        <x:v>да</x:v>
      </x:c>
      <x:c r="H2638" t="str">
        <x:v>нет</x:v>
      </x:c>
    </x:row>
    <x:row r="2639">
      <x:c r="A2639" t="str">
        <x:v>21736</x:v>
      </x:c>
      <x:c r="B2639" t="str">
        <x:v>Дублинская Екатерина Дмитриева (гинеколог)</x:v>
      </x:c>
      <x:c r="C2639" t="e">
        <x:f>HYPERLINK("https://belberrycrm.bitrix24.ru/crm/deal/details/21736/","https://belberrycrm.bitrix24.ru/crm/deal/details/21736/")</x:f>
      </x:c>
      <x:c r="D2639" t="str">
        <x:v>Реанимация</x:v>
      </x:c>
      <x:c r="E2639" t="str">
        <x:v>ЛИДЫ: Отвалы</x:v>
      </x:c>
      <x:c r="F2639" t="str">
        <x:v>Петр Дудин</x:v>
      </x:c>
      <x:c r="G2639" t="str">
        <x:v>нет</x:v>
      </x:c>
      <x:c r="H2639" t="str">
        <x:v>нет</x:v>
      </x:c>
    </x:row>
    <x:row r="2640">
      <x:c r="A2640" t="str">
        <x:v>21738</x:v>
      </x:c>
      <x:c r="B2640" t="str">
        <x:v>Заявка с сайта от юлия 79858684088</x:v>
      </x:c>
      <x:c r="C2640" t="e">
        <x:f>HYPERLINK("https://belberrycrm.bitrix24.ru/crm/deal/details/21738/","https://belberrycrm.bitrix24.ru/crm/deal/details/21738/")</x:f>
      </x:c>
      <x:c r="D2640" t="str">
        <x:v>Реанимация</x:v>
      </x:c>
      <x:c r="E2640" t="str">
        <x:v>ЛИДЫ: Отвалы</x:v>
      </x:c>
      <x:c r="F2640" t="str">
        <x:v>Анна Гудинова</x:v>
      </x:c>
      <x:c r="G2640" t="str">
        <x:v>нет</x:v>
      </x:c>
      <x:c r="H2640" t="str">
        <x:v>нет</x:v>
      </x:c>
    </x:row>
    <x:row r="2641">
      <x:c r="A2641" t="str">
        <x:v>21740</x:v>
      </x:c>
      <x:c r="B2641" t="str">
        <x:v>divodent.ru</x:v>
      </x:c>
      <x:c r="C2641" t="e">
        <x:f>HYPERLINK("https://belberrycrm.bitrix24.ru/crm/deal/details/21740/","https://belberrycrm.bitrix24.ru/crm/deal/details/21740/")</x:f>
      </x:c>
      <x:c r="D2641" t="str">
        <x:v>Реанимация</x:v>
      </x:c>
      <x:c r="E2641" t="str">
        <x:v>ЛИДЫ: Отвалы</x:v>
      </x:c>
      <x:c r="F2641" t="str">
        <x:v>Александр Голядкин</x:v>
      </x:c>
      <x:c r="G2641" t="str">
        <x:v>нет</x:v>
      </x:c>
      <x:c r="H2641" t="str">
        <x:v>нет</x:v>
      </x:c>
    </x:row>
    <x:row r="2642">
      <x:c r="A2642" t="str">
        <x:v>21742</x:v>
      </x:c>
      <x:c r="B2642" t="str">
        <x:v>novdenta.ru</x:v>
      </x:c>
      <x:c r="C2642" t="e">
        <x:f>HYPERLINK("https://belberrycrm.bitrix24.ru/crm/deal/details/21742/","https://belberrycrm.bitrix24.ru/crm/deal/details/21742/")</x:f>
      </x:c>
      <x:c r="D2642" t="str">
        <x:v>Реанимация</x:v>
      </x:c>
      <x:c r="E2642" t="str">
        <x:v>ЛИДЫ: Отвалы</x:v>
      </x:c>
      <x:c r="F2642" t="str">
        <x:v>Александр Голядкин</x:v>
      </x:c>
      <x:c r="G2642" t="str">
        <x:v>нет</x:v>
      </x:c>
      <x:c r="H2642" t="str">
        <x:v>нет</x:v>
      </x:c>
    </x:row>
    <x:row r="2643">
      <x:c r="A2643" t="str">
        <x:v>21746</x:v>
      </x:c>
      <x:c r="B2643" t="str">
        <x:v>omoda-marten.ru</x:v>
      </x:c>
      <x:c r="C2643" t="e">
        <x:f>HYPERLINK("https://belberrycrm.bitrix24.ru/crm/deal/details/21746/","https://belberrycrm.bitrix24.ru/crm/deal/details/21746/")</x:f>
      </x:c>
      <x:c r="D2643" t="str">
        <x:v>Реанимация</x:v>
      </x:c>
      <x:c r="E2643" t="str">
        <x:v>ЛИДЫ: Отвалы</x:v>
      </x:c>
      <x:c r="F2643" t="str">
        <x:v>Александр Голядкин</x:v>
      </x:c>
      <x:c r="G2643" t="str">
        <x:v>да</x:v>
      </x:c>
      <x:c r="H2643" t="str">
        <x:v>нет</x:v>
      </x:c>
    </x:row>
    <x:row r="2644">
      <x:c r="A2644" t="str">
        <x:v>21748</x:v>
      </x:c>
      <x:c r="B2644" t="str">
        <x:v>Салон красоты Миракл</x:v>
      </x:c>
      <x:c r="C2644" t="e">
        <x:f>HYPERLINK("https://belberrycrm.bitrix24.ru/crm/deal/details/21748/","https://belberrycrm.bitrix24.ru/crm/deal/details/21748/")</x:f>
      </x:c>
      <x:c r="D2644" t="str">
        <x:v>Реанимация</x:v>
      </x:c>
      <x:c r="E2644" t="str">
        <x:v>ЛИДЫ: Отвалы</x:v>
      </x:c>
      <x:c r="F2644" t="str">
        <x:v>Мария Ус</x:v>
      </x:c>
      <x:c r="G2644" t="str">
        <x:v>да</x:v>
      </x:c>
      <x:c r="H2644" t="str">
        <x:v>нет</x:v>
      </x:c>
    </x:row>
    <x:row r="2645">
      <x:c r="A2645" t="str">
        <x:v>21750</x:v>
      </x:c>
      <x:c r="B2645" t="str">
        <x:v>Заявка с сайта от Никита 79525990321</x:v>
      </x:c>
      <x:c r="C2645" t="e">
        <x:f>HYPERLINK("https://belberrycrm.bitrix24.ru/crm/deal/details/21750/","https://belberrycrm.bitrix24.ru/crm/deal/details/21750/")</x:f>
      </x:c>
      <x:c r="D2645" t="str">
        <x:v>Реанимация</x:v>
      </x:c>
      <x:c r="E2645" t="str">
        <x:v>ЛИДЫ: Отвалы</x:v>
      </x:c>
      <x:c r="F2645" t="str">
        <x:v>Александр Голядкин</x:v>
      </x:c>
      <x:c r="G2645" t="str">
        <x:v>нет</x:v>
      </x:c>
      <x:c r="H2645" t="str">
        <x:v>нет</x:v>
      </x:c>
    </x:row>
    <x:row r="2646">
      <x:c r="A2646" t="str">
        <x:v>21762</x:v>
      </x:c>
      <x:c r="B2646" t="str">
        <x:v>Звонок от 79812196377</x:v>
      </x:c>
      <x:c r="C2646" t="e">
        <x:f>HYPERLINK("https://belberrycrm.bitrix24.ru/crm/deal/details/21762/","https://belberrycrm.bitrix24.ru/crm/deal/details/21762/")</x:f>
      </x:c>
      <x:c r="D2646" t="str">
        <x:v>Реанимация</x:v>
      </x:c>
      <x:c r="E2646" t="str">
        <x:v>ЛИДЫ: Отвалы</x:v>
      </x:c>
      <x:c r="F2646" t="str">
        <x:v>Мария Ус</x:v>
      </x:c>
      <x:c r="G2646" t="str">
        <x:v>нет</x:v>
      </x:c>
      <x:c r="H2646" t="str">
        <x:v>нет</x:v>
      </x:c>
    </x:row>
    <x:row r="2647">
      <x:c r="A2647" t="str">
        <x:v>21764</x:v>
      </x:c>
      <x:c r="B2647" t="str">
        <x:v>kunstkamera.ru</x:v>
      </x:c>
      <x:c r="C2647" t="e">
        <x:f>HYPERLINK("https://belberrycrm.bitrix24.ru/crm/deal/details/21764/","https://belberrycrm.bitrix24.ru/crm/deal/details/21764/")</x:f>
      </x:c>
      <x:c r="D2647" t="str">
        <x:v>Реанимация</x:v>
      </x:c>
      <x:c r="E2647" t="str">
        <x:v>ЛИДЫ: Отвалы</x:v>
      </x:c>
      <x:c r="F2647" t="str">
        <x:v>Александр Голядкин</x:v>
      </x:c>
      <x:c r="G2647" t="str">
        <x:v>да</x:v>
      </x:c>
      <x:c r="H2647" t="str">
        <x:v>нет</x:v>
      </x:c>
    </x:row>
    <x:row r="2648">
      <x:c r="A2648" t="str">
        <x:v>21766</x:v>
      </x:c>
      <x:c r="B2648" t="str">
        <x:v>Валерий - Открытая линия Acoola</x:v>
      </x:c>
      <x:c r="C2648" t="e">
        <x:f>HYPERLINK("https://belberrycrm.bitrix24.ru/crm/deal/details/21766/","https://belberrycrm.bitrix24.ru/crm/deal/details/21766/")</x:f>
      </x:c>
      <x:c r="D2648" t="str">
        <x:v>Реанимация</x:v>
      </x:c>
      <x:c r="E2648" t="str">
        <x:v>ЛИДЫ: Отвалы</x:v>
      </x:c>
      <x:c r="F2648" t="str">
        <x:v>Александр Голядкин</x:v>
      </x:c>
      <x:c r="G2648" t="str">
        <x:v>нет</x:v>
      </x:c>
      <x:c r="H2648" t="str">
        <x:v>нет</x:v>
      </x:c>
    </x:row>
    <x:row r="2649">
      <x:c r="A2649" t="str">
        <x:v>21768</x:v>
      </x:c>
      <x:c r="B2649" t="str">
        <x:v>Заявка с сайта от Леонид 79115019149</x:v>
      </x:c>
      <x:c r="C2649" t="e">
        <x:f>HYPERLINK("https://belberrycrm.bitrix24.ru/crm/deal/details/21768/","https://belberrycrm.bitrix24.ru/crm/deal/details/21768/")</x:f>
      </x:c>
      <x:c r="D2649" t="str">
        <x:v>Реанимация</x:v>
      </x:c>
      <x:c r="E2649" t="str">
        <x:v>ЛИДЫ: Отвалы</x:v>
      </x:c>
      <x:c r="F2649" t="str">
        <x:v>Мария Ус</x:v>
      </x:c>
      <x:c r="G2649" t="str">
        <x:v>нет</x:v>
      </x:c>
      <x:c r="H2649" t="str">
        <x:v>нет</x:v>
      </x:c>
    </x:row>
    <x:row r="2650">
      <x:c r="A2650" t="str">
        <x:v>21770</x:v>
      </x:c>
      <x:c r="B2650" t="str">
        <x:v>parkavspace.ru</x:v>
      </x:c>
      <x:c r="C2650" t="e">
        <x:f>HYPERLINK("https://belberrycrm.bitrix24.ru/crm/deal/details/21770/","https://belberrycrm.bitrix24.ru/crm/deal/details/21770/")</x:f>
      </x:c>
      <x:c r="D2650" t="str">
        <x:v>Реанимация</x:v>
      </x:c>
      <x:c r="E2650" t="str">
        <x:v>ЛИДЫ: Отвалы</x:v>
      </x:c>
      <x:c r="F2650" t="str">
        <x:v>Мария Ус</x:v>
      </x:c>
      <x:c r="G2650" t="str">
        <x:v>нет</x:v>
      </x:c>
      <x:c r="H2650" t="str">
        <x:v>нет</x:v>
      </x:c>
    </x:row>
    <x:row r="2651">
      <x:c r="A2651" t="str">
        <x:v>21778</x:v>
      </x:c>
      <x:c r="B2651" t="str">
        <x:v>анатомия27.рф</x:v>
      </x:c>
      <x:c r="C2651" t="e">
        <x:f>HYPERLINK("https://belberrycrm.bitrix24.ru/crm/deal/details/21778/","https://belberrycrm.bitrix24.ru/crm/deal/details/21778/")</x:f>
      </x:c>
      <x:c r="D2651" t="str">
        <x:v>Реанимация</x:v>
      </x:c>
      <x:c r="E2651" t="str">
        <x:v>ЛИДЫ: Отвалы</x:v>
      </x:c>
      <x:c r="F2651" t="str">
        <x:v>Александр Голядкин</x:v>
      </x:c>
      <x:c r="G2651" t="str">
        <x:v>нет</x:v>
      </x:c>
      <x:c r="H2651" t="str">
        <x:v>нет</x:v>
      </x:c>
    </x:row>
    <x:row r="2652">
      <x:c r="A2652" t="str">
        <x:v>21782</x:v>
      </x:c>
      <x:c r="B2652" t="str">
        <x:v>ландшафтный дизайн</x:v>
      </x:c>
      <x:c r="C2652" t="e">
        <x:f>HYPERLINK("https://belberrycrm.bitrix24.ru/crm/deal/details/21782/","https://belberrycrm.bitrix24.ru/crm/deal/details/21782/")</x:f>
      </x:c>
      <x:c r="D2652" t="str">
        <x:v>Реанимация</x:v>
      </x:c>
      <x:c r="E2652" t="str">
        <x:v>ЛИДЫ: Отвалы</x:v>
      </x:c>
      <x:c r="F2652" t="str">
        <x:v>Александр Голядкин</x:v>
      </x:c>
      <x:c r="G2652" t="str">
        <x:v>нет</x:v>
      </x:c>
      <x:c r="H2652" t="str">
        <x:v>нет</x:v>
      </x:c>
    </x:row>
    <x:row r="2653">
      <x:c r="A2653" t="str">
        <x:v>21784</x:v>
      </x:c>
      <x:c r="B2653" t="str">
        <x:v>alexanderbogdanov.com</x:v>
      </x:c>
      <x:c r="C2653" t="e">
        <x:f>HYPERLINK("https://belberrycrm.bitrix24.ru/crm/deal/details/21784/","https://belberrycrm.bitrix24.ru/crm/deal/details/21784/")</x:f>
      </x:c>
      <x:c r="D2653" t="str">
        <x:v>Реанимация</x:v>
      </x:c>
      <x:c r="E2653" t="str">
        <x:v>ЛИДЫ: Отвалы</x:v>
      </x:c>
      <x:c r="F2653" t="str">
        <x:v>Александр Голядкин</x:v>
      </x:c>
      <x:c r="G2653" t="str">
        <x:v>нет</x:v>
      </x:c>
      <x:c r="H2653" t="str">
        <x:v>нет</x:v>
      </x:c>
    </x:row>
    <x:row r="2654">
      <x:c r="A2654" t="str">
        <x:v>21786</x:v>
      </x:c>
      <x:c r="B2654" t="str">
        <x:v>Заявка с сайта от Екатерина 79998095999</x:v>
      </x:c>
      <x:c r="C2654" t="e">
        <x:f>HYPERLINK("https://belberrycrm.bitrix24.ru/crm/deal/details/21786/","https://belberrycrm.bitrix24.ru/crm/deal/details/21786/")</x:f>
      </x:c>
      <x:c r="D2654" t="str">
        <x:v>Реанимация</x:v>
      </x:c>
      <x:c r="E2654" t="str">
        <x:v>ЛИДЫ: Отвалы</x:v>
      </x:c>
      <x:c r="F2654" t="str">
        <x:v>Александр Голядкин</x:v>
      </x:c>
      <x:c r="G2654" t="str">
        <x:v>нет</x:v>
      </x:c>
      <x:c r="H2654" t="str">
        <x:v>нет</x:v>
      </x:c>
    </x:row>
    <x:row r="2655">
      <x:c r="A2655" t="str">
        <x:v>21788</x:v>
      </x:c>
      <x:c r="B2655" t="str">
        <x:v>Алексей.</x:v>
      </x:c>
      <x:c r="C2655" t="e">
        <x:f>HYPERLINK("https://belberrycrm.bitrix24.ru/crm/deal/details/21788/","https://belberrycrm.bitrix24.ru/crm/deal/details/21788/")</x:f>
      </x:c>
      <x:c r="D2655" t="str">
        <x:v>Реанимация</x:v>
      </x:c>
      <x:c r="E2655" t="str">
        <x:v>ЛИДЫ: Отвалы</x:v>
      </x:c>
      <x:c r="F2655" t="str">
        <x:v>Петр Дудин</x:v>
      </x:c>
      <x:c r="G2655" t="str">
        <x:v>нет</x:v>
      </x:c>
      <x:c r="H2655" t="str">
        <x:v>нет</x:v>
      </x:c>
    </x:row>
    <x:row r="2656">
      <x:c r="A2656" t="str">
        <x:v>21790</x:v>
      </x:c>
      <x:c r="B2656" t="str">
        <x:v>Звонок от 79375224146</x:v>
      </x:c>
      <x:c r="C2656" t="e">
        <x:f>HYPERLINK("https://belberrycrm.bitrix24.ru/crm/deal/details/21790/","https://belberrycrm.bitrix24.ru/crm/deal/details/21790/")</x:f>
      </x:c>
      <x:c r="D2656" t="str">
        <x:v>Реанимация</x:v>
      </x:c>
      <x:c r="E2656" t="str">
        <x:v>ЛИДЫ: Отвалы</x:v>
      </x:c>
      <x:c r="F2656" t="str">
        <x:v>Петр Дудин</x:v>
      </x:c>
      <x:c r="G2656" t="str">
        <x:v>нет</x:v>
      </x:c>
      <x:c r="H2656" t="str">
        <x:v>нет</x:v>
      </x:c>
    </x:row>
    <x:row r="2657">
      <x:c r="A2657" t="str">
        <x:v>21792</x:v>
      </x:c>
      <x:c r="B2657" t="str">
        <x:v>Заявка с сайта от Али 79036810250</x:v>
      </x:c>
      <x:c r="C2657" t="e">
        <x:f>HYPERLINK("https://belberrycrm.bitrix24.ru/crm/deal/details/21792/","https://belberrycrm.bitrix24.ru/crm/deal/details/21792/")</x:f>
      </x:c>
      <x:c r="D2657" t="str">
        <x:v>Реанимация</x:v>
      </x:c>
      <x:c r="E2657" t="str">
        <x:v>ЛИДЫ: Отвалы</x:v>
      </x:c>
      <x:c r="F2657" t="str">
        <x:v>Петр Дудин</x:v>
      </x:c>
      <x:c r="G2657" t="str">
        <x:v>нет</x:v>
      </x:c>
      <x:c r="H2657" t="str">
        <x:v>нет</x:v>
      </x:c>
    </x:row>
    <x:row r="2658">
      <x:c r="A2658" t="str">
        <x:v>21794</x:v>
      </x:c>
      <x:c r="B2658" t="str">
        <x:v>Минеев Владимир Евгениевич</x:v>
      </x:c>
      <x:c r="C2658" t="e">
        <x:f>HYPERLINK("https://belberrycrm.bitrix24.ru/crm/deal/details/21794/","https://belberrycrm.bitrix24.ru/crm/deal/details/21794/")</x:f>
      </x:c>
      <x:c r="D2658" t="str">
        <x:v>Реанимация</x:v>
      </x:c>
      <x:c r="E2658" t="str">
        <x:v>ЛИДЫ: Отвалы</x:v>
      </x:c>
      <x:c r="F2658" t="str">
        <x:v>Петр Дудин</x:v>
      </x:c>
      <x:c r="G2658" t="str">
        <x:v>нет</x:v>
      </x:c>
      <x:c r="H2658" t="str">
        <x:v>нет</x:v>
      </x:c>
    </x:row>
    <x:row r="2659">
      <x:c r="A2659" t="str">
        <x:v>21796</x:v>
      </x:c>
      <x:c r="B2659" t="str">
        <x:v>Звонок от 79105091934</x:v>
      </x:c>
      <x:c r="C2659" t="e">
        <x:f>HYPERLINK("https://belberrycrm.bitrix24.ru/crm/deal/details/21796/","https://belberrycrm.bitrix24.ru/crm/deal/details/21796/")</x:f>
      </x:c>
      <x:c r="D2659" t="str">
        <x:v>Реанимация</x:v>
      </x:c>
      <x:c r="E2659" t="str">
        <x:v>ЛИДЫ: Отвалы</x:v>
      </x:c>
      <x:c r="F2659" t="str">
        <x:v>Александр Голядкин</x:v>
      </x:c>
      <x:c r="G2659" t="str">
        <x:v>нет</x:v>
      </x:c>
      <x:c r="H2659" t="str">
        <x:v>нет</x:v>
      </x:c>
    </x:row>
    <x:row r="2660">
      <x:c r="A2660" t="str">
        <x:v>21798</x:v>
      </x:c>
      <x:c r="B2660" t="str">
        <x:v>максим автоцентр</x:v>
      </x:c>
      <x:c r="C2660" t="e">
        <x:f>HYPERLINK("https://belberrycrm.bitrix24.ru/crm/deal/details/21798/","https://belberrycrm.bitrix24.ru/crm/deal/details/21798/")</x:f>
      </x:c>
      <x:c r="D2660" t="str">
        <x:v>Реанимация</x:v>
      </x:c>
      <x:c r="E2660" t="str">
        <x:v>ЛИДЫ: Отвалы</x:v>
      </x:c>
      <x:c r="F2660" t="str">
        <x:v>Александр Голядкин</x:v>
      </x:c>
      <x:c r="G2660" t="str">
        <x:v>нет</x:v>
      </x:c>
      <x:c r="H2660" t="str">
        <x:v>нет</x:v>
      </x:c>
    </x:row>
    <x:row r="2661">
      <x:c r="A2661" t="str">
        <x:v>21800</x:v>
      </x:c>
      <x:c r="B2661" t="str">
        <x:v>Заявка с сайта от Маша 79185526251</x:v>
      </x:c>
      <x:c r="C2661" t="e">
        <x:f>HYPERLINK("https://belberrycrm.bitrix24.ru/crm/deal/details/21800/","https://belberrycrm.bitrix24.ru/crm/deal/details/21800/")</x:f>
      </x:c>
      <x:c r="D2661" t="str">
        <x:v>Реанимация</x:v>
      </x:c>
      <x:c r="E2661" t="str">
        <x:v>ЛИДЫ: Отвалы</x:v>
      </x:c>
      <x:c r="F2661" t="str">
        <x:v>Александр Голядкин</x:v>
      </x:c>
      <x:c r="G2661" t="str">
        <x:v>нет</x:v>
      </x:c>
      <x:c r="H2661" t="str">
        <x:v>нет</x:v>
      </x:c>
    </x:row>
    <x:row r="2662">
      <x:c r="A2662" t="str">
        <x:v>21802</x:v>
      </x:c>
      <x:c r="B2662" t="str">
        <x:v>Звонок от 79627055181</x:v>
      </x:c>
      <x:c r="C2662" t="e">
        <x:f>HYPERLINK("https://belberrycrm.bitrix24.ru/crm/deal/details/21802/","https://belberrycrm.bitrix24.ru/crm/deal/details/21802/")</x:f>
      </x:c>
      <x:c r="D2662" t="str">
        <x:v>Реанимация</x:v>
      </x:c>
      <x:c r="E2662" t="str">
        <x:v>ЛИДЫ: Отвалы</x:v>
      </x:c>
      <x:c r="F2662" t="str">
        <x:v>Александр Голядкин</x:v>
      </x:c>
      <x:c r="G2662" t="str">
        <x:v>нет</x:v>
      </x:c>
      <x:c r="H2662" t="str">
        <x:v>нет</x:v>
      </x:c>
    </x:row>
    <x:row r="2663">
      <x:c r="A2663" t="str">
        <x:v>21806</x:v>
      </x:c>
      <x:c r="B2663" t="str">
        <x:v>Заявка с сайта от Мария 79227012211</x:v>
      </x:c>
      <x:c r="C2663" t="e">
        <x:f>HYPERLINK("https://belberrycrm.bitrix24.ru/crm/deal/details/21806/","https://belberrycrm.bitrix24.ru/crm/deal/details/21806/")</x:f>
      </x:c>
      <x:c r="D2663" t="str">
        <x:v>Реанимация</x:v>
      </x:c>
      <x:c r="E2663" t="str">
        <x:v>ЛИДЫ: Отвалы</x:v>
      </x:c>
      <x:c r="F2663" t="str">
        <x:v>Александр Голядкин</x:v>
      </x:c>
      <x:c r="G2663" t="str">
        <x:v>нет</x:v>
      </x:c>
      <x:c r="H2663" t="str">
        <x:v>нет</x:v>
      </x:c>
    </x:row>
    <x:row r="2664">
      <x:c r="A2664" t="str">
        <x:v>21808</x:v>
      </x:c>
      <x:c r="B2664" t="str">
        <x:v>Email | hello@belberry.net от Александра alexandra.bel9900@gmail.com</x:v>
      </x:c>
      <x:c r="C2664" t="e">
        <x:f>HYPERLINK("https://belberrycrm.bitrix24.ru/crm/deal/details/21808/","https://belberrycrm.bitrix24.ru/crm/deal/details/21808/")</x:f>
      </x:c>
      <x:c r="D2664" t="str">
        <x:v>Реанимация</x:v>
      </x:c>
      <x:c r="E2664" t="str">
        <x:v>ЛИДЫ: Отвалы</x:v>
      </x:c>
      <x:c r="F2664" t="str">
        <x:v>Петр Дудин</x:v>
      </x:c>
      <x:c r="G2664" t="str">
        <x:v>нет</x:v>
      </x:c>
      <x:c r="H2664" t="str">
        <x:v>нет</x:v>
      </x:c>
    </x:row>
    <x:row r="2665">
      <x:c r="A2665" t="str">
        <x:v>21810</x:v>
      </x:c>
      <x:c r="B2665" t="str">
        <x:v>Звонок от 79152474164</x:v>
      </x:c>
      <x:c r="C2665" t="e">
        <x:f>HYPERLINK("https://belberrycrm.bitrix24.ru/crm/deal/details/21810/","https://belberrycrm.bitrix24.ru/crm/deal/details/21810/")</x:f>
      </x:c>
      <x:c r="D2665" t="str">
        <x:v>Реанимация</x:v>
      </x:c>
      <x:c r="E2665" t="str">
        <x:v>ЛИДЫ: Отвалы</x:v>
      </x:c>
      <x:c r="F2665" t="str">
        <x:v>Александр Голядкин</x:v>
      </x:c>
      <x:c r="G2665" t="str">
        <x:v>нет</x:v>
      </x:c>
      <x:c r="H2665" t="str">
        <x:v>нет</x:v>
      </x:c>
    </x:row>
    <x:row r="2666">
      <x:c r="A2666" t="str">
        <x:v>21814</x:v>
      </x:c>
      <x:c r="B2666" t="str">
        <x:v>Таис Зейналова (косметология)</x:v>
      </x:c>
      <x:c r="C2666" t="e">
        <x:f>HYPERLINK("https://belberrycrm.bitrix24.ru/crm/deal/details/21814/","https://belberrycrm.bitrix24.ru/crm/deal/details/21814/")</x:f>
      </x:c>
      <x:c r="D2666" t="str">
        <x:v>Реанимация</x:v>
      </x:c>
      <x:c r="E2666" t="str">
        <x:v>ЛИДЫ: Отвалы</x:v>
      </x:c>
      <x:c r="F2666" t="str">
        <x:v>Петр Дудин</x:v>
      </x:c>
      <x:c r="G2666" t="str">
        <x:v>нет</x:v>
      </x:c>
      <x:c r="H2666" t="str">
        <x:v>нет</x:v>
      </x:c>
    </x:row>
    <x:row r="2667">
      <x:c r="A2667" t="str">
        <x:v>21816</x:v>
      </x:c>
      <x:c r="B2667" t="str">
        <x:v>Заявка с сайта от Антон 79273122022</x:v>
      </x:c>
      <x:c r="C2667" t="e">
        <x:f>HYPERLINK("https://belberrycrm.bitrix24.ru/crm/deal/details/21816/","https://belberrycrm.bitrix24.ru/crm/deal/details/21816/")</x:f>
      </x:c>
      <x:c r="D2667" t="str">
        <x:v>Реанимация</x:v>
      </x:c>
      <x:c r="E2667" t="str">
        <x:v>ЛИДЫ: Отвалы</x:v>
      </x:c>
      <x:c r="F2667" t="str">
        <x:v>Александр Голядкин</x:v>
      </x:c>
      <x:c r="G2667" t="str">
        <x:v>нет</x:v>
      </x:c>
      <x:c r="H2667" t="str">
        <x:v>нет</x:v>
      </x:c>
    </x:row>
    <x:row r="2668">
      <x:c r="A2668" t="str">
        <x:v>21818</x:v>
      </x:c>
      <x:c r="B2668" t="str">
        <x:v>Звонок от 79933848580</x:v>
      </x:c>
      <x:c r="C2668" t="e">
        <x:f>HYPERLINK("https://belberrycrm.bitrix24.ru/crm/deal/details/21818/","https://belberrycrm.bitrix24.ru/crm/deal/details/21818/")</x:f>
      </x:c>
      <x:c r="D2668" t="str">
        <x:v>Реанимация</x:v>
      </x:c>
      <x:c r="E2668" t="str">
        <x:v>ЛИДЫ: Отвалы</x:v>
      </x:c>
      <x:c r="F2668" t="str">
        <x:v>Евгения Гордиенко</x:v>
      </x:c>
      <x:c r="G2668" t="str">
        <x:v>нет</x:v>
      </x:c>
      <x:c r="H2668" t="str">
        <x:v>нет</x:v>
      </x:c>
    </x:row>
    <x:row r="2669">
      <x:c r="A2669" t="str">
        <x:v>21820</x:v>
      </x:c>
      <x:c r="B2669" t="str">
        <x:v>Email | hello@acoola.team от Егоров Сергей Васильевич svegorov@roskazna.ru</x:v>
      </x:c>
      <x:c r="C2669" t="e">
        <x:f>HYPERLINK("https://belberrycrm.bitrix24.ru/crm/deal/details/21820/","https://belberrycrm.bitrix24.ru/crm/deal/details/21820/")</x:f>
      </x:c>
      <x:c r="D2669" t="str">
        <x:v>Реанимация</x:v>
      </x:c>
      <x:c r="E2669" t="str">
        <x:v>ЛИДЫ: Отвалы</x:v>
      </x:c>
      <x:c r="F2669" t="str">
        <x:v>Евгения Гордиенко</x:v>
      </x:c>
      <x:c r="G2669" t="str">
        <x:v>нет</x:v>
      </x:c>
      <x:c r="H2669" t="str">
        <x:v>нет</x:v>
      </x:c>
    </x:row>
    <x:row r="2670">
      <x:c r="A2670" t="str">
        <x:v>21822</x:v>
      </x:c>
      <x:c r="B2670" t="str">
        <x:v>Email | hello@belberry.net от Natalia Venevtseva natalia.venevtseva@nizhpharm.ru</x:v>
      </x:c>
      <x:c r="C2670" t="e">
        <x:f>HYPERLINK("https://belberrycrm.bitrix24.ru/crm/deal/details/21822/","https://belberrycrm.bitrix24.ru/crm/deal/details/21822/")</x:f>
      </x:c>
      <x:c r="D2670" t="str">
        <x:v>Реанимация</x:v>
      </x:c>
      <x:c r="E2670" t="str">
        <x:v>ЛИДЫ: Отвалы</x:v>
      </x:c>
      <x:c r="F2670" t="str">
        <x:v>Петр Дудин</x:v>
      </x:c>
      <x:c r="G2670" t="str">
        <x:v>нет</x:v>
      </x:c>
      <x:c r="H2670" t="str">
        <x:v>нет</x:v>
      </x:c>
    </x:row>
    <x:row r="2671">
      <x:c r="A2671" t="str">
        <x:v>21824</x:v>
      </x:c>
      <x:c r="B2671" t="str">
        <x:v>Заявка с сайта от Михаил 79366668388</x:v>
      </x:c>
      <x:c r="C2671" t="e">
        <x:f>HYPERLINK("https://belberrycrm.bitrix24.ru/crm/deal/details/21824/","https://belberrycrm.bitrix24.ru/crm/deal/details/21824/")</x:f>
      </x:c>
      <x:c r="D2671" t="str">
        <x:v>Реанимация</x:v>
      </x:c>
      <x:c r="E2671" t="str">
        <x:v>ЛИДЫ: Отвалы</x:v>
      </x:c>
      <x:c r="F2671" t="str">
        <x:v>Евгения Гордиенко</x:v>
      </x:c>
      <x:c r="G2671" t="str">
        <x:v>нет</x:v>
      </x:c>
      <x:c r="H2671" t="str">
        <x:v>нет</x:v>
      </x:c>
    </x:row>
    <x:row r="2672">
      <x:c r="A2672" t="str">
        <x:v>21826</x:v>
      </x:c>
      <x:c r="B2672" t="str">
        <x:v>Заявка с сайта от Екатерина 79031209433</x:v>
      </x:c>
      <x:c r="C2672" t="e">
        <x:f>HYPERLINK("https://belberrycrm.bitrix24.ru/crm/deal/details/21826/","https://belberrycrm.bitrix24.ru/crm/deal/details/21826/")</x:f>
      </x:c>
      <x:c r="D2672" t="str">
        <x:v>Реанимация</x:v>
      </x:c>
      <x:c r="E2672" t="str">
        <x:v>ЛИДЫ: Отвалы</x:v>
      </x:c>
      <x:c r="F2672" t="str">
        <x:v>Евгения Гордиенко</x:v>
      </x:c>
      <x:c r="G2672" t="str">
        <x:v>нет</x:v>
      </x:c>
      <x:c r="H2672" t="str">
        <x:v>нет</x:v>
      </x:c>
    </x:row>
    <x:row r="2673">
      <x:c r="A2673" t="str">
        <x:v>21828</x:v>
      </x:c>
      <x:c r="B2673" t="str">
        <x:v>Заявка с сайта от Даниил 79067144481</x:v>
      </x:c>
      <x:c r="C2673" t="e">
        <x:f>HYPERLINK("https://belberrycrm.bitrix24.ru/crm/deal/details/21828/","https://belberrycrm.bitrix24.ru/crm/deal/details/21828/")</x:f>
      </x:c>
      <x:c r="D2673" t="str">
        <x:v>Реанимация</x:v>
      </x:c>
      <x:c r="E2673" t="str">
        <x:v>ЛИДЫ: Отвалы</x:v>
      </x:c>
      <x:c r="F2673" t="str">
        <x:v>Анна Гудинова</x:v>
      </x:c>
      <x:c r="G2673" t="str">
        <x:v>нет</x:v>
      </x:c>
      <x:c r="H2673" t="str">
        <x:v>нет</x:v>
      </x:c>
    </x:row>
    <x:row r="2674">
      <x:c r="A2674" t="str">
        <x:v>21830</x:v>
      </x:c>
      <x:c r="B2674" t="str">
        <x:v>Заявка с сайта от Роберт 79177701680</x:v>
      </x:c>
      <x:c r="C2674" t="e">
        <x:f>HYPERLINK("https://belberrycrm.bitrix24.ru/crm/deal/details/21830/","https://belberrycrm.bitrix24.ru/crm/deal/details/21830/")</x:f>
      </x:c>
      <x:c r="D2674" t="str">
        <x:v>Реанимация</x:v>
      </x:c>
      <x:c r="E2674" t="str">
        <x:v>ЛИДЫ: Отвалы</x:v>
      </x:c>
      <x:c r="F2674" t="str">
        <x:v>Евгения Гордиенко</x:v>
      </x:c>
      <x:c r="G2674" t="str">
        <x:v>нет</x:v>
      </x:c>
      <x:c r="H2674" t="str">
        <x:v>нет</x:v>
      </x:c>
    </x:row>
    <x:row r="2675">
      <x:c r="A2675" t="str">
        <x:v>21834</x:v>
      </x:c>
      <x:c r="B2675" t="str">
        <x:v>ООО "Амели"</x:v>
      </x:c>
      <x:c r="C2675" t="e">
        <x:f>HYPERLINK("https://belberrycrm.bitrix24.ru/crm/deal/details/21834/","https://belberrycrm.bitrix24.ru/crm/deal/details/21834/")</x:f>
      </x:c>
      <x:c r="D2675" t="str">
        <x:v>Реанимация</x:v>
      </x:c>
      <x:c r="E2675" t="str">
        <x:v>ЛИДЫ: Отвалы</x:v>
      </x:c>
      <x:c r="F2675" t="str">
        <x:v>Евгения Гордиенко</x:v>
      </x:c>
      <x:c r="G2675" t="str">
        <x:v>нет</x:v>
      </x:c>
      <x:c r="H2675" t="str">
        <x:v>нет</x:v>
      </x:c>
    </x:row>
    <x:row r="2676">
      <x:c r="A2676" t="str">
        <x:v>21836</x:v>
      </x:c>
      <x:c r="B2676" t="str">
        <x:v>Лид от Артур Валерьевич, +79964035808 (E-mail Outreach)</x:v>
      </x:c>
      <x:c r="C2676" t="e">
        <x:f>HYPERLINK("https://belberrycrm.bitrix24.ru/crm/deal/details/21836/","https://belberrycrm.bitrix24.ru/crm/deal/details/21836/")</x:f>
      </x:c>
      <x:c r="D2676" t="str">
        <x:v>Реанимация</x:v>
      </x:c>
      <x:c r="E2676" t="str">
        <x:v>ЛИДЫ: Отвалы</x:v>
      </x:c>
      <x:c r="F2676" t="str">
        <x:v>Екатерина Кохтачева</x:v>
      </x:c>
      <x:c r="G2676" t="str">
        <x:v>нет</x:v>
      </x:c>
      <x:c r="H2676" t="str">
        <x:v>нет</x:v>
      </x:c>
    </x:row>
    <x:row r="2677">
      <x:c r="A2677" t="str">
        <x:v>21838</x:v>
      </x:c>
      <x:c r="B2677" t="str">
        <x:v>Лид от Барчук Илья Леонидович, +79193870017 (E-mail Outreach)</x:v>
      </x:c>
      <x:c r="C2677" t="e">
        <x:f>HYPERLINK("https://belberrycrm.bitrix24.ru/crm/deal/details/21838/","https://belberrycrm.bitrix24.ru/crm/deal/details/21838/")</x:f>
      </x:c>
      <x:c r="D2677" t="str">
        <x:v>Реанимация</x:v>
      </x:c>
      <x:c r="E2677" t="str">
        <x:v>ЛИДЫ: Отвалы</x:v>
      </x:c>
      <x:c r="F2677" t="str">
        <x:v>Евгения Гордиенко</x:v>
      </x:c>
      <x:c r="G2677" t="str">
        <x:v>нет</x:v>
      </x:c>
      <x:c r="H2677" t="str">
        <x:v>нет</x:v>
      </x:c>
    </x:row>
    <x:row r="2678">
      <x:c r="A2678" t="str">
        <x:v>21840</x:v>
      </x:c>
      <x:c r="B2678" t="str">
        <x:v>Лид от Елена Балыкова, +70000000000 (E-mail Outreach)</x:v>
      </x:c>
      <x:c r="C2678" t="e">
        <x:f>HYPERLINK("https://belberrycrm.bitrix24.ru/crm/deal/details/21840/","https://belberrycrm.bitrix24.ru/crm/deal/details/21840/")</x:f>
      </x:c>
      <x:c r="D2678" t="str">
        <x:v>Реанимация</x:v>
      </x:c>
      <x:c r="E2678" t="str">
        <x:v>ЛИДЫ: Отвалы</x:v>
      </x:c>
      <x:c r="F2678" t="str">
        <x:v>Евгения Гордиенко</x:v>
      </x:c>
      <x:c r="G2678" t="str">
        <x:v>нет</x:v>
      </x:c>
      <x:c r="H2678" t="str">
        <x:v>нет</x:v>
      </x:c>
    </x:row>
    <x:row r="2679">
      <x:c r="A2679" t="str">
        <x:v>21842</x:v>
      </x:c>
      <x:c r="B2679" t="str">
        <x:v>Заявка с сайта от Елена 79183790175</x:v>
      </x:c>
      <x:c r="C2679" t="e">
        <x:f>HYPERLINK("https://belberrycrm.bitrix24.ru/crm/deal/details/21842/","https://belberrycrm.bitrix24.ru/crm/deal/details/21842/")</x:f>
      </x:c>
      <x:c r="D2679" t="str">
        <x:v>Реанимация</x:v>
      </x:c>
      <x:c r="E2679" t="str">
        <x:v>ЛИДЫ: Отвалы</x:v>
      </x:c>
      <x:c r="F2679" t="str">
        <x:v>Анна Гудинова</x:v>
      </x:c>
      <x:c r="G2679" t="str">
        <x:v>нет</x:v>
      </x:c>
      <x:c r="H2679" t="str">
        <x:v>нет</x:v>
      </x:c>
    </x:row>
    <x:row r="2680">
      <x:c r="A2680" t="str">
        <x:v>21844</x:v>
      </x:c>
      <x:c r="B2680" t="str">
        <x:v>Заявка с сайта от Андрей 79267005077</x:v>
      </x:c>
      <x:c r="C2680" t="e">
        <x:f>HYPERLINK("https://belberrycrm.bitrix24.ru/crm/deal/details/21844/","https://belberrycrm.bitrix24.ru/crm/deal/details/21844/")</x:f>
      </x:c>
      <x:c r="D2680" t="str">
        <x:v>Реанимация</x:v>
      </x:c>
      <x:c r="E2680" t="str">
        <x:v>ЛИДЫ: Отвалы</x:v>
      </x:c>
      <x:c r="F2680" t="str">
        <x:v>Евгения Гордиенко</x:v>
      </x:c>
      <x:c r="G2680" t="str">
        <x:v>нет</x:v>
      </x:c>
      <x:c r="H2680" t="str">
        <x:v>нет</x:v>
      </x:c>
    </x:row>
    <x:row r="2681">
      <x:c r="A2681" t="str">
        <x:v>21846</x:v>
      </x:c>
      <x:c r="B2681" t="str">
        <x:v>Заявка с сайта от Захар 79094318108</x:v>
      </x:c>
      <x:c r="C2681" t="e">
        <x:f>HYPERLINK("https://belberrycrm.bitrix24.ru/crm/deal/details/21846/","https://belberrycrm.bitrix24.ru/crm/deal/details/21846/")</x:f>
      </x:c>
      <x:c r="D2681" t="str">
        <x:v>Реанимация</x:v>
      </x:c>
      <x:c r="E2681" t="str">
        <x:v>ЛИДЫ: Отвалы</x:v>
      </x:c>
      <x:c r="F2681" t="str">
        <x:v>Петр Дудин</x:v>
      </x:c>
      <x:c r="G2681" t="str">
        <x:v>нет</x:v>
      </x:c>
      <x:c r="H2681" t="str">
        <x:v>нет</x:v>
      </x:c>
    </x:row>
    <x:row r="2682">
      <x:c r="A2682" t="str">
        <x:v>21848</x:v>
      </x:c>
      <x:c r="B2682" t="str">
        <x:v>Звонок от 79265712227</x:v>
      </x:c>
      <x:c r="C2682" t="e">
        <x:f>HYPERLINK("https://belberrycrm.bitrix24.ru/crm/deal/details/21848/","https://belberrycrm.bitrix24.ru/crm/deal/details/21848/")</x:f>
      </x:c>
      <x:c r="D2682" t="str">
        <x:v>Реанимация</x:v>
      </x:c>
      <x:c r="E2682" t="str">
        <x:v>ЛИДЫ: Отвалы</x:v>
      </x:c>
      <x:c r="F2682" t="str">
        <x:v>Евгения Гордиенко</x:v>
      </x:c>
      <x:c r="G2682" t="str">
        <x:v>нет</x:v>
      </x:c>
      <x:c r="H2682" t="str">
        <x:v>нет</x:v>
      </x:c>
    </x:row>
    <x:row r="2683">
      <x:c r="A2683" t="str">
        <x:v>21850</x:v>
      </x:c>
      <x:c r="B2683" t="str">
        <x:v>Лид от Минор Дмитрий, +70000000000 (E-mail Outreach)</x:v>
      </x:c>
      <x:c r="C2683" t="e">
        <x:f>HYPERLINK("https://belberrycrm.bitrix24.ru/crm/deal/details/21850/","https://belberrycrm.bitrix24.ru/crm/deal/details/21850/")</x:f>
      </x:c>
      <x:c r="D2683" t="str">
        <x:v>Реанимация</x:v>
      </x:c>
      <x:c r="E2683" t="str">
        <x:v>ЛИДЫ: Отвалы</x:v>
      </x:c>
      <x:c r="F2683" t="str">
        <x:v>Екатерина Кохтачева</x:v>
      </x:c>
      <x:c r="G2683" t="str">
        <x:v>нет</x:v>
      </x:c>
      <x:c r="H2683" t="str">
        <x:v>нет</x:v>
      </x:c>
    </x:row>
    <x:row r="2684">
      <x:c r="A2684" t="str">
        <x:v>21856</x:v>
      </x:c>
      <x:c r="B2684" t="str">
        <x:v>Андрей Щукин</x:v>
      </x:c>
      <x:c r="C2684" t="e">
        <x:f>HYPERLINK("https://belberrycrm.bitrix24.ru/crm/deal/details/21856/","https://belberrycrm.bitrix24.ru/crm/deal/details/21856/")</x:f>
      </x:c>
      <x:c r="D2684" t="str">
        <x:v>Реанимация</x:v>
      </x:c>
      <x:c r="E2684" t="str">
        <x:v>ЛИДЫ: Отвалы</x:v>
      </x:c>
      <x:c r="F2684" t="str">
        <x:v>Петр Дудин</x:v>
      </x:c>
      <x:c r="G2684" t="str">
        <x:v>нет</x:v>
      </x:c>
      <x:c r="H2684" t="str">
        <x:v>нет</x:v>
      </x:c>
    </x:row>
    <x:row r="2685">
      <x:c r="A2685" t="str">
        <x:v>21858</x:v>
      </x:c>
      <x:c r="B2685" t="str">
        <x:v>КАШАПОВА ДИЛЯРА ЛЕНАРОВНА Доставка готовых рационов по подписке</x:v>
      </x:c>
      <x:c r="C2685" t="e">
        <x:f>HYPERLINK("https://belberrycrm.bitrix24.ru/crm/deal/details/21858/","https://belberrycrm.bitrix24.ru/crm/deal/details/21858/")</x:f>
      </x:c>
      <x:c r="D2685" t="str">
        <x:v>Реанимация</x:v>
      </x:c>
      <x:c r="E2685" t="str">
        <x:v>ЛИДЫ: Отвалы</x:v>
      </x:c>
      <x:c r="F2685" t="str">
        <x:v>Екатерина Кохтачева</x:v>
      </x:c>
      <x:c r="G2685" t="str">
        <x:v>нет</x:v>
      </x:c>
      <x:c r="H2685" t="str">
        <x:v>нет</x:v>
      </x:c>
    </x:row>
    <x:row r="2686">
      <x:c r="A2686" t="str">
        <x:v>21860</x:v>
      </x:c>
      <x:c r="B2686" t="str">
        <x:v>ovmplus.ru</x:v>
      </x:c>
      <x:c r="C2686" t="e">
        <x:f>HYPERLINK("https://belberrycrm.bitrix24.ru/crm/deal/details/21860/","https://belberrycrm.bitrix24.ru/crm/deal/details/21860/")</x:f>
      </x:c>
      <x:c r="D2686" t="str">
        <x:v>Реанимация</x:v>
      </x:c>
      <x:c r="E2686" t="str">
        <x:v>ЛИДЫ: Отвалы</x:v>
      </x:c>
      <x:c r="F2686" t="str">
        <x:v>Евгения Гордиенко</x:v>
      </x:c>
      <x:c r="G2686" t="str">
        <x:v>нет</x:v>
      </x:c>
      <x:c r="H2686" t="str">
        <x:v>нет</x:v>
      </x:c>
    </x:row>
    <x:row r="2687">
      <x:c r="A2687" t="str">
        <x:v>21864</x:v>
      </x:c>
      <x:c r="B2687" t="str">
        <x:v>Милена Цибирова</x:v>
      </x:c>
      <x:c r="C2687" t="e">
        <x:f>HYPERLINK("https://belberrycrm.bitrix24.ru/crm/deal/details/21864/","https://belberrycrm.bitrix24.ru/crm/deal/details/21864/")</x:f>
      </x:c>
      <x:c r="D2687" t="str">
        <x:v>Реанимация</x:v>
      </x:c>
      <x:c r="E2687" t="str">
        <x:v>ЛИДЫ: Отвалы</x:v>
      </x:c>
      <x:c r="F2687" t="str">
        <x:v>Павел Фролов</x:v>
      </x:c>
      <x:c r="G2687" t="str">
        <x:v>нет</x:v>
      </x:c>
      <x:c r="H2687" t="str">
        <x:v>нет</x:v>
      </x:c>
    </x:row>
    <x:row r="2688">
      <x:c r="A2688" t="str">
        <x:v>21868</x:v>
      </x:c>
      <x:c r="B2688" t="str">
        <x:v>Владимир автоподбор</x:v>
      </x:c>
      <x:c r="C2688" t="e">
        <x:f>HYPERLINK("https://belberrycrm.bitrix24.ru/crm/deal/details/21868/","https://belberrycrm.bitrix24.ru/crm/deal/details/21868/")</x:f>
      </x:c>
      <x:c r="D2688" t="str">
        <x:v>Реанимация</x:v>
      </x:c>
      <x:c r="E2688" t="str">
        <x:v>ЛИДЫ: Отвалы</x:v>
      </x:c>
      <x:c r="F2688" t="str">
        <x:v>Анна Гудинова</x:v>
      </x:c>
      <x:c r="G2688" t="str">
        <x:v>нет</x:v>
      </x:c>
      <x:c r="H2688" t="str">
        <x:v>нет</x:v>
      </x:c>
    </x:row>
    <x:row r="2689">
      <x:c r="A2689" t="str">
        <x:v>21870</x:v>
      </x:c>
      <x:c r="B2689" t="str">
        <x:v>tomilinavictoria.ru</x:v>
      </x:c>
      <x:c r="C2689" t="e">
        <x:f>HYPERLINK("https://belberrycrm.bitrix24.ru/crm/deal/details/21870/","https://belberrycrm.bitrix24.ru/crm/deal/details/21870/")</x:f>
      </x:c>
      <x:c r="D2689" t="str">
        <x:v>Реанимация</x:v>
      </x:c>
      <x:c r="E2689" t="str">
        <x:v>ЛИДЫ: Отвалы</x:v>
      </x:c>
      <x:c r="F2689" t="str">
        <x:v>Петр Дудин</x:v>
      </x:c>
      <x:c r="G2689" t="str">
        <x:v>да</x:v>
      </x:c>
      <x:c r="H2689" t="str">
        <x:v>нет</x:v>
      </x:c>
    </x:row>
    <x:row r="2690">
      <x:c r="A2690" t="str">
        <x:v>21872</x:v>
      </x:c>
      <x:c r="B2690" t="str">
        <x:v>Звонок от 79107371836</x:v>
      </x:c>
      <x:c r="C2690" t="e">
        <x:f>HYPERLINK("https://belberrycrm.bitrix24.ru/crm/deal/details/21872/","https://belberrycrm.bitrix24.ru/crm/deal/details/21872/")</x:f>
      </x:c>
      <x:c r="D2690" t="str">
        <x:v>Реанимация</x:v>
      </x:c>
      <x:c r="E2690" t="str">
        <x:v>ЛИДЫ: Отвалы</x:v>
      </x:c>
      <x:c r="F2690" t="str">
        <x:v>Анна Гудинова</x:v>
      </x:c>
      <x:c r="G2690" t="str">
        <x:v>нет</x:v>
      </x:c>
      <x:c r="H2690" t="str">
        <x:v>нет</x:v>
      </x:c>
    </x:row>
    <x:row r="2691">
      <x:c r="A2691" t="str">
        <x:v>21874</x:v>
      </x:c>
      <x:c r="B2691" t="str">
        <x:v>Email | hello@acoola.team от  o.savenko@balchug-management.ru</x:v>
      </x:c>
      <x:c r="C2691" t="e">
        <x:f>HYPERLINK("https://belberrycrm.bitrix24.ru/crm/deal/details/21874/","https://belberrycrm.bitrix24.ru/crm/deal/details/21874/")</x:f>
      </x:c>
      <x:c r="D2691" t="str">
        <x:v>Реанимация</x:v>
      </x:c>
      <x:c r="E2691" t="str">
        <x:v>ЛИДЫ: Отвалы</x:v>
      </x:c>
      <x:c r="F2691" t="str">
        <x:v>Евгения Гордиенко</x:v>
      </x:c>
      <x:c r="G2691" t="str">
        <x:v>нет</x:v>
      </x:c>
      <x:c r="H2691" t="str">
        <x:v>нет</x:v>
      </x:c>
    </x:row>
    <x:row r="2692">
      <x:c r="A2692" t="str">
        <x:v>21876</x:v>
      </x:c>
      <x:c r="B2692" t="str">
        <x:v>Заполнение CRM-формы "Форма контактных данных для открытых линий"</x:v>
      </x:c>
      <x:c r="C2692" t="e">
        <x:f>HYPERLINK("https://belberrycrm.bitrix24.ru/crm/deal/details/21876/","https://belberrycrm.bitrix24.ru/crm/deal/details/21876/")</x:f>
      </x:c>
      <x:c r="D2692" t="str">
        <x:v>Реанимация</x:v>
      </x:c>
      <x:c r="E2692" t="str">
        <x:v>ЛИДЫ: Отвалы</x:v>
      </x:c>
      <x:c r="F2692" t="str">
        <x:v>Петр Дудин</x:v>
      </x:c>
      <x:c r="G2692" t="str">
        <x:v>нет</x:v>
      </x:c>
      <x:c r="H2692" t="str">
        <x:v>нет</x:v>
      </x:c>
    </x:row>
    <x:row r="2693">
      <x:c r="A2693" t="str">
        <x:v>21878</x:v>
      </x:c>
      <x:c r="B2693" t="str">
        <x:v>Звонок от 79613824362</x:v>
      </x:c>
      <x:c r="C2693" t="e">
        <x:f>HYPERLINK("https://belberrycrm.bitrix24.ru/crm/deal/details/21878/","https://belberrycrm.bitrix24.ru/crm/deal/details/21878/")</x:f>
      </x:c>
      <x:c r="D2693" t="str">
        <x:v>Реанимация</x:v>
      </x:c>
      <x:c r="E2693" t="str">
        <x:v>ЛИДЫ: Отвалы</x:v>
      </x:c>
      <x:c r="F2693" t="str">
        <x:v>Анна Гудинова</x:v>
      </x:c>
      <x:c r="G2693" t="str">
        <x:v>нет</x:v>
      </x:c>
      <x:c r="H2693" t="str">
        <x:v>нет</x:v>
      </x:c>
    </x:row>
    <x:row r="2694">
      <x:c r="A2694" t="str">
        <x:v>21880</x:v>
      </x:c>
      <x:c r="B2694" t="str">
        <x:v>Заявка с сайта от Евгения 79102152953</x:v>
      </x:c>
      <x:c r="C2694" t="e">
        <x:f>HYPERLINK("https://belberrycrm.bitrix24.ru/crm/deal/details/21880/","https://belberrycrm.bitrix24.ru/crm/deal/details/21880/")</x:f>
      </x:c>
      <x:c r="D2694" t="str">
        <x:v>Реанимация</x:v>
      </x:c>
      <x:c r="E2694" t="str">
        <x:v>ЛИДЫ: Отвалы</x:v>
      </x:c>
      <x:c r="F2694" t="str">
        <x:v>Анна Гудинова</x:v>
      </x:c>
      <x:c r="G2694" t="str">
        <x:v>нет</x:v>
      </x:c>
      <x:c r="H2694" t="str">
        <x:v>нет</x:v>
      </x:c>
    </x:row>
    <x:row r="2695">
      <x:c r="A2695" t="str">
        <x:v>21882</x:v>
      </x:c>
      <x:c r="B2695" t="str">
        <x:v>Звонок от 74951059311</x:v>
      </x:c>
      <x:c r="C2695" t="e">
        <x:f>HYPERLINK("https://belberrycrm.bitrix24.ru/crm/deal/details/21882/","https://belberrycrm.bitrix24.ru/crm/deal/details/21882/")</x:f>
      </x:c>
      <x:c r="D2695" t="str">
        <x:v>Реанимация</x:v>
      </x:c>
      <x:c r="E2695" t="str">
        <x:v>ЛИДЫ: Отвалы</x:v>
      </x:c>
      <x:c r="F2695" t="str">
        <x:v>Анна Гудинова</x:v>
      </x:c>
      <x:c r="G2695" t="str">
        <x:v>нет</x:v>
      </x:c>
      <x:c r="H2695" t="str">
        <x:v>нет</x:v>
      </x:c>
    </x:row>
    <x:row r="2696">
      <x:c r="A2696" t="str">
        <x:v>21884</x:v>
      </x:c>
      <x:c r="B2696" t="str">
        <x:v>Email | hello@belberry.net от Ira Kosenkova nikarira@yandex.ru</x:v>
      </x:c>
      <x:c r="C2696" t="e">
        <x:f>HYPERLINK("https://belberrycrm.bitrix24.ru/crm/deal/details/21884/","https://belberrycrm.bitrix24.ru/crm/deal/details/21884/")</x:f>
      </x:c>
      <x:c r="D2696" t="str">
        <x:v>Реанимация</x:v>
      </x:c>
      <x:c r="E2696" t="str">
        <x:v>ЛИДЫ: Отвалы</x:v>
      </x:c>
      <x:c r="F2696" t="str">
        <x:v>Анна Гудинова</x:v>
      </x:c>
      <x:c r="G2696" t="str">
        <x:v>нет</x:v>
      </x:c>
      <x:c r="H2696" t="str">
        <x:v>нет</x:v>
      </x:c>
    </x:row>
    <x:row r="2697">
      <x:c r="A2697" t="str">
        <x:v>21886</x:v>
      </x:c>
      <x:c r="B2697" t="str">
        <x:v>Заявка с сайта от Даниил 79154961035</x:v>
      </x:c>
      <x:c r="C2697" t="e">
        <x:f>HYPERLINK("https://belberrycrm.bitrix24.ru/crm/deal/details/21886/","https://belberrycrm.bitrix24.ru/crm/deal/details/21886/")</x:f>
      </x:c>
      <x:c r="D2697" t="str">
        <x:v>Реанимация</x:v>
      </x:c>
      <x:c r="E2697" t="str">
        <x:v>ЛИДЫ: Отвалы</x:v>
      </x:c>
      <x:c r="F2697" t="str">
        <x:v>Анна Гудинова</x:v>
      </x:c>
      <x:c r="G2697" t="str">
        <x:v>нет</x:v>
      </x:c>
      <x:c r="H2697" t="str">
        <x:v>нет</x:v>
      </x:c>
    </x:row>
    <x:row r="2698">
      <x:c r="A2698" t="str">
        <x:v>21888</x:v>
      </x:c>
      <x:c r="B2698" t="str">
        <x:v>Арина Зинченко</x:v>
      </x:c>
      <x:c r="C2698" t="e">
        <x:f>HYPERLINK("https://belberrycrm.bitrix24.ru/crm/deal/details/21888/","https://belberrycrm.bitrix24.ru/crm/deal/details/21888/")</x:f>
      </x:c>
      <x:c r="D2698" t="str">
        <x:v>Реанимация</x:v>
      </x:c>
      <x:c r="E2698" t="str">
        <x:v>ЛИДЫ: Отвалы</x:v>
      </x:c>
      <x:c r="F2698" t="str">
        <x:v>Анна Гудинова</x:v>
      </x:c>
      <x:c r="G2698" t="str">
        <x:v>нет</x:v>
      </x:c>
      <x:c r="H2698" t="str">
        <x:v>нет</x:v>
      </x:c>
    </x:row>
    <x:row r="2699">
      <x:c r="A2699" t="str">
        <x:v>21890</x:v>
      </x:c>
      <x:c r="B2699" t="str">
        <x:v>Email | hello@acoola.team от Екатерина Принь ekaterinkaprin@yandex.ru</x:v>
      </x:c>
      <x:c r="C2699" t="e">
        <x:f>HYPERLINK("https://belberrycrm.bitrix24.ru/crm/deal/details/21890/","https://belberrycrm.bitrix24.ru/crm/deal/details/21890/")</x:f>
      </x:c>
      <x:c r="D2699" t="str">
        <x:v>Реанимация</x:v>
      </x:c>
      <x:c r="E2699" t="str">
        <x:v>ЛИДЫ: Отвалы</x:v>
      </x:c>
      <x:c r="F2699" t="str">
        <x:v>Анна Гудинова</x:v>
      </x:c>
      <x:c r="G2699" t="str">
        <x:v>нет</x:v>
      </x:c>
      <x:c r="H2699" t="str">
        <x:v>нет</x:v>
      </x:c>
    </x:row>
    <x:row r="2700">
      <x:c r="A2700" t="str">
        <x:v>21892</x:v>
      </x:c>
      <x:c r="B2700" t="str">
        <x:v>Заявка с сайта от Константин 79661156140</x:v>
      </x:c>
      <x:c r="C2700" t="e">
        <x:f>HYPERLINK("https://belberrycrm.bitrix24.ru/crm/deal/details/21892/","https://belberrycrm.bitrix24.ru/crm/deal/details/21892/")</x:f>
      </x:c>
      <x:c r="D2700" t="str">
        <x:v>Реанимация</x:v>
      </x:c>
      <x:c r="E2700" t="str">
        <x:v>ЛИДЫ: Отвалы</x:v>
      </x:c>
      <x:c r="F2700" t="str">
        <x:v>Анна Гудинова</x:v>
      </x:c>
      <x:c r="G2700" t="str">
        <x:v>нет</x:v>
      </x:c>
      <x:c r="H2700" t="str">
        <x:v>нет</x:v>
      </x:c>
    </x:row>
    <x:row r="2701">
      <x:c r="A2701" t="str">
        <x:v>21894</x:v>
      </x:c>
      <x:c r="B2701" t="str">
        <x:v>Email | hello@belberry.net от Позднякова Элина pozdniakova.e@helix.ru</x:v>
      </x:c>
      <x:c r="C2701" t="e">
        <x:f>HYPERLINK("https://belberrycrm.bitrix24.ru/crm/deal/details/21894/","https://belberrycrm.bitrix24.ru/crm/deal/details/21894/")</x:f>
      </x:c>
      <x:c r="D2701" t="str">
        <x:v>Реанимация</x:v>
      </x:c>
      <x:c r="E2701" t="str">
        <x:v>ЛИДЫ: Отвалы</x:v>
      </x:c>
      <x:c r="F2701" t="str">
        <x:v>Петр Дудин</x:v>
      </x:c>
      <x:c r="G2701" t="str">
        <x:v>нет</x:v>
      </x:c>
      <x:c r="H2701" t="str">
        <x:v>нет</x:v>
      </x:c>
    </x:row>
    <x:row r="2702">
      <x:c r="A2702" t="str">
        <x:v>21896</x:v>
      </x:c>
      <x:c r="B2702" t="str">
        <x:v>Email | hello@acoola.team от Евгений Карандеев owen74rus@gmail.com</x:v>
      </x:c>
      <x:c r="C2702" t="e">
        <x:f>HYPERLINK("https://belberrycrm.bitrix24.ru/crm/deal/details/21896/","https://belberrycrm.bitrix24.ru/crm/deal/details/21896/")</x:f>
      </x:c>
      <x:c r="D2702" t="str">
        <x:v>Реанимация</x:v>
      </x:c>
      <x:c r="E2702" t="str">
        <x:v>ЛИДЫ: Отвалы</x:v>
      </x:c>
      <x:c r="F2702" t="str">
        <x:v>Анна Гудинова</x:v>
      </x:c>
      <x:c r="G2702" t="str">
        <x:v>нет</x:v>
      </x:c>
      <x:c r="H2702" t="str">
        <x:v>нет</x:v>
      </x:c>
    </x:row>
    <x:row r="2703">
      <x:c r="A2703" t="str">
        <x:v>21898</x:v>
      </x:c>
      <x:c r="B2703" t="str">
        <x:v>Заявка с сайта от Анна 79500442510</x:v>
      </x:c>
      <x:c r="C2703" t="e">
        <x:f>HYPERLINK("https://belberrycrm.bitrix24.ru/crm/deal/details/21898/","https://belberrycrm.bitrix24.ru/crm/deal/details/21898/")</x:f>
      </x:c>
      <x:c r="D2703" t="str">
        <x:v>Реанимация</x:v>
      </x:c>
      <x:c r="E2703" t="str">
        <x:v>ЛИДЫ: Отвалы</x:v>
      </x:c>
      <x:c r="F2703" t="str">
        <x:v>Анна Гудинова</x:v>
      </x:c>
      <x:c r="G2703" t="str">
        <x:v>нет</x:v>
      </x:c>
      <x:c r="H2703" t="str">
        <x:v>нет</x:v>
      </x:c>
    </x:row>
    <x:row r="2704">
      <x:c r="A2704" t="str">
        <x:v>21904</x:v>
      </x:c>
      <x:c r="B2704" t="str">
        <x:v>Заявка с сайта от Марина 79165365148</x:v>
      </x:c>
      <x:c r="C2704" t="e">
        <x:f>HYPERLINK("https://belberrycrm.bitrix24.ru/crm/deal/details/21904/","https://belberrycrm.bitrix24.ru/crm/deal/details/21904/")</x:f>
      </x:c>
      <x:c r="D2704" t="str">
        <x:v>Реанимация</x:v>
      </x:c>
      <x:c r="E2704" t="str">
        <x:v>ЛИДЫ: Отвалы</x:v>
      </x:c>
      <x:c r="F2704" t="str">
        <x:v>Петр Дудин</x:v>
      </x:c>
      <x:c r="G2704" t="str">
        <x:v>нет</x:v>
      </x:c>
      <x:c r="H2704" t="str">
        <x:v>нет</x:v>
      </x:c>
    </x:row>
    <x:row r="2705">
      <x:c r="A2705" t="str">
        <x:v>21914</x:v>
      </x:c>
      <x:c r="B2705" t="str">
        <x:v>Артем маркетолог</x:v>
      </x:c>
      <x:c r="C2705" t="e">
        <x:f>HYPERLINK("https://belberrycrm.bitrix24.ru/crm/deal/details/21914/","https://belberrycrm.bitrix24.ru/crm/deal/details/21914/")</x:f>
      </x:c>
      <x:c r="D2705" t="str">
        <x:v>Реанимация</x:v>
      </x:c>
      <x:c r="E2705" t="str">
        <x:v>ЛИДЫ: Отвалы</x:v>
      </x:c>
      <x:c r="F2705" t="str">
        <x:v>Александр Голядкин</x:v>
      </x:c>
      <x:c r="G2705" t="str">
        <x:v>нет</x:v>
      </x:c>
      <x:c r="H2705" t="str">
        <x:v>нет</x:v>
      </x:c>
    </x:row>
    <x:row r="2706">
      <x:c r="A2706" t="str">
        <x:v>21916</x:v>
      </x:c>
      <x:c r="B2706" t="str">
        <x:v>themarketgroup.ru</x:v>
      </x:c>
      <x:c r="C2706" t="e">
        <x:f>HYPERLINK("https://belberrycrm.bitrix24.ru/crm/deal/details/21916/","https://belberrycrm.bitrix24.ru/crm/deal/details/21916/")</x:f>
      </x:c>
      <x:c r="D2706" t="str">
        <x:v>Реанимация</x:v>
      </x:c>
      <x:c r="E2706" t="str">
        <x:v>ЛИДЫ: Отвалы</x:v>
      </x:c>
      <x:c r="F2706" t="str">
        <x:v>Александр Голядкин</x:v>
      </x:c>
      <x:c r="G2706" t="str">
        <x:v>нет</x:v>
      </x:c>
      <x:c r="H2706" t="str">
        <x:v>нет</x:v>
      </x:c>
    </x:row>
    <x:row r="2707">
      <x:c r="A2707" t="str">
        <x:v>21918</x:v>
      </x:c>
      <x:c r="B2707" t="str">
        <x:v>Звонок от 79800115030</x:v>
      </x:c>
      <x:c r="C2707" t="e">
        <x:f>HYPERLINK("https://belberrycrm.bitrix24.ru/crm/deal/details/21918/","https://belberrycrm.bitrix24.ru/crm/deal/details/21918/")</x:f>
      </x:c>
      <x:c r="D2707" t="str">
        <x:v>Реанимация</x:v>
      </x:c>
      <x:c r="E2707" t="str">
        <x:v>ЛИДЫ: Отвалы</x:v>
      </x:c>
      <x:c r="F2707" t="str">
        <x:v>Петр Дудин</x:v>
      </x:c>
      <x:c r="G2707" t="str">
        <x:v>нет</x:v>
      </x:c>
      <x:c r="H2707" t="str">
        <x:v>нет</x:v>
      </x:c>
    </x:row>
    <x:row r="2708">
      <x:c r="A2708" t="str">
        <x:v>21920</x:v>
      </x:c>
      <x:c r="B2708" t="str">
        <x:v>Email | hello@acoola.team от Надежда Ященко yn@pravpro.ru</x:v>
      </x:c>
      <x:c r="C2708" t="e">
        <x:f>HYPERLINK("https://belberrycrm.bitrix24.ru/crm/deal/details/21920/","https://belberrycrm.bitrix24.ru/crm/deal/details/21920/")</x:f>
      </x:c>
      <x:c r="D2708" t="str">
        <x:v>Реанимация</x:v>
      </x:c>
      <x:c r="E2708" t="str">
        <x:v>ЛИДЫ: Отвалы</x:v>
      </x:c>
      <x:c r="F2708" t="str">
        <x:v>Тим Акула</x:v>
      </x:c>
      <x:c r="G2708" t="str">
        <x:v>нет</x:v>
      </x:c>
      <x:c r="H2708" t="str">
        <x:v>нет</x:v>
      </x:c>
    </x:row>
    <x:row r="2709">
      <x:c r="A2709" t="str">
        <x:v>21922</x:v>
      </x:c>
      <x:c r="B2709" t="str">
        <x:v>Звонок от 74951834385</x:v>
      </x:c>
      <x:c r="C2709" t="e">
        <x:f>HYPERLINK("https://belberrycrm.bitrix24.ru/crm/deal/details/21922/","https://belberrycrm.bitrix24.ru/crm/deal/details/21922/")</x:f>
      </x:c>
      <x:c r="D2709" t="str">
        <x:v>Реанимация</x:v>
      </x:c>
      <x:c r="E2709" t="str">
        <x:v>ЛИДЫ: Отвалы</x:v>
      </x:c>
      <x:c r="F2709" t="str">
        <x:v>Админ всея Belberry</x:v>
      </x:c>
      <x:c r="G2709" t="str">
        <x:v>нет</x:v>
      </x:c>
      <x:c r="H2709" t="str">
        <x:v>нет</x:v>
      </x:c>
    </x:row>
    <x:row r="2710">
      <x:c r="A2710" t="str">
        <x:v>21924</x:v>
      </x:c>
      <x:c r="B2710" t="str">
        <x:v>Email | hello@acoola.team от Виктория В.  Никитина vn@akm-conf.ru</x:v>
      </x:c>
      <x:c r="C2710" t="e">
        <x:f>HYPERLINK("https://belberrycrm.bitrix24.ru/crm/deal/details/21924/","https://belberrycrm.bitrix24.ru/crm/deal/details/21924/")</x:f>
      </x:c>
      <x:c r="D2710" t="str">
        <x:v>Реанимация</x:v>
      </x:c>
      <x:c r="E2710" t="str">
        <x:v>ЛИДЫ: Отвалы</x:v>
      </x:c>
      <x:c r="F2710" t="str">
        <x:v>Тим Акула</x:v>
      </x:c>
      <x:c r="G2710" t="str">
        <x:v>нет</x:v>
      </x:c>
      <x:c r="H2710" t="str">
        <x:v>нет</x:v>
      </x:c>
    </x:row>
    <x:row r="2711">
      <x:c r="A2711" t="str">
        <x:v>21926</x:v>
      </x:c>
      <x:c r="B2711" t="str">
        <x:v>Заявка с сайта от Наталия 79014175464</x:v>
      </x:c>
      <x:c r="C2711" t="e">
        <x:f>HYPERLINK("https://belberrycrm.bitrix24.ru/crm/deal/details/21926/","https://belberrycrm.bitrix24.ru/crm/deal/details/21926/")</x:f>
      </x:c>
      <x:c r="D2711" t="str">
        <x:v>Реанимация</x:v>
      </x:c>
      <x:c r="E2711" t="str">
        <x:v>ЛИДЫ: Отвалы</x:v>
      </x:c>
      <x:c r="F2711" t="str">
        <x:v>Мария Ус</x:v>
      </x:c>
      <x:c r="G2711" t="str">
        <x:v>нет</x:v>
      </x:c>
      <x:c r="H2711" t="str">
        <x:v>нет</x:v>
      </x:c>
    </x:row>
    <x:row r="2712">
      <x:c r="A2712" t="str">
        <x:v>21928</x:v>
      </x:c>
      <x:c r="B2712" t="str">
        <x:v>Email | hello@belberry.net от Елена Викторовна. Архипова e.arhipova@smter.ru</x:v>
      </x:c>
      <x:c r="C2712" t="e">
        <x:f>HYPERLINK("https://belberrycrm.bitrix24.ru/crm/deal/details/21928/","https://belberrycrm.bitrix24.ru/crm/deal/details/21928/")</x:f>
      </x:c>
      <x:c r="D2712" t="str">
        <x:v>Реанимация</x:v>
      </x:c>
      <x:c r="E2712" t="str">
        <x:v>ЛИДЫ: Отвалы</x:v>
      </x:c>
      <x:c r="F2712" t="str">
        <x:v>Админ всея Belberry</x:v>
      </x:c>
      <x:c r="G2712" t="str">
        <x:v>нет</x:v>
      </x:c>
      <x:c r="H2712" t="str">
        <x:v>нет</x:v>
      </x:c>
    </x:row>
    <x:row r="2713">
      <x:c r="A2713" t="str">
        <x:v>21930</x:v>
      </x:c>
      <x:c r="B2713" t="str">
        <x:v>Email | hello@acoola.team от макс maxim.krosss@gmail.com</x:v>
      </x:c>
      <x:c r="C2713" t="e">
        <x:f>HYPERLINK("https://belberrycrm.bitrix24.ru/crm/deal/details/21930/","https://belberrycrm.bitrix24.ru/crm/deal/details/21930/")</x:f>
      </x:c>
      <x:c r="D2713" t="str">
        <x:v>Реанимация</x:v>
      </x:c>
      <x:c r="E2713" t="str">
        <x:v>ЛИДЫ: Отвалы</x:v>
      </x:c>
      <x:c r="F2713" t="str">
        <x:v>Тим Акула</x:v>
      </x:c>
      <x:c r="G2713" t="str">
        <x:v>нет</x:v>
      </x:c>
      <x:c r="H2713" t="str">
        <x:v>нет</x:v>
      </x:c>
    </x:row>
    <x:row r="2714">
      <x:c r="A2714" t="str">
        <x:v>21932</x:v>
      </x:c>
      <x:c r="B2714" t="str">
        <x:v>Звонок от 79956561393</x:v>
      </x:c>
      <x:c r="C2714" t="e">
        <x:f>HYPERLINK("https://belberrycrm.bitrix24.ru/crm/deal/details/21932/","https://belberrycrm.bitrix24.ru/crm/deal/details/21932/")</x:f>
      </x:c>
      <x:c r="D2714" t="str">
        <x:v>Реанимация</x:v>
      </x:c>
      <x:c r="E2714" t="str">
        <x:v>ЛИДЫ: Отвалы</x:v>
      </x:c>
      <x:c r="F2714" t="str">
        <x:v>Мария Ус</x:v>
      </x:c>
      <x:c r="G2714" t="str">
        <x:v>нет</x:v>
      </x:c>
      <x:c r="H2714" t="str">
        <x:v>нет</x:v>
      </x:c>
    </x:row>
    <x:row r="2715">
      <x:c r="A2715" t="str">
        <x:v>21934</x:v>
      </x:c>
      <x:c r="B2715" t="str">
        <x:v>Email | hello@acoola.team от Данил Юрченко dialog.podcast@yandex.ru</x:v>
      </x:c>
      <x:c r="C2715" t="e">
        <x:f>HYPERLINK("https://belberrycrm.bitrix24.ru/crm/deal/details/21934/","https://belberrycrm.bitrix24.ru/crm/deal/details/21934/")</x:f>
      </x:c>
      <x:c r="D2715" t="str">
        <x:v>Реанимация</x:v>
      </x:c>
      <x:c r="E2715" t="str">
        <x:v>ЛИДЫ: Отвалы</x:v>
      </x:c>
      <x:c r="F2715" t="str">
        <x:v>Тим Акула</x:v>
      </x:c>
      <x:c r="G2715" t="str">
        <x:v>нет</x:v>
      </x:c>
      <x:c r="H2715" t="str">
        <x:v>нет</x:v>
      </x:c>
    </x:row>
    <x:row r="2716">
      <x:c r="A2716" t="str">
        <x:v>21936</x:v>
      </x:c>
      <x:c r="B2716" t="str">
        <x:v>Заявка с сайта от Усеин  79011880325</x:v>
      </x:c>
      <x:c r="C2716" t="e">
        <x:f>HYPERLINK("https://belberrycrm.bitrix24.ru/crm/deal/details/21936/","https://belberrycrm.bitrix24.ru/crm/deal/details/21936/")</x:f>
      </x:c>
      <x:c r="D2716" t="str">
        <x:v>Реанимация</x:v>
      </x:c>
      <x:c r="E2716" t="str">
        <x:v>ЛИДЫ: Отвалы</x:v>
      </x:c>
      <x:c r="F2716" t="str">
        <x:v>Александр Голядкин</x:v>
      </x:c>
      <x:c r="G2716" t="str">
        <x:v>нет</x:v>
      </x:c>
      <x:c r="H2716" t="str">
        <x:v>нет</x:v>
      </x:c>
    </x:row>
    <x:row r="2717">
      <x:c r="A2717" t="str">
        <x:v>21938</x:v>
      </x:c>
      <x:c r="B2717" t="str">
        <x:v>Заявка с сайта от глеб 79374864556</x:v>
      </x:c>
      <x:c r="C2717" t="e">
        <x:f>HYPERLINK("https://belberrycrm.bitrix24.ru/crm/deal/details/21938/","https://belberrycrm.bitrix24.ru/crm/deal/details/21938/")</x:f>
      </x:c>
      <x:c r="D2717" t="str">
        <x:v>Реанимация</x:v>
      </x:c>
      <x:c r="E2717" t="str">
        <x:v>ЛИДЫ: Отвалы</x:v>
      </x:c>
      <x:c r="F2717" t="str">
        <x:v>Петр Дудин</x:v>
      </x:c>
      <x:c r="G2717" t="str">
        <x:v>нет</x:v>
      </x:c>
      <x:c r="H2717" t="str">
        <x:v>нет</x:v>
      </x:c>
    </x:row>
    <x:row r="2718">
      <x:c r="A2718" t="str">
        <x:v>21940</x:v>
      </x:c>
      <x:c r="B2718" t="str">
        <x:v>Заявка с сайта от Алексей 79607621093</x:v>
      </x:c>
      <x:c r="C2718" t="e">
        <x:f>HYPERLINK("https://belberrycrm.bitrix24.ru/crm/deal/details/21940/","https://belberrycrm.bitrix24.ru/crm/deal/details/21940/")</x:f>
      </x:c>
      <x:c r="D2718" t="str">
        <x:v>Реанимация</x:v>
      </x:c>
      <x:c r="E2718" t="str">
        <x:v>ЛИДЫ: Отвалы</x:v>
      </x:c>
      <x:c r="F2718" t="str">
        <x:v>Александр Голядкин</x:v>
      </x:c>
      <x:c r="G2718" t="str">
        <x:v>нет</x:v>
      </x:c>
      <x:c r="H2718" t="str">
        <x:v>нет</x:v>
      </x:c>
    </x:row>
    <x:row r="2719">
      <x:c r="A2719" t="str">
        <x:v>21942</x:v>
      </x:c>
      <x:c r="B2719" t="str">
        <x:v>Email | hello@belberry.net от SP Group 9652187955@nyaschenko.ru</x:v>
      </x:c>
      <x:c r="C2719" t="e">
        <x:f>HYPERLINK("https://belberrycrm.bitrix24.ru/crm/deal/details/21942/","https://belberrycrm.bitrix24.ru/crm/deal/details/21942/")</x:f>
      </x:c>
      <x:c r="D2719" t="str">
        <x:v>Реанимация</x:v>
      </x:c>
      <x:c r="E2719" t="str">
        <x:v>ЛИДЫ: Отвалы</x:v>
      </x:c>
      <x:c r="F2719" t="str">
        <x:v>Админ всея Belberry</x:v>
      </x:c>
      <x:c r="G2719" t="str">
        <x:v>нет</x:v>
      </x:c>
      <x:c r="H2719" t="str">
        <x:v>нет</x:v>
      </x:c>
    </x:row>
    <x:row r="2720">
      <x:c r="A2720" t="str">
        <x:v>21944</x:v>
      </x:c>
      <x:c r="B2720" t="str">
        <x:v>Звонок от 79067962685</x:v>
      </x:c>
      <x:c r="C2720" t="e">
        <x:f>HYPERLINK("https://belberrycrm.bitrix24.ru/crm/deal/details/21944/","https://belberrycrm.bitrix24.ru/crm/deal/details/21944/")</x:f>
      </x:c>
      <x:c r="D2720" t="str">
        <x:v>Реанимация</x:v>
      </x:c>
      <x:c r="E2720" t="str">
        <x:v>ЛИДЫ: Отвалы</x:v>
      </x:c>
      <x:c r="F2720" t="str">
        <x:v>Мария Ус</x:v>
      </x:c>
      <x:c r="G2720" t="str">
        <x:v>нет</x:v>
      </x:c>
      <x:c r="H2720" t="str">
        <x:v>нет</x:v>
      </x:c>
    </x:row>
    <x:row r="2721">
      <x:c r="A2721" t="str">
        <x:v>21946</x:v>
      </x:c>
      <x:c r="B2721" t="str">
        <x:v>Заявка с сайта от Анна 79251675051</x:v>
      </x:c>
      <x:c r="C2721" t="e">
        <x:f>HYPERLINK("https://belberrycrm.bitrix24.ru/crm/deal/details/21946/","https://belberrycrm.bitrix24.ru/crm/deal/details/21946/")</x:f>
      </x:c>
      <x:c r="D2721" t="str">
        <x:v>Реанимация</x:v>
      </x:c>
      <x:c r="E2721" t="str">
        <x:v>ЛИДЫ: Отвалы</x:v>
      </x:c>
      <x:c r="F2721" t="str">
        <x:v>Александр Голядкин</x:v>
      </x:c>
      <x:c r="G2721" t="str">
        <x:v>нет</x:v>
      </x:c>
      <x:c r="H2721" t="str">
        <x:v>нет</x:v>
      </x:c>
    </x:row>
    <x:row r="2722">
      <x:c r="A2722" t="str">
        <x:v>21948</x:v>
      </x:c>
      <x:c r="B2722" t="str">
        <x:v>Звонок от 79950991223</x:v>
      </x:c>
      <x:c r="C2722" t="e">
        <x:f>HYPERLINK("https://belberrycrm.bitrix24.ru/crm/deal/details/21948/","https://belberrycrm.bitrix24.ru/crm/deal/details/21948/")</x:f>
      </x:c>
      <x:c r="D2722" t="str">
        <x:v>Реанимация</x:v>
      </x:c>
      <x:c r="E2722" t="str">
        <x:v>ЛИДЫ: Отвалы</x:v>
      </x:c>
      <x:c r="F2722" t="str">
        <x:v>Петр Дудин</x:v>
      </x:c>
      <x:c r="G2722" t="str">
        <x:v>нет</x:v>
      </x:c>
      <x:c r="H2722" t="str">
        <x:v>нет</x:v>
      </x:c>
    </x:row>
    <x:row r="2723">
      <x:c r="A2723" t="str">
        <x:v>21950</x:v>
      </x:c>
      <x:c r="B2723" t="str">
        <x:v>Email | hello@belberry.net от Maksim Rackityanskiy maksim@my-onlinereputation.com</x:v>
      </x:c>
      <x:c r="C2723" t="e">
        <x:f>HYPERLINK("https://belberrycrm.bitrix24.ru/crm/deal/details/21950/","https://belberrycrm.bitrix24.ru/crm/deal/details/21950/")</x:f>
      </x:c>
      <x:c r="D2723" t="str">
        <x:v>Реанимация</x:v>
      </x:c>
      <x:c r="E2723" t="str">
        <x:v>ЛИДЫ: Отвалы</x:v>
      </x:c>
      <x:c r="F2723" t="str">
        <x:v>Петр Дудин</x:v>
      </x:c>
      <x:c r="G2723" t="str">
        <x:v>нет</x:v>
      </x:c>
      <x:c r="H2723" t="str">
        <x:v>нет</x:v>
      </x:c>
    </x:row>
    <x:row r="2724">
      <x:c r="A2724" t="str">
        <x:v>21952</x:v>
      </x:c>
      <x:c r="B2724" t="str">
        <x:v>Заявка с сайта от Evdochia  73737979114</x:v>
      </x:c>
      <x:c r="C2724" t="e">
        <x:f>HYPERLINK("https://belberrycrm.bitrix24.ru/crm/deal/details/21952/","https://belberrycrm.bitrix24.ru/crm/deal/details/21952/")</x:f>
      </x:c>
      <x:c r="D2724" t="str">
        <x:v>Реанимация</x:v>
      </x:c>
      <x:c r="E2724" t="str">
        <x:v>ЛИДЫ: Отвалы</x:v>
      </x:c>
      <x:c r="F2724" t="str">
        <x:v>Александр Голядкин</x:v>
      </x:c>
      <x:c r="G2724" t="str">
        <x:v>нет</x:v>
      </x:c>
      <x:c r="H2724" t="str">
        <x:v>нет</x:v>
      </x:c>
    </x:row>
    <x:row r="2725">
      <x:c r="A2725" t="str">
        <x:v>21954</x:v>
      </x:c>
      <x:c r="B2725" t="str">
        <x:v>Звонок от 79095788941</x:v>
      </x:c>
      <x:c r="C2725" t="e">
        <x:f>HYPERLINK("https://belberrycrm.bitrix24.ru/crm/deal/details/21954/","https://belberrycrm.bitrix24.ru/crm/deal/details/21954/")</x:f>
      </x:c>
      <x:c r="D2725" t="str">
        <x:v>Реанимация</x:v>
      </x:c>
      <x:c r="E2725" t="str">
        <x:v>ЛИДЫ: Отвалы</x:v>
      </x:c>
      <x:c r="F2725" t="str">
        <x:v>Петр Дудин</x:v>
      </x:c>
      <x:c r="G2725" t="str">
        <x:v>нет</x:v>
      </x:c>
      <x:c r="H2725" t="str">
        <x:v>нет</x:v>
      </x:c>
    </x:row>
    <x:row r="2726">
      <x:c r="A2726" t="str">
        <x:v>21956</x:v>
      </x:c>
      <x:c r="B2726" t="str">
        <x:v>Звонок от 79800561039</x:v>
      </x:c>
      <x:c r="C2726" t="e">
        <x:f>HYPERLINK("https://belberrycrm.bitrix24.ru/crm/deal/details/21956/","https://belberrycrm.bitrix24.ru/crm/deal/details/21956/")</x:f>
      </x:c>
      <x:c r="D2726" t="str">
        <x:v>Реанимация</x:v>
      </x:c>
      <x:c r="E2726" t="str">
        <x:v>ЛИДЫ: Отвалы</x:v>
      </x:c>
      <x:c r="F2726" t="str">
        <x:v>Александр Голядкин</x:v>
      </x:c>
      <x:c r="G2726" t="str">
        <x:v>нет</x:v>
      </x:c>
      <x:c r="H2726" t="str">
        <x:v>нет</x:v>
      </x:c>
    </x:row>
    <x:row r="2727">
      <x:c r="A2727" t="str">
        <x:v>21958</x:v>
      </x:c>
      <x:c r="B2727" t="str">
        <x:v>Заявка с сайта от FGd 70000000000</x:v>
      </x:c>
      <x:c r="C2727" t="e">
        <x:f>HYPERLINK("https://belberrycrm.bitrix24.ru/crm/deal/details/21958/","https://belberrycrm.bitrix24.ru/crm/deal/details/21958/")</x:f>
      </x:c>
      <x:c r="D2727" t="str">
        <x:v>Реанимация</x:v>
      </x:c>
      <x:c r="E2727" t="str">
        <x:v>ЛИДЫ: Отвалы</x:v>
      </x:c>
      <x:c r="F2727" t="str">
        <x:v>Петр Дудин</x:v>
      </x:c>
      <x:c r="G2727" t="str">
        <x:v>нет</x:v>
      </x:c>
      <x:c r="H2727" t="str">
        <x:v>нет</x:v>
      </x:c>
    </x:row>
    <x:row r="2728">
      <x:c r="A2728" t="str">
        <x:v>21962</x:v>
      </x:c>
      <x:c r="B2728" t="str">
        <x:v>Звонок от 74954924521</x:v>
      </x:c>
      <x:c r="C2728" t="e">
        <x:f>HYPERLINK("https://belberrycrm.bitrix24.ru/crm/deal/details/21962/","https://belberrycrm.bitrix24.ru/crm/deal/details/21962/")</x:f>
      </x:c>
      <x:c r="D2728" t="str">
        <x:v>Реанимация</x:v>
      </x:c>
      <x:c r="E2728" t="str">
        <x:v>ЛИДЫ: Отвалы</x:v>
      </x:c>
      <x:c r="F2728" t="str">
        <x:v>Петр Дудин</x:v>
      </x:c>
      <x:c r="G2728" t="str">
        <x:v>нет</x:v>
      </x:c>
      <x:c r="H2728" t="str">
        <x:v>нет</x:v>
      </x:c>
    </x:row>
    <x:row r="2729">
      <x:c r="A2729" t="str">
        <x:v>21964</x:v>
      </x:c>
      <x:c r="B2729" t="str">
        <x:v>Email | hello@acoola.team от Леонид Волчанинов lv@akm-conf.ru</x:v>
      </x:c>
      <x:c r="C2729" t="e">
        <x:f>HYPERLINK("https://belberrycrm.bitrix24.ru/crm/deal/details/21964/","https://belberrycrm.bitrix24.ru/crm/deal/details/21964/")</x:f>
      </x:c>
      <x:c r="D2729" t="str">
        <x:v>Реанимация</x:v>
      </x:c>
      <x:c r="E2729" t="str">
        <x:v>ЛИДЫ: Отвалы</x:v>
      </x:c>
      <x:c r="F2729" t="str">
        <x:v>Александр Голядкин</x:v>
      </x:c>
      <x:c r="G2729" t="str">
        <x:v>нет</x:v>
      </x:c>
      <x:c r="H2729" t="str">
        <x:v>нет</x:v>
      </x:c>
    </x:row>
    <x:row r="2730">
      <x:c r="A2730" t="str">
        <x:v>21966</x:v>
      </x:c>
      <x:c r="B2730" t="str">
        <x:v>Email | hello@acoola.team от Российский фонд "Экономика и управление" dir@profitcon.org</x:v>
      </x:c>
      <x:c r="C2730" t="e">
        <x:f>HYPERLINK("https://belberrycrm.bitrix24.ru/crm/deal/details/21966/","https://belberrycrm.bitrix24.ru/crm/deal/details/21966/")</x:f>
      </x:c>
      <x:c r="D2730" t="str">
        <x:v>Реанимация</x:v>
      </x:c>
      <x:c r="E2730" t="str">
        <x:v>ЛИДЫ: Отвалы</x:v>
      </x:c>
      <x:c r="F2730" t="str">
        <x:v>Александр Голядкин</x:v>
      </x:c>
      <x:c r="G2730" t="str">
        <x:v>нет</x:v>
      </x:c>
      <x:c r="H2730" t="str">
        <x:v>нет</x:v>
      </x:c>
    </x:row>
    <x:row r="2731">
      <x:c r="A2731" t="str">
        <x:v>21968</x:v>
      </x:c>
      <x:c r="B2731" t="str">
        <x:v>Звонок от 74951393920</x:v>
      </x:c>
      <x:c r="C2731" t="e">
        <x:f>HYPERLINK("https://belberrycrm.bitrix24.ru/crm/deal/details/21968/","https://belberrycrm.bitrix24.ru/crm/deal/details/21968/")</x:f>
      </x:c>
      <x:c r="D2731" t="str">
        <x:v>Реанимация</x:v>
      </x:c>
      <x:c r="E2731" t="str">
        <x:v>ЛИДЫ: Отвалы</x:v>
      </x:c>
      <x:c r="F2731" t="str">
        <x:v>Петр Дудин</x:v>
      </x:c>
      <x:c r="G2731" t="str">
        <x:v>нет</x:v>
      </x:c>
      <x:c r="H2731" t="str">
        <x:v>нет</x:v>
      </x:c>
    </x:row>
    <x:row r="2732">
      <x:c r="A2732" t="str">
        <x:v>21970</x:v>
      </x:c>
      <x:c r="B2732" t="str">
        <x:v>Звонок от 79050753441</x:v>
      </x:c>
      <x:c r="C2732" t="e">
        <x:f>HYPERLINK("https://belberrycrm.bitrix24.ru/crm/deal/details/21970/","https://belberrycrm.bitrix24.ru/crm/deal/details/21970/")</x:f>
      </x:c>
      <x:c r="D2732" t="str">
        <x:v>Реанимация</x:v>
      </x:c>
      <x:c r="E2732" t="str">
        <x:v>ЛИДЫ: Отвалы</x:v>
      </x:c>
      <x:c r="F2732" t="str">
        <x:v>Петр Дудин</x:v>
      </x:c>
      <x:c r="G2732" t="str">
        <x:v>нет</x:v>
      </x:c>
      <x:c r="H2732" t="str">
        <x:v>нет</x:v>
      </x:c>
    </x:row>
    <x:row r="2733">
      <x:c r="A2733" t="str">
        <x:v>21972</x:v>
      </x:c>
      <x:c r="B2733" t="str">
        <x:v>Email | hello@acoola.team от  behaviorally@seotraff.site</x:v>
      </x:c>
      <x:c r="C2733" t="e">
        <x:f>HYPERLINK("https://belberrycrm.bitrix24.ru/crm/deal/details/21972/","https://belberrycrm.bitrix24.ru/crm/deal/details/21972/")</x:f>
      </x:c>
      <x:c r="D2733" t="str">
        <x:v>Реанимация</x:v>
      </x:c>
      <x:c r="E2733" t="str">
        <x:v>ЛИДЫ: Отвалы</x:v>
      </x:c>
      <x:c r="F2733" t="str">
        <x:v>Александр Голядкин</x:v>
      </x:c>
      <x:c r="G2733" t="str">
        <x:v>нет</x:v>
      </x:c>
      <x:c r="H2733" t="str">
        <x:v>нет</x:v>
      </x:c>
    </x:row>
    <x:row r="2734">
      <x:c r="A2734" t="str">
        <x:v>21974</x:v>
      </x:c>
      <x:c r="B2734" t="str">
        <x:v>Звонок от 79273991133</x:v>
      </x:c>
      <x:c r="C2734" t="e">
        <x:f>HYPERLINK("https://belberrycrm.bitrix24.ru/crm/deal/details/21974/","https://belberrycrm.bitrix24.ru/crm/deal/details/21974/")</x:f>
      </x:c>
      <x:c r="D2734" t="str">
        <x:v>Реанимация</x:v>
      </x:c>
      <x:c r="E2734" t="str">
        <x:v>ЛИДЫ: Отвалы</x:v>
      </x:c>
      <x:c r="F2734" t="str">
        <x:v>Петр Дудин</x:v>
      </x:c>
      <x:c r="G2734" t="str">
        <x:v>нет</x:v>
      </x:c>
      <x:c r="H2734" t="str">
        <x:v>нет</x:v>
      </x:c>
    </x:row>
    <x:row r="2735">
      <x:c r="A2735" t="str">
        <x:v>21976</x:v>
      </x:c>
      <x:c r="B2735" t="str">
        <x:v>Email | hello@acoola.team от Егор Стовпец stovpets.ed@insales.ru</x:v>
      </x:c>
      <x:c r="C2735" t="e">
        <x:f>HYPERLINK("https://belberrycrm.bitrix24.ru/crm/deal/details/21976/","https://belberrycrm.bitrix24.ru/crm/deal/details/21976/")</x:f>
      </x:c>
      <x:c r="D2735" t="str">
        <x:v>Реанимация</x:v>
      </x:c>
      <x:c r="E2735" t="str">
        <x:v>ЛИДЫ: Отвалы</x:v>
      </x:c>
      <x:c r="F2735" t="str">
        <x:v>Александр Голядкин</x:v>
      </x:c>
      <x:c r="G2735" t="str">
        <x:v>нет</x:v>
      </x:c>
      <x:c r="H2735" t="str">
        <x:v>нет</x:v>
      </x:c>
    </x:row>
    <x:row r="2736">
      <x:c r="A2736" t="str">
        <x:v>21978</x:v>
      </x:c>
      <x:c r="B2736" t="str">
        <x:v>Звонок от 79624427255</x:v>
      </x:c>
      <x:c r="C2736" t="e">
        <x:f>HYPERLINK("https://belberrycrm.bitrix24.ru/crm/deal/details/21978/","https://belberrycrm.bitrix24.ru/crm/deal/details/21978/")</x:f>
      </x:c>
      <x:c r="D2736" t="str">
        <x:v>Реанимация</x:v>
      </x:c>
      <x:c r="E2736" t="str">
        <x:v>ЛИДЫ: Отвалы</x:v>
      </x:c>
      <x:c r="F2736" t="str">
        <x:v>Александр Голядкин</x:v>
      </x:c>
      <x:c r="G2736" t="str">
        <x:v>нет</x:v>
      </x:c>
      <x:c r="H2736" t="str">
        <x:v>нет</x:v>
      </x:c>
    </x:row>
    <x:row r="2737">
      <x:c r="A2737" t="str">
        <x:v>21980</x:v>
      </x:c>
      <x:c r="B2737" t="str">
        <x:v>Звонок от 79104506741</x:v>
      </x:c>
      <x:c r="C2737" t="e">
        <x:f>HYPERLINK("https://belberrycrm.bitrix24.ru/crm/deal/details/21980/","https://belberrycrm.bitrix24.ru/crm/deal/details/21980/")</x:f>
      </x:c>
      <x:c r="D2737" t="str">
        <x:v>Реанимация</x:v>
      </x:c>
      <x:c r="E2737" t="str">
        <x:v>ЛИДЫ: Отвалы</x:v>
      </x:c>
      <x:c r="F2737" t="str">
        <x:v>Петр Дудин</x:v>
      </x:c>
      <x:c r="G2737" t="str">
        <x:v>нет</x:v>
      </x:c>
      <x:c r="H2737" t="str">
        <x:v>нет</x:v>
      </x:c>
    </x:row>
    <x:row r="2738">
      <x:c r="A2738" t="str">
        <x:v>21982</x:v>
      </x:c>
      <x:c r="B2738" t="str">
        <x:v>Email | hello@acoola.team от Alla allalagkueva@gmail.com</x:v>
      </x:c>
      <x:c r="C2738" t="e">
        <x:f>HYPERLINK("https://belberrycrm.bitrix24.ru/crm/deal/details/21982/","https://belberrycrm.bitrix24.ru/crm/deal/details/21982/")</x:f>
      </x:c>
      <x:c r="D2738" t="str">
        <x:v>Реанимация</x:v>
      </x:c>
      <x:c r="E2738" t="str">
        <x:v>ЛИДЫ: Отвалы</x:v>
      </x:c>
      <x:c r="F2738" t="str">
        <x:v>Александр Голядкин</x:v>
      </x:c>
      <x:c r="G2738" t="str">
        <x:v>нет</x:v>
      </x:c>
      <x:c r="H2738" t="str">
        <x:v>нет</x:v>
      </x:c>
    </x:row>
    <x:row r="2739">
      <x:c r="A2739" t="str">
        <x:v>21984</x:v>
      </x:c>
      <x:c r="B2739" t="str">
        <x:v>Звонок от 79789629263</x:v>
      </x:c>
      <x:c r="C2739" t="e">
        <x:f>HYPERLINK("https://belberrycrm.bitrix24.ru/crm/deal/details/21984/","https://belberrycrm.bitrix24.ru/crm/deal/details/21984/")</x:f>
      </x:c>
      <x:c r="D2739" t="str">
        <x:v>Реанимация</x:v>
      </x:c>
      <x:c r="E2739" t="str">
        <x:v>ЛИДЫ: Отвалы</x:v>
      </x:c>
      <x:c r="F2739" t="str">
        <x:v>Петр Дудин</x:v>
      </x:c>
      <x:c r="G2739" t="str">
        <x:v>нет</x:v>
      </x:c>
      <x:c r="H2739" t="str">
        <x:v>нет</x:v>
      </x:c>
    </x:row>
    <x:row r="2740">
      <x:c r="A2740" t="str">
        <x:v>21986</x:v>
      </x:c>
      <x:c r="B2740" t="str">
        <x:v>Email | hello@acoola.team от ЛЕОНИД ВОЛЧАНИНОВ lv@akm-conf.com.ru</x:v>
      </x:c>
      <x:c r="C2740" t="e">
        <x:f>HYPERLINK("https://belberrycrm.bitrix24.ru/crm/deal/details/21986/","https://belberrycrm.bitrix24.ru/crm/deal/details/21986/")</x:f>
      </x:c>
      <x:c r="D2740" t="str">
        <x:v>Реанимация</x:v>
      </x:c>
      <x:c r="E2740" t="str">
        <x:v>ЛИДЫ: Отвалы</x:v>
      </x:c>
      <x:c r="F2740" t="str">
        <x:v>Александр Голядкин</x:v>
      </x:c>
      <x:c r="G2740" t="str">
        <x:v>нет</x:v>
      </x:c>
      <x:c r="H2740" t="str">
        <x:v>нет</x:v>
      </x:c>
    </x:row>
    <x:row r="2741">
      <x:c r="A2741" t="str">
        <x:v>21988</x:v>
      </x:c>
      <x:c r="B2741" t="str">
        <x:v>Email | hello@belberry.net от Alexandr clipmindinc@gmail.com</x:v>
      </x:c>
      <x:c r="C2741" t="e">
        <x:f>HYPERLINK("https://belberrycrm.bitrix24.ru/crm/deal/details/21988/","https://belberrycrm.bitrix24.ru/crm/deal/details/21988/")</x:f>
      </x:c>
      <x:c r="D2741" t="str">
        <x:v>Реанимация</x:v>
      </x:c>
      <x:c r="E2741" t="str">
        <x:v>ЛИДЫ: Отвалы</x:v>
      </x:c>
      <x:c r="F2741" t="str">
        <x:v>Петр Дудин</x:v>
      </x:c>
      <x:c r="G2741" t="str">
        <x:v>нет</x:v>
      </x:c>
      <x:c r="H2741" t="str">
        <x:v>нет</x:v>
      </x:c>
    </x:row>
    <x:row r="2742">
      <x:c r="A2742" t="str">
        <x:v>21990</x:v>
      </x:c>
      <x:c r="B2742" t="str">
        <x:v>Звонок от 74993920239</x:v>
      </x:c>
      <x:c r="C2742" t="e">
        <x:f>HYPERLINK("https://belberrycrm.bitrix24.ru/crm/deal/details/21990/","https://belberrycrm.bitrix24.ru/crm/deal/details/21990/")</x:f>
      </x:c>
      <x:c r="D2742" t="str">
        <x:v>Реанимация</x:v>
      </x:c>
      <x:c r="E2742" t="str">
        <x:v>ЛИДЫ: Отвалы</x:v>
      </x:c>
      <x:c r="F2742" t="str">
        <x:v>Петр Дудин</x:v>
      </x:c>
      <x:c r="G2742" t="str">
        <x:v>нет</x:v>
      </x:c>
      <x:c r="H2742" t="str">
        <x:v>нет</x:v>
      </x:c>
    </x:row>
    <x:row r="2743">
      <x:c r="A2743" t="str">
        <x:v>21992</x:v>
      </x:c>
      <x:c r="B2743" t="str">
        <x:v>Звонок от 78435995370</x:v>
      </x:c>
      <x:c r="C2743" t="e">
        <x:f>HYPERLINK("https://belberrycrm.bitrix24.ru/crm/deal/details/21992/","https://belberrycrm.bitrix24.ru/crm/deal/details/21992/")</x:f>
      </x:c>
      <x:c r="D2743" t="str">
        <x:v>Реанимация</x:v>
      </x:c>
      <x:c r="E2743" t="str">
        <x:v>ЛИДЫ: Отвалы</x:v>
      </x:c>
      <x:c r="F2743" t="str">
        <x:v>Александр Голядкин</x:v>
      </x:c>
      <x:c r="G2743" t="str">
        <x:v>нет</x:v>
      </x:c>
      <x:c r="H2743" t="str">
        <x:v>нет</x:v>
      </x:c>
    </x:row>
    <x:row r="2744">
      <x:c r="A2744" t="str">
        <x:v>21994</x:v>
      </x:c>
      <x:c r="B2744" t="str">
        <x:v>Звонок от 79394072855</x:v>
      </x:c>
      <x:c r="C2744" t="e">
        <x:f>HYPERLINK("https://belberrycrm.bitrix24.ru/crm/deal/details/21994/","https://belberrycrm.bitrix24.ru/crm/deal/details/21994/")</x:f>
      </x:c>
      <x:c r="D2744" t="str">
        <x:v>Реанимация</x:v>
      </x:c>
      <x:c r="E2744" t="str">
        <x:v>ЛИДЫ: Отвалы</x:v>
      </x:c>
      <x:c r="F2744" t="str">
        <x:v>Петр Дудин</x:v>
      </x:c>
      <x:c r="G2744" t="str">
        <x:v>нет</x:v>
      </x:c>
      <x:c r="H2744" t="str">
        <x:v>нет</x:v>
      </x:c>
    </x:row>
    <x:row r="2745">
      <x:c r="A2745" t="str">
        <x:v>21996</x:v>
      </x:c>
      <x:c r="B2745" t="str">
        <x:v>Заявка с сайта от sdas 71232312321</x:v>
      </x:c>
      <x:c r="C2745" t="e">
        <x:f>HYPERLINK("https://belberrycrm.bitrix24.ru/crm/deal/details/21996/","https://belberrycrm.bitrix24.ru/crm/deal/details/21996/")</x:f>
      </x:c>
      <x:c r="D2745" t="str">
        <x:v>Реанимация</x:v>
      </x:c>
      <x:c r="E2745" t="str">
        <x:v>ЛИДЫ: Отвалы</x:v>
      </x:c>
      <x:c r="F2745" t="str">
        <x:v>Александр Голядкин</x:v>
      </x:c>
      <x:c r="G2745" t="str">
        <x:v>нет</x:v>
      </x:c>
      <x:c r="H2745" t="str">
        <x:v>нет</x:v>
      </x:c>
    </x:row>
    <x:row r="2746">
      <x:c r="A2746" t="str">
        <x:v>21998</x:v>
      </x:c>
      <x:c r="B2746" t="str">
        <x:v>от Станислав 75279851827</x:v>
      </x:c>
      <x:c r="C2746" t="e">
        <x:f>HYPERLINK("https://belberrycrm.bitrix24.ru/crm/deal/details/21998/","https://belberrycrm.bitrix24.ru/crm/deal/details/21998/")</x:f>
      </x:c>
      <x:c r="D2746" t="str">
        <x:v>Реанимация</x:v>
      </x:c>
      <x:c r="E2746" t="str">
        <x:v>ЛИДЫ: Отвалы</x:v>
      </x:c>
      <x:c r="F2746" t="str">
        <x:v>Петр Дудин</x:v>
      </x:c>
      <x:c r="G2746" t="str">
        <x:v>нет</x:v>
      </x:c>
      <x:c r="H2746" t="str">
        <x:v>нет</x:v>
      </x:c>
    </x:row>
    <x:row r="2747">
      <x:c r="A2747" t="str">
        <x:v>22002</x:v>
      </x:c>
      <x:c r="B2747" t="str">
        <x:v>Звонок от 79300964993</x:v>
      </x:c>
      <x:c r="C2747" t="e">
        <x:f>HYPERLINK("https://belberrycrm.bitrix24.ru/crm/deal/details/22002/","https://belberrycrm.bitrix24.ru/crm/deal/details/22002/")</x:f>
      </x:c>
      <x:c r="D2747" t="str">
        <x:v>Реанимация</x:v>
      </x:c>
      <x:c r="E2747" t="str">
        <x:v>ЛИДЫ: Отвалы</x:v>
      </x:c>
      <x:c r="F2747" t="str">
        <x:v>Александр Голядкин</x:v>
      </x:c>
      <x:c r="G2747" t="str">
        <x:v>нет</x:v>
      </x:c>
      <x:c r="H2747" t="str">
        <x:v>нет</x:v>
      </x:c>
    </x:row>
    <x:row r="2748">
      <x:c r="A2748" t="str">
        <x:v>22004</x:v>
      </x:c>
      <x:c r="B2748" t="str">
        <x:v>Email | hello@belberry.net от Maksim Rakityanskiy max@my-reputation-online.com</x:v>
      </x:c>
      <x:c r="C2748" t="e">
        <x:f>HYPERLINK("https://belberrycrm.bitrix24.ru/crm/deal/details/22004/","https://belberrycrm.bitrix24.ru/crm/deal/details/22004/")</x:f>
      </x:c>
      <x:c r="D2748" t="str">
        <x:v>Реанимация</x:v>
      </x:c>
      <x:c r="E2748" t="str">
        <x:v>ЛИДЫ: Отвалы</x:v>
      </x:c>
      <x:c r="F2748" t="str">
        <x:v>Петр Дудин</x:v>
      </x:c>
      <x:c r="G2748" t="str">
        <x:v>нет</x:v>
      </x:c>
      <x:c r="H2748" t="str">
        <x:v>нет</x:v>
      </x:c>
    </x:row>
    <x:row r="2749">
      <x:c r="A2749" t="str">
        <x:v>22006</x:v>
      </x:c>
      <x:c r="B2749" t="str">
        <x:v>Звонок от 79672971183</x:v>
      </x:c>
      <x:c r="C2749" t="e">
        <x:f>HYPERLINK("https://belberrycrm.bitrix24.ru/crm/deal/details/22006/","https://belberrycrm.bitrix24.ru/crm/deal/details/22006/")</x:f>
      </x:c>
      <x:c r="D2749" t="str">
        <x:v>Реанимация</x:v>
      </x:c>
      <x:c r="E2749" t="str">
        <x:v>ЛИДЫ: Отвалы</x:v>
      </x:c>
      <x:c r="F2749" t="str">
        <x:v>Петр Дудин</x:v>
      </x:c>
      <x:c r="G2749" t="str">
        <x:v>нет</x:v>
      </x:c>
      <x:c r="H2749" t="str">
        <x:v>нет</x:v>
      </x:c>
    </x:row>
    <x:row r="2750">
      <x:c r="A2750" t="str">
        <x:v>22008</x:v>
      </x:c>
      <x:c r="B2750" t="str">
        <x:v>Звонок от 79661126814</x:v>
      </x:c>
      <x:c r="C2750" t="e">
        <x:f>HYPERLINK("https://belberrycrm.bitrix24.ru/crm/deal/details/22008/","https://belberrycrm.bitrix24.ru/crm/deal/details/22008/")</x:f>
      </x:c>
      <x:c r="D2750" t="str">
        <x:v>Реанимация</x:v>
      </x:c>
      <x:c r="E2750" t="str">
        <x:v>ЛИДЫ: Отвалы</x:v>
      </x:c>
      <x:c r="F2750" t="str">
        <x:v>Петр Дудин</x:v>
      </x:c>
      <x:c r="G2750" t="str">
        <x:v>нет</x:v>
      </x:c>
      <x:c r="H2750" t="str">
        <x:v>нет</x:v>
      </x:c>
    </x:row>
    <x:row r="2751">
      <x:c r="A2751" t="str">
        <x:v>22010</x:v>
      </x:c>
      <x:c r="B2751" t="str">
        <x:v>Звонок от 79261218567</x:v>
      </x:c>
      <x:c r="C2751" t="e">
        <x:f>HYPERLINK("https://belberrycrm.bitrix24.ru/crm/deal/details/22010/","https://belberrycrm.bitrix24.ru/crm/deal/details/22010/")</x:f>
      </x:c>
      <x:c r="D2751" t="str">
        <x:v>Реанимация</x:v>
      </x:c>
      <x:c r="E2751" t="str">
        <x:v>ЛИДЫ: Отвалы</x:v>
      </x:c>
      <x:c r="F2751" t="str">
        <x:v>Петр Дудин</x:v>
      </x:c>
      <x:c r="G2751" t="str">
        <x:v>нет</x:v>
      </x:c>
      <x:c r="H2751" t="str">
        <x:v>нет</x:v>
      </x:c>
    </x:row>
    <x:row r="2752">
      <x:c r="A2752" t="str">
        <x:v>22012</x:v>
      </x:c>
      <x:c r="B2752" t="str">
        <x:v>Звонок от 79011479505</x:v>
      </x:c>
      <x:c r="C2752" t="e">
        <x:f>HYPERLINK("https://belberrycrm.bitrix24.ru/crm/deal/details/22012/","https://belberrycrm.bitrix24.ru/crm/deal/details/22012/")</x:f>
      </x:c>
      <x:c r="D2752" t="str">
        <x:v>Реанимация</x:v>
      </x:c>
      <x:c r="E2752" t="str">
        <x:v>ЛИДЫ: Отвалы</x:v>
      </x:c>
      <x:c r="F2752" t="str">
        <x:v>Александр Голядкин</x:v>
      </x:c>
      <x:c r="G2752" t="str">
        <x:v>нет</x:v>
      </x:c>
      <x:c r="H2752" t="str">
        <x:v>нет</x:v>
      </x:c>
    </x:row>
    <x:row r="2753">
      <x:c r="A2753" t="str">
        <x:v>22014</x:v>
      </x:c>
      <x:c r="B2753" t="str">
        <x:v>Звонок от 79647269088</x:v>
      </x:c>
      <x:c r="C2753" t="e">
        <x:f>HYPERLINK("https://belberrycrm.bitrix24.ru/crm/deal/details/22014/","https://belberrycrm.bitrix24.ru/crm/deal/details/22014/")</x:f>
      </x:c>
      <x:c r="D2753" t="str">
        <x:v>Реанимация</x:v>
      </x:c>
      <x:c r="E2753" t="str">
        <x:v>ЛИДЫ: Отвалы</x:v>
      </x:c>
      <x:c r="F2753" t="str">
        <x:v>Александр Голядкин</x:v>
      </x:c>
      <x:c r="G2753" t="str">
        <x:v>нет</x:v>
      </x:c>
      <x:c r="H2753" t="str">
        <x:v>нет</x:v>
      </x:c>
    </x:row>
    <x:row r="2754">
      <x:c r="A2754" t="str">
        <x:v>22016</x:v>
      </x:c>
      <x:c r="B2754" t="str">
        <x:v>Звонок от 74959496629</x:v>
      </x:c>
      <x:c r="C2754" t="e">
        <x:f>HYPERLINK("https://belberrycrm.bitrix24.ru/crm/deal/details/22016/","https://belberrycrm.bitrix24.ru/crm/deal/details/22016/")</x:f>
      </x:c>
      <x:c r="D2754" t="str">
        <x:v>Реанимация</x:v>
      </x:c>
      <x:c r="E2754" t="str">
        <x:v>ЛИДЫ: Отвалы</x:v>
      </x:c>
      <x:c r="F2754" t="str">
        <x:v>Александр Голядкин</x:v>
      </x:c>
      <x:c r="G2754" t="str">
        <x:v>нет</x:v>
      </x:c>
      <x:c r="H2754" t="str">
        <x:v>нет</x:v>
      </x:c>
    </x:row>
    <x:row r="2755">
      <x:c r="A2755" t="str">
        <x:v>22018</x:v>
      </x:c>
      <x:c r="B2755" t="str">
        <x:v>Email | hello@acoola.team от Leonid Volchaninov [Lo] lv@loyalty-forum.ru</x:v>
      </x:c>
      <x:c r="C2755" t="e">
        <x:f>HYPERLINK("https://belberrycrm.bitrix24.ru/crm/deal/details/22018/","https://belberrycrm.bitrix24.ru/crm/deal/details/22018/")</x:f>
      </x:c>
      <x:c r="D2755" t="str">
        <x:v>Реанимация</x:v>
      </x:c>
      <x:c r="E2755" t="str">
        <x:v>ЛИДЫ: Отвалы</x:v>
      </x:c>
      <x:c r="F2755" t="str">
        <x:v>Александр Голядкин</x:v>
      </x:c>
      <x:c r="G2755" t="str">
        <x:v>нет</x:v>
      </x:c>
      <x:c r="H2755" t="str">
        <x:v>нет</x:v>
      </x:c>
    </x:row>
    <x:row r="2756">
      <x:c r="A2756" t="str">
        <x:v>22020</x:v>
      </x:c>
      <x:c r="B2756" t="str">
        <x:v>Звонок от 79853395784</x:v>
      </x:c>
      <x:c r="C2756" t="e">
        <x:f>HYPERLINK("https://belberrycrm.bitrix24.ru/crm/deal/details/22020/","https://belberrycrm.bitrix24.ru/crm/deal/details/22020/")</x:f>
      </x:c>
      <x:c r="D2756" t="str">
        <x:v>Реанимация</x:v>
      </x:c>
      <x:c r="E2756" t="str">
        <x:v>ЛИДЫ: Отвалы</x:v>
      </x:c>
      <x:c r="F2756" t="str">
        <x:v>Петр Дудин</x:v>
      </x:c>
      <x:c r="G2756" t="str">
        <x:v>нет</x:v>
      </x:c>
      <x:c r="H2756" t="str">
        <x:v>нет</x:v>
      </x:c>
    </x:row>
    <x:row r="2757">
      <x:c r="A2757" t="str">
        <x:v>22022</x:v>
      </x:c>
      <x:c r="B2757" t="str">
        <x:v>Заявка с сайта от Виктория 79061557843</x:v>
      </x:c>
      <x:c r="C2757" t="e">
        <x:f>HYPERLINK("https://belberrycrm.bitrix24.ru/crm/deal/details/22022/","https://belberrycrm.bitrix24.ru/crm/deal/details/22022/")</x:f>
      </x:c>
      <x:c r="D2757" t="str">
        <x:v>Реанимация</x:v>
      </x:c>
      <x:c r="E2757" t="str">
        <x:v>ЛИДЫ: Отвалы</x:v>
      </x:c>
      <x:c r="F2757" t="str">
        <x:v>Александр Голядкин</x:v>
      </x:c>
      <x:c r="G2757" t="str">
        <x:v>нет</x:v>
      </x:c>
      <x:c r="H2757" t="str">
        <x:v>нет</x:v>
      </x:c>
    </x:row>
    <x:row r="2758">
      <x:c r="A2758" t="str">
        <x:v>22024</x:v>
      </x:c>
      <x:c r="B2758" t="str">
        <x:v>Звонок от 79296210944</x:v>
      </x:c>
      <x:c r="C2758" t="e">
        <x:f>HYPERLINK("https://belberrycrm.bitrix24.ru/crm/deal/details/22024/","https://belberrycrm.bitrix24.ru/crm/deal/details/22024/")</x:f>
      </x:c>
      <x:c r="D2758" t="str">
        <x:v>Реанимация</x:v>
      </x:c>
      <x:c r="E2758" t="str">
        <x:v>ЛИДЫ: Отвалы</x:v>
      </x:c>
      <x:c r="F2758" t="str">
        <x:v>Александр Голядкин</x:v>
      </x:c>
      <x:c r="G2758" t="str">
        <x:v>нет</x:v>
      </x:c>
      <x:c r="H2758" t="str">
        <x:v>нет</x:v>
      </x:c>
    </x:row>
    <x:row r="2759">
      <x:c r="A2759" t="str">
        <x:v>22026</x:v>
      </x:c>
      <x:c r="B2759" t="str">
        <x:v>Заявка с сайта от мария 79053808180</x:v>
      </x:c>
      <x:c r="C2759" t="e">
        <x:f>HYPERLINK("https://belberrycrm.bitrix24.ru/crm/deal/details/22026/","https://belberrycrm.bitrix24.ru/crm/deal/details/22026/")</x:f>
      </x:c>
      <x:c r="D2759" t="str">
        <x:v>Реанимация</x:v>
      </x:c>
      <x:c r="E2759" t="str">
        <x:v>ЛИДЫ: Отвалы</x:v>
      </x:c>
      <x:c r="F2759" t="str">
        <x:v>Александр Голядкин</x:v>
      </x:c>
      <x:c r="G2759" t="str">
        <x:v>нет</x:v>
      </x:c>
      <x:c r="H2759" t="str">
        <x:v>нет</x:v>
      </x:c>
    </x:row>
    <x:row r="2760">
      <x:c r="A2760" t="str">
        <x:v>22028</x:v>
      </x:c>
      <x:c r="B2760" t="str">
        <x:v>Заявка с сайта от Катков Игорь Константинович 79958588730</x:v>
      </x:c>
      <x:c r="C2760" t="e">
        <x:f>HYPERLINK("https://belberrycrm.bitrix24.ru/crm/deal/details/22028/","https://belberrycrm.bitrix24.ru/crm/deal/details/22028/")</x:f>
      </x:c>
      <x:c r="D2760" t="str">
        <x:v>Реанимация</x:v>
      </x:c>
      <x:c r="E2760" t="str">
        <x:v>ЛИДЫ: Отвалы</x:v>
      </x:c>
      <x:c r="F2760" t="str">
        <x:v>Петр Дудин</x:v>
      </x:c>
      <x:c r="G2760" t="str">
        <x:v>нет</x:v>
      </x:c>
      <x:c r="H2760" t="str">
        <x:v>нет</x:v>
      </x:c>
    </x:row>
    <x:row r="2761">
      <x:c r="A2761" t="str">
        <x:v>22030</x:v>
      </x:c>
      <x:c r="B2761" t="str">
        <x:v>Спам от Сергей Матвеев 79850727293</x:v>
      </x:c>
      <x:c r="C2761" t="e">
        <x:f>HYPERLINK("https://belberrycrm.bitrix24.ru/crm/deal/details/22030/","https://belberrycrm.bitrix24.ru/crm/deal/details/22030/")</x:f>
      </x:c>
      <x:c r="D2761" t="str">
        <x:v>Реанимация</x:v>
      </x:c>
      <x:c r="E2761" t="str">
        <x:v>ЛИДЫ: Отвалы</x:v>
      </x:c>
      <x:c r="F2761" t="str">
        <x:v>Петр Дудин</x:v>
      </x:c>
      <x:c r="G2761" t="str">
        <x:v>нет</x:v>
      </x:c>
      <x:c r="H2761" t="str">
        <x:v>нет</x:v>
      </x:c>
    </x:row>
    <x:row r="2762">
      <x:c r="A2762" t="str">
        <x:v>22032</x:v>
      </x:c>
      <x:c r="B2762" t="str">
        <x:v>Email | hello@acoola.team от Анастасия Петина apetina@semantex.ru</x:v>
      </x:c>
      <x:c r="C2762" t="e">
        <x:f>HYPERLINK("https://belberrycrm.bitrix24.ru/crm/deal/details/22032/","https://belberrycrm.bitrix24.ru/crm/deal/details/22032/")</x:f>
      </x:c>
      <x:c r="D2762" t="str">
        <x:v>Реанимация</x:v>
      </x:c>
      <x:c r="E2762" t="str">
        <x:v>ЛИДЫ: Отвалы</x:v>
      </x:c>
      <x:c r="F2762" t="str">
        <x:v>Петр Дудин</x:v>
      </x:c>
      <x:c r="G2762" t="str">
        <x:v>нет</x:v>
      </x:c>
      <x:c r="H2762" t="str">
        <x:v>нет</x:v>
      </x:c>
    </x:row>
    <x:row r="2763">
      <x:c r="A2763" t="str">
        <x:v>22034</x:v>
      </x:c>
      <x:c r="B2763" t="str">
        <x:v>Email | hello@belberry.net от Казаков Юрий kazakov@web-oasis.ru</x:v>
      </x:c>
      <x:c r="C2763" t="e">
        <x:f>HYPERLINK("https://belberrycrm.bitrix24.ru/crm/deal/details/22034/","https://belberrycrm.bitrix24.ru/crm/deal/details/22034/")</x:f>
      </x:c>
      <x:c r="D2763" t="str">
        <x:v>Реанимация</x:v>
      </x:c>
      <x:c r="E2763" t="str">
        <x:v>ЛИДЫ: Отвалы</x:v>
      </x:c>
      <x:c r="F2763" t="str">
        <x:v>Петр Дудин</x:v>
      </x:c>
      <x:c r="G2763" t="str">
        <x:v>нет</x:v>
      </x:c>
      <x:c r="H2763" t="str">
        <x:v>нет</x:v>
      </x:c>
    </x:row>
    <x:row r="2764">
      <x:c r="A2764" t="str">
        <x:v>22036</x:v>
      </x:c>
      <x:c r="B2764" t="str">
        <x:v>Заявка с сайта от Петр 79193568365</x:v>
      </x:c>
      <x:c r="C2764" t="e">
        <x:f>HYPERLINK("https://belberrycrm.bitrix24.ru/crm/deal/details/22036/","https://belberrycrm.bitrix24.ru/crm/deal/details/22036/")</x:f>
      </x:c>
      <x:c r="D2764" t="str">
        <x:v>Реанимация</x:v>
      </x:c>
      <x:c r="E2764" t="str">
        <x:v>ЛИДЫ: Отвалы</x:v>
      </x:c>
      <x:c r="F2764" t="str">
        <x:v>Александр Голядкин</x:v>
      </x:c>
      <x:c r="G2764" t="str">
        <x:v>нет</x:v>
      </x:c>
      <x:c r="H2764" t="str">
        <x:v>нет</x:v>
      </x:c>
    </x:row>
    <x:row r="2765">
      <x:c r="A2765" t="str">
        <x:v>22038</x:v>
      </x:c>
      <x:c r="B2765" t="str">
        <x:v>Звонок от 79629762675</x:v>
      </x:c>
      <x:c r="C2765" t="e">
        <x:f>HYPERLINK("https://belberrycrm.bitrix24.ru/crm/deal/details/22038/","https://belberrycrm.bitrix24.ru/crm/deal/details/22038/")</x:f>
      </x:c>
      <x:c r="D2765" t="str">
        <x:v>Реанимация</x:v>
      </x:c>
      <x:c r="E2765" t="str">
        <x:v>ЛИДЫ: Отвалы</x:v>
      </x:c>
      <x:c r="F2765" t="str">
        <x:v>Александр Голядкин</x:v>
      </x:c>
      <x:c r="G2765" t="str">
        <x:v>нет</x:v>
      </x:c>
      <x:c r="H2765" t="str">
        <x:v>нет</x:v>
      </x:c>
    </x:row>
    <x:row r="2766">
      <x:c r="A2766" t="str">
        <x:v>22040</x:v>
      </x:c>
      <x:c r="B2766" t="str">
        <x:v>Звонок от 79819165085</x:v>
      </x:c>
      <x:c r="C2766" t="e">
        <x:f>HYPERLINK("https://belberrycrm.bitrix24.ru/crm/deal/details/22040/","https://belberrycrm.bitrix24.ru/crm/deal/details/22040/")</x:f>
      </x:c>
      <x:c r="D2766" t="str">
        <x:v>Реанимация</x:v>
      </x:c>
      <x:c r="E2766" t="str">
        <x:v>ЛИДЫ: Отвалы</x:v>
      </x:c>
      <x:c r="F2766" t="str">
        <x:v>Александр Голядкин</x:v>
      </x:c>
      <x:c r="G2766" t="str">
        <x:v>нет</x:v>
      </x:c>
      <x:c r="H2766" t="str">
        <x:v>нет</x:v>
      </x:c>
    </x:row>
    <x:row r="2767">
      <x:c r="A2767" t="str">
        <x:v>22042</x:v>
      </x:c>
      <x:c r="B2767" t="str">
        <x:v>Звонок от 79393655384</x:v>
      </x:c>
      <x:c r="C2767" t="e">
        <x:f>HYPERLINK("https://belberrycrm.bitrix24.ru/crm/deal/details/22042/","https://belberrycrm.bitrix24.ru/crm/deal/details/22042/")</x:f>
      </x:c>
      <x:c r="D2767" t="str">
        <x:v>Реанимация</x:v>
      </x:c>
      <x:c r="E2767" t="str">
        <x:v>ЛИДЫ: Отвалы</x:v>
      </x:c>
      <x:c r="F2767" t="str">
        <x:v>Александр Голядкин</x:v>
      </x:c>
      <x:c r="G2767" t="str">
        <x:v>нет</x:v>
      </x:c>
      <x:c r="H2767" t="str">
        <x:v>нет</x:v>
      </x:c>
    </x:row>
    <x:row r="2768">
      <x:c r="A2768" t="str">
        <x:v>22044</x:v>
      </x:c>
      <x:c r="B2768" t="str">
        <x:v>Заявка с сайта от Нина  79323288899</x:v>
      </x:c>
      <x:c r="C2768" t="e">
        <x:f>HYPERLINK("https://belberrycrm.bitrix24.ru/crm/deal/details/22044/","https://belberrycrm.bitrix24.ru/crm/deal/details/22044/")</x:f>
      </x:c>
      <x:c r="D2768" t="str">
        <x:v>Реанимация</x:v>
      </x:c>
      <x:c r="E2768" t="str">
        <x:v>ЛИДЫ: Отвалы</x:v>
      </x:c>
      <x:c r="F2768" t="str">
        <x:v>Александр Голядкин</x:v>
      </x:c>
      <x:c r="G2768" t="str">
        <x:v>нет</x:v>
      </x:c>
      <x:c r="H2768" t="str">
        <x:v>нет</x:v>
      </x:c>
    </x:row>
    <x:row r="2769">
      <x:c r="A2769" t="str">
        <x:v>22046</x:v>
      </x:c>
      <x:c r="B2769" t="str">
        <x:v>Заявка с сайта от p 78888883393</x:v>
      </x:c>
      <x:c r="C2769" t="e">
        <x:f>HYPERLINK("https://belberrycrm.bitrix24.ru/crm/deal/details/22046/","https://belberrycrm.bitrix24.ru/crm/deal/details/22046/")</x:f>
      </x:c>
      <x:c r="D2769" t="str">
        <x:v>Реанимация</x:v>
      </x:c>
      <x:c r="E2769" t="str">
        <x:v>ЛИДЫ: Отвалы</x:v>
      </x:c>
      <x:c r="F2769" t="str">
        <x:v>Александр Голядкин</x:v>
      </x:c>
      <x:c r="G2769" t="str">
        <x:v>нет</x:v>
      </x:c>
      <x:c r="H2769" t="str">
        <x:v>нет</x:v>
      </x:c>
    </x:row>
    <x:row r="2770">
      <x:c r="A2770" t="str">
        <x:v>22048</x:v>
      </x:c>
      <x:c r="B2770" t="str">
        <x:v>Звонок от 79331116148</x:v>
      </x:c>
      <x:c r="C2770" t="e">
        <x:f>HYPERLINK("https://belberrycrm.bitrix24.ru/crm/deal/details/22048/","https://belberrycrm.bitrix24.ru/crm/deal/details/22048/")</x:f>
      </x:c>
      <x:c r="D2770" t="str">
        <x:v>Реанимация</x:v>
      </x:c>
      <x:c r="E2770" t="str">
        <x:v>ЛИДЫ: Отвалы</x:v>
      </x:c>
      <x:c r="F2770" t="str">
        <x:v>Александр Голядкин</x:v>
      </x:c>
      <x:c r="G2770" t="str">
        <x:v>нет</x:v>
      </x:c>
      <x:c r="H2770" t="str">
        <x:v>нет</x:v>
      </x:c>
    </x:row>
    <x:row r="2771">
      <x:c r="A2771" t="str">
        <x:v>22050</x:v>
      </x:c>
      <x:c r="B2771" t="str">
        <x:v>Звонок от 79194716639</x:v>
      </x:c>
      <x:c r="C2771" t="e">
        <x:f>HYPERLINK("https://belberrycrm.bitrix24.ru/crm/deal/details/22050/","https://belberrycrm.bitrix24.ru/crm/deal/details/22050/")</x:f>
      </x:c>
      <x:c r="D2771" t="str">
        <x:v>Реанимация</x:v>
      </x:c>
      <x:c r="E2771" t="str">
        <x:v>ЛИДЫ: Отвалы</x:v>
      </x:c>
      <x:c r="F2771" t="str">
        <x:v>Петр Дудин</x:v>
      </x:c>
      <x:c r="G2771" t="str">
        <x:v>нет</x:v>
      </x:c>
      <x:c r="H2771" t="str">
        <x:v>нет</x:v>
      </x:c>
    </x:row>
    <x:row r="2772">
      <x:c r="A2772" t="str">
        <x:v>22052</x:v>
      </x:c>
      <x:c r="B2772" t="str">
        <x:v>Звонок от 79393404931</x:v>
      </x:c>
      <x:c r="C2772" t="e">
        <x:f>HYPERLINK("https://belberrycrm.bitrix24.ru/crm/deal/details/22052/","https://belberrycrm.bitrix24.ru/crm/deal/details/22052/")</x:f>
      </x:c>
      <x:c r="D2772" t="str">
        <x:v>Реанимация</x:v>
      </x:c>
      <x:c r="E2772" t="str">
        <x:v>ЛИДЫ: Отвалы</x:v>
      </x:c>
      <x:c r="F2772" t="str">
        <x:v>Александр Голядкин</x:v>
      </x:c>
      <x:c r="G2772" t="str">
        <x:v>нет</x:v>
      </x:c>
      <x:c r="H2772" t="str">
        <x:v>нет</x:v>
      </x:c>
    </x:row>
    <x:row r="2773">
      <x:c r="A2773" t="str">
        <x:v>22054</x:v>
      </x:c>
      <x:c r="B2773" t="str">
        <x:v>Звонок от 79393024513</x:v>
      </x:c>
      <x:c r="C2773" t="e">
        <x:f>HYPERLINK("https://belberrycrm.bitrix24.ru/crm/deal/details/22054/","https://belberrycrm.bitrix24.ru/crm/deal/details/22054/")</x:f>
      </x:c>
      <x:c r="D2773" t="str">
        <x:v>Реанимация</x:v>
      </x:c>
      <x:c r="E2773" t="str">
        <x:v>ЛИДЫ: Отвалы</x:v>
      </x:c>
      <x:c r="F2773" t="str">
        <x:v>Александр Голядкин</x:v>
      </x:c>
      <x:c r="G2773" t="str">
        <x:v>нет</x:v>
      </x:c>
      <x:c r="H2773" t="str">
        <x:v>нет</x:v>
      </x:c>
    </x:row>
    <x:row r="2774">
      <x:c r="A2774" t="str">
        <x:v>22056</x:v>
      </x:c>
      <x:c r="B2774" t="str">
        <x:v>Заявка с сайта от Евгения 79652708405</x:v>
      </x:c>
      <x:c r="C2774" t="e">
        <x:f>HYPERLINK("https://belberrycrm.bitrix24.ru/crm/deal/details/22056/","https://belberrycrm.bitrix24.ru/crm/deal/details/22056/")</x:f>
      </x:c>
      <x:c r="D2774" t="str">
        <x:v>Реанимация</x:v>
      </x:c>
      <x:c r="E2774" t="str">
        <x:v>ЛИДЫ: Отвалы</x:v>
      </x:c>
      <x:c r="F2774" t="str">
        <x:v>Александр Голядкин</x:v>
      </x:c>
      <x:c r="G2774" t="str">
        <x:v>нет</x:v>
      </x:c>
      <x:c r="H2774" t="str">
        <x:v>нет</x:v>
      </x:c>
    </x:row>
    <x:row r="2775">
      <x:c r="A2775" t="str">
        <x:v>22058</x:v>
      </x:c>
      <x:c r="B2775" t="str">
        <x:v>Email | hello@acoola.team от Daniil Telitsin dtelitsin@eve.rest</x:v>
      </x:c>
      <x:c r="C2775" t="e">
        <x:f>HYPERLINK("https://belberrycrm.bitrix24.ru/crm/deal/details/22058/","https://belberrycrm.bitrix24.ru/crm/deal/details/22058/")</x:f>
      </x:c>
      <x:c r="D2775" t="str">
        <x:v>Реанимация</x:v>
      </x:c>
      <x:c r="E2775" t="str">
        <x:v>ЛИДЫ: Отвалы</x:v>
      </x:c>
      <x:c r="F2775" t="str">
        <x:v>Александр Голядкин</x:v>
      </x:c>
      <x:c r="G2775" t="str">
        <x:v>нет</x:v>
      </x:c>
      <x:c r="H2775" t="str">
        <x:v>нет</x:v>
      </x:c>
    </x:row>
    <x:row r="2776">
      <x:c r="A2776" t="str">
        <x:v>22060</x:v>
      </x:c>
      <x:c r="B2776" t="str">
        <x:v>Заявка с сайта от Евгений 79094264199</x:v>
      </x:c>
      <x:c r="C2776" t="e">
        <x:f>HYPERLINK("https://belberrycrm.bitrix24.ru/crm/deal/details/22060/","https://belberrycrm.bitrix24.ru/crm/deal/details/22060/")</x:f>
      </x:c>
      <x:c r="D2776" t="str">
        <x:v>Реанимация</x:v>
      </x:c>
      <x:c r="E2776" t="str">
        <x:v>ЛИДЫ: Отвалы</x:v>
      </x:c>
      <x:c r="F2776" t="str">
        <x:v>Петр Дудин</x:v>
      </x:c>
      <x:c r="G2776" t="str">
        <x:v>нет</x:v>
      </x:c>
      <x:c r="H2776" t="str">
        <x:v>нет</x:v>
      </x:c>
    </x:row>
    <x:row r="2777">
      <x:c r="A2777" t="str">
        <x:v>22062</x:v>
      </x:c>
      <x:c r="B2777" t="str">
        <x:v>Заявка с сайта от абракадабра 79969123312</x:v>
      </x:c>
      <x:c r="C2777" t="e">
        <x:f>HYPERLINK("https://belberrycrm.bitrix24.ru/crm/deal/details/22062/","https://belberrycrm.bitrix24.ru/crm/deal/details/22062/")</x:f>
      </x:c>
      <x:c r="D2777" t="str">
        <x:v>Реанимация</x:v>
      </x:c>
      <x:c r="E2777" t="str">
        <x:v>ЛИДЫ: Отвалы</x:v>
      </x:c>
      <x:c r="F2777" t="str">
        <x:v>Александр Голядкин</x:v>
      </x:c>
      <x:c r="G2777" t="str">
        <x:v>нет</x:v>
      </x:c>
      <x:c r="H2777" t="str">
        <x:v>нет</x:v>
      </x:c>
    </x:row>
    <x:row r="2778">
      <x:c r="A2778" t="str">
        <x:v>22064</x:v>
      </x:c>
      <x:c r="B2778" t="str">
        <x:v>Звонок от 78123822721</x:v>
      </x:c>
      <x:c r="C2778" t="e">
        <x:f>HYPERLINK("https://belberrycrm.bitrix24.ru/crm/deal/details/22064/","https://belberrycrm.bitrix24.ru/crm/deal/details/22064/")</x:f>
      </x:c>
      <x:c r="D2778" t="str">
        <x:v>Реанимация</x:v>
      </x:c>
      <x:c r="E2778" t="str">
        <x:v>ЛИДЫ: Отвалы</x:v>
      </x:c>
      <x:c r="F2778" t="str">
        <x:v>Петр Дудин</x:v>
      </x:c>
      <x:c r="G2778" t="str">
        <x:v>нет</x:v>
      </x:c>
      <x:c r="H2778" t="str">
        <x:v>нет</x:v>
      </x:c>
    </x:row>
    <x:row r="2779">
      <x:c r="A2779" t="str">
        <x:v>22066</x:v>
      </x:c>
      <x:c r="B2779" t="str">
        <x:v>Заявка с сайта от 6y 79396999939</x:v>
      </x:c>
      <x:c r="C2779" t="e">
        <x:f>HYPERLINK("https://belberrycrm.bitrix24.ru/crm/deal/details/22066/","https://belberrycrm.bitrix24.ru/crm/deal/details/22066/")</x:f>
      </x:c>
      <x:c r="D2779" t="str">
        <x:v>Реанимация</x:v>
      </x:c>
      <x:c r="E2779" t="str">
        <x:v>ЛИДЫ: Отвалы</x:v>
      </x:c>
      <x:c r="F2779" t="str">
        <x:v>Александр Голядкин</x:v>
      </x:c>
      <x:c r="G2779" t="str">
        <x:v>нет</x:v>
      </x:c>
      <x:c r="H2779" t="str">
        <x:v>нет</x:v>
      </x:c>
    </x:row>
    <x:row r="2780">
      <x:c r="A2780" t="str">
        <x:v>22068</x:v>
      </x:c>
      <x:c r="B2780" t="str">
        <x:v>Звонок от 79647261525</x:v>
      </x:c>
      <x:c r="C2780" t="e">
        <x:f>HYPERLINK("https://belberrycrm.bitrix24.ru/crm/deal/details/22068/","https://belberrycrm.bitrix24.ru/crm/deal/details/22068/")</x:f>
      </x:c>
      <x:c r="D2780" t="str">
        <x:v>Реанимация</x:v>
      </x:c>
      <x:c r="E2780" t="str">
        <x:v>ЛИДЫ: Отвалы</x:v>
      </x:c>
      <x:c r="F2780" t="str">
        <x:v>Петр Дудин</x:v>
      </x:c>
      <x:c r="G2780" t="str">
        <x:v>нет</x:v>
      </x:c>
      <x:c r="H2780" t="str">
        <x:v>нет</x:v>
      </x:c>
    </x:row>
    <x:row r="2781">
      <x:c r="A2781" t="str">
        <x:v>22070</x:v>
      </x:c>
      <x:c r="B2781" t="str">
        <x:v>Заявка с сайта от Валерий 79789857858</x:v>
      </x:c>
      <x:c r="C2781" t="e">
        <x:f>HYPERLINK("https://belberrycrm.bitrix24.ru/crm/deal/details/22070/","https://belberrycrm.bitrix24.ru/crm/deal/details/22070/")</x:f>
      </x:c>
      <x:c r="D2781" t="str">
        <x:v>Реанимация</x:v>
      </x:c>
      <x:c r="E2781" t="str">
        <x:v>ЛИДЫ: Отвалы</x:v>
      </x:c>
      <x:c r="F2781" t="str">
        <x:v>Александр Голядкин</x:v>
      </x:c>
      <x:c r="G2781" t="str">
        <x:v>нет</x:v>
      </x:c>
      <x:c r="H2781" t="str">
        <x:v>нет</x:v>
      </x:c>
    </x:row>
    <x:row r="2782">
      <x:c r="A2782" t="str">
        <x:v>22072</x:v>
      </x:c>
      <x:c r="B2782" t="str">
        <x:v>Заявка с сайта от hh 79878687687</x:v>
      </x:c>
      <x:c r="C2782" t="e">
        <x:f>HYPERLINK("https://belberrycrm.bitrix24.ru/crm/deal/details/22072/","https://belberrycrm.bitrix24.ru/crm/deal/details/22072/")</x:f>
      </x:c>
      <x:c r="D2782" t="str">
        <x:v>Реанимация</x:v>
      </x:c>
      <x:c r="E2782" t="str">
        <x:v>ЛИДЫ: Отвалы</x:v>
      </x:c>
      <x:c r="F2782" t="str">
        <x:v>Александр Голядкин</x:v>
      </x:c>
      <x:c r="G2782" t="str">
        <x:v>нет</x:v>
      </x:c>
      <x:c r="H2782" t="str">
        <x:v>нет</x:v>
      </x:c>
    </x:row>
    <x:row r="2783">
      <x:c r="A2783" t="str">
        <x:v>22074</x:v>
      </x:c>
      <x:c r="B2783" t="str">
        <x:v>Заявка с сайта от Антон 79945465465</x:v>
      </x:c>
      <x:c r="C2783" t="e">
        <x:f>HYPERLINK("https://belberrycrm.bitrix24.ru/crm/deal/details/22074/","https://belberrycrm.bitrix24.ru/crm/deal/details/22074/")</x:f>
      </x:c>
      <x:c r="D2783" t="str">
        <x:v>Реанимация</x:v>
      </x:c>
      <x:c r="E2783" t="str">
        <x:v>ЛИДЫ: Отвалы</x:v>
      </x:c>
      <x:c r="F2783" t="str">
        <x:v>Александр Голядкин</x:v>
      </x:c>
      <x:c r="G2783" t="str">
        <x:v>нет</x:v>
      </x:c>
      <x:c r="H2783" t="str">
        <x:v>нет</x:v>
      </x:c>
    </x:row>
    <x:row r="2784">
      <x:c r="A2784" t="str">
        <x:v>22076</x:v>
      </x:c>
      <x:c r="B2784" t="str">
        <x:v>Звонок от 79653534822</x:v>
      </x:c>
      <x:c r="C2784" t="e">
        <x:f>HYPERLINK("https://belberrycrm.bitrix24.ru/crm/deal/details/22076/","https://belberrycrm.bitrix24.ru/crm/deal/details/22076/")</x:f>
      </x:c>
      <x:c r="D2784" t="str">
        <x:v>Реанимация</x:v>
      </x:c>
      <x:c r="E2784" t="str">
        <x:v>ЛИДЫ: Отвалы</x:v>
      </x:c>
      <x:c r="F2784" t="str">
        <x:v>Александр Голядкин</x:v>
      </x:c>
      <x:c r="G2784" t="str">
        <x:v>нет</x:v>
      </x:c>
      <x:c r="H2784" t="str">
        <x:v>нет</x:v>
      </x:c>
    </x:row>
    <x:row r="2785">
      <x:c r="A2785" t="str">
        <x:v>22078</x:v>
      </x:c>
      <x:c r="B2785" t="str">
        <x:v>Звонок от 74952321992</x:v>
      </x:c>
      <x:c r="C2785" t="e">
        <x:f>HYPERLINK("https://belberrycrm.bitrix24.ru/crm/deal/details/22078/","https://belberrycrm.bitrix24.ru/crm/deal/details/22078/")</x:f>
      </x:c>
      <x:c r="D2785" t="str">
        <x:v>Реанимация</x:v>
      </x:c>
      <x:c r="E2785" t="str">
        <x:v>ЛИДЫ: Отвалы</x:v>
      </x:c>
      <x:c r="F2785" t="str">
        <x:v>Петр Дудин</x:v>
      </x:c>
      <x:c r="G2785" t="str">
        <x:v>нет</x:v>
      </x:c>
      <x:c r="H2785" t="str">
        <x:v>нет</x:v>
      </x:c>
    </x:row>
    <x:row r="2786">
      <x:c r="A2786" t="str">
        <x:v>22080</x:v>
      </x:c>
      <x:c r="B2786" t="str">
        <x:v>Заявка с сайта от Григорий 79961662529</x:v>
      </x:c>
      <x:c r="C2786" t="e">
        <x:f>HYPERLINK("https://belberrycrm.bitrix24.ru/crm/deal/details/22080/","https://belberrycrm.bitrix24.ru/crm/deal/details/22080/")</x:f>
      </x:c>
      <x:c r="D2786" t="str">
        <x:v>Реанимация</x:v>
      </x:c>
      <x:c r="E2786" t="str">
        <x:v>ЛИДЫ: Отвалы</x:v>
      </x:c>
      <x:c r="F2786" t="str">
        <x:v>Петр Дудин</x:v>
      </x:c>
      <x:c r="G2786" t="str">
        <x:v>нет</x:v>
      </x:c>
      <x:c r="H2786" t="str">
        <x:v>нет</x:v>
      </x:c>
    </x:row>
    <x:row r="2787">
      <x:c r="A2787" t="str">
        <x:v>22082</x:v>
      </x:c>
      <x:c r="B2787" t="str">
        <x:v>Заявка с сайта от Владимир 78910787181</x:v>
      </x:c>
      <x:c r="C2787" t="e">
        <x:f>HYPERLINK("https://belberrycrm.bitrix24.ru/crm/deal/details/22082/","https://belberrycrm.bitrix24.ru/crm/deal/details/22082/")</x:f>
      </x:c>
      <x:c r="D2787" t="str">
        <x:v>Реанимация</x:v>
      </x:c>
      <x:c r="E2787" t="str">
        <x:v>ЛИДЫ: Отвалы</x:v>
      </x:c>
      <x:c r="F2787" t="str">
        <x:v>Петр Дудин</x:v>
      </x:c>
      <x:c r="G2787" t="str">
        <x:v>нет</x:v>
      </x:c>
      <x:c r="H2787" t="str">
        <x:v>нет</x:v>
      </x:c>
    </x:row>
    <x:row r="2788">
      <x:c r="A2788" t="str">
        <x:v>22084</x:v>
      </x:c>
      <x:c r="B2788" t="str">
        <x:v>Заявка с сайта от Захар 74952231256 Доктор 2010, центр профосмотров</x:v>
      </x:c>
      <x:c r="C2788" t="e">
        <x:f>HYPERLINK("https://belberrycrm.bitrix24.ru/crm/deal/details/22084/","https://belberrycrm.bitrix24.ru/crm/deal/details/22084/")</x:f>
      </x:c>
      <x:c r="D2788" t="str">
        <x:v>Реанимация</x:v>
      </x:c>
      <x:c r="E2788" t="str">
        <x:v>ЛИДЫ: Отвалы</x:v>
      </x:c>
      <x:c r="F2788" t="str">
        <x:v>Александр Голядкин</x:v>
      </x:c>
      <x:c r="G2788" t="str">
        <x:v>нет</x:v>
      </x:c>
      <x:c r="H2788" t="str">
        <x:v>нет</x:v>
      </x:c>
    </x:row>
    <x:row r="2789">
      <x:c r="A2789" t="str">
        <x:v>22086</x:v>
      </x:c>
      <x:c r="B2789" t="str">
        <x:v>Заявка с сайта от Игорь Пагаев 79017489068</x:v>
      </x:c>
      <x:c r="C2789" t="e">
        <x:f>HYPERLINK("https://belberrycrm.bitrix24.ru/crm/deal/details/22086/","https://belberrycrm.bitrix24.ru/crm/deal/details/22086/")</x:f>
      </x:c>
      <x:c r="D2789" t="str">
        <x:v>Реанимация</x:v>
      </x:c>
      <x:c r="E2789" t="str">
        <x:v>ЛИДЫ: Отвалы</x:v>
      </x:c>
      <x:c r="F2789" t="str">
        <x:v>Александр Голядкин</x:v>
      </x:c>
      <x:c r="G2789" t="str">
        <x:v>нет</x:v>
      </x:c>
      <x:c r="H2789" t="str">
        <x:v>нет</x:v>
      </x:c>
    </x:row>
    <x:row r="2790">
      <x:c r="A2790" t="str">
        <x:v>22088</x:v>
      </x:c>
      <x:c r="B2790" t="str">
        <x:v>Заявка с сайта от Вадим 79298078917</x:v>
      </x:c>
      <x:c r="C2790" t="e">
        <x:f>HYPERLINK("https://belberrycrm.bitrix24.ru/crm/deal/details/22088/","https://belberrycrm.bitrix24.ru/crm/deal/details/22088/")</x:f>
      </x:c>
      <x:c r="D2790" t="str">
        <x:v>Реанимация</x:v>
      </x:c>
      <x:c r="E2790" t="str">
        <x:v>ЛИДЫ: Отвалы</x:v>
      </x:c>
      <x:c r="F2790" t="str">
        <x:v>Александр Голядкин</x:v>
      </x:c>
      <x:c r="G2790" t="str">
        <x:v>нет</x:v>
      </x:c>
      <x:c r="H2790" t="str">
        <x:v>нет</x:v>
      </x:c>
    </x:row>
    <x:row r="2791">
      <x:c r="A2791" t="str">
        <x:v>22090</x:v>
      </x:c>
      <x:c r="B2791" t="str">
        <x:v>Звонок от 79035362366</x:v>
      </x:c>
      <x:c r="C2791" t="e">
        <x:f>HYPERLINK("https://belberrycrm.bitrix24.ru/crm/deal/details/22090/","https://belberrycrm.bitrix24.ru/crm/deal/details/22090/")</x:f>
      </x:c>
      <x:c r="D2791" t="str">
        <x:v>Реанимация</x:v>
      </x:c>
      <x:c r="E2791" t="str">
        <x:v>ЛИДЫ: Отвалы</x:v>
      </x:c>
      <x:c r="F2791" t="str">
        <x:v>Александр Голядкин</x:v>
      </x:c>
      <x:c r="G2791" t="str">
        <x:v>нет</x:v>
      </x:c>
      <x:c r="H2791" t="str">
        <x:v>нет</x:v>
      </x:c>
    </x:row>
    <x:row r="2792">
      <x:c r="A2792" t="str">
        <x:v>22092</x:v>
      </x:c>
      <x:c r="B2792" t="str">
        <x:v>Звонок от 79397228875</x:v>
      </x:c>
      <x:c r="C2792" t="e">
        <x:f>HYPERLINK("https://belberrycrm.bitrix24.ru/crm/deal/details/22092/","https://belberrycrm.bitrix24.ru/crm/deal/details/22092/")</x:f>
      </x:c>
      <x:c r="D2792" t="str">
        <x:v>Реанимация</x:v>
      </x:c>
      <x:c r="E2792" t="str">
        <x:v>ЛИДЫ: Отвалы</x:v>
      </x:c>
      <x:c r="F2792" t="str">
        <x:v>Александр Голядкин</x:v>
      </x:c>
      <x:c r="G2792" t="str">
        <x:v>нет</x:v>
      </x:c>
      <x:c r="H2792" t="str">
        <x:v>нет</x:v>
      </x:c>
    </x:row>
    <x:row r="2793">
      <x:c r="A2793" t="str">
        <x:v>22094</x:v>
      </x:c>
      <x:c r="B2793" t="str">
        <x:v>Звонок от 74997404238</x:v>
      </x:c>
      <x:c r="C2793" t="e">
        <x:f>HYPERLINK("https://belberrycrm.bitrix24.ru/crm/deal/details/22094/","https://belberrycrm.bitrix24.ru/crm/deal/details/22094/")</x:f>
      </x:c>
      <x:c r="D2793" t="str">
        <x:v>Реанимация</x:v>
      </x:c>
      <x:c r="E2793" t="str">
        <x:v>ЛИДЫ: Отвалы</x:v>
      </x:c>
      <x:c r="F2793" t="str">
        <x:v>Петр Дудин</x:v>
      </x:c>
      <x:c r="G2793" t="str">
        <x:v>нет</x:v>
      </x:c>
      <x:c r="H2793" t="str">
        <x:v>нет</x:v>
      </x:c>
    </x:row>
    <x:row r="2794">
      <x:c r="A2794" t="str">
        <x:v>22096</x:v>
      </x:c>
      <x:c r="B2794" t="str">
        <x:v>Звонок от 74956461258</x:v>
      </x:c>
      <x:c r="C2794" t="e">
        <x:f>HYPERLINK("https://belberrycrm.bitrix24.ru/crm/deal/details/22096/","https://belberrycrm.bitrix24.ru/crm/deal/details/22096/")</x:f>
      </x:c>
      <x:c r="D2794" t="str">
        <x:v>Реанимация</x:v>
      </x:c>
      <x:c r="E2794" t="str">
        <x:v>ЛИДЫ: Отвалы</x:v>
      </x:c>
      <x:c r="F2794" t="str">
        <x:v>Александр Голядкин</x:v>
      </x:c>
      <x:c r="G2794" t="str">
        <x:v>нет</x:v>
      </x:c>
      <x:c r="H2794" t="str">
        <x:v>нет</x:v>
      </x:c>
    </x:row>
    <x:row r="2795">
      <x:c r="A2795" t="str">
        <x:v>22098</x:v>
      </x:c>
      <x:c r="B2795" t="str">
        <x:v>Заявка с сайта от Денис  79518671316</x:v>
      </x:c>
      <x:c r="C2795" t="e">
        <x:f>HYPERLINK("https://belberrycrm.bitrix24.ru/crm/deal/details/22098/","https://belberrycrm.bitrix24.ru/crm/deal/details/22098/")</x:f>
      </x:c>
      <x:c r="D2795" t="str">
        <x:v>Реанимация</x:v>
      </x:c>
      <x:c r="E2795" t="str">
        <x:v>ЛИДЫ: Отвалы</x:v>
      </x:c>
      <x:c r="F2795" t="str">
        <x:v>Петр Дудин</x:v>
      </x:c>
      <x:c r="G2795" t="str">
        <x:v>нет</x:v>
      </x:c>
      <x:c r="H2795" t="str">
        <x:v>нет</x:v>
      </x:c>
    </x:row>
    <x:row r="2796">
      <x:c r="A2796" t="str">
        <x:v>22100</x:v>
      </x:c>
      <x:c r="B2796" t="str">
        <x:v>Звонок от 79804570040</x:v>
      </x:c>
      <x:c r="C2796" t="e">
        <x:f>HYPERLINK("https://belberrycrm.bitrix24.ru/crm/deal/details/22100/","https://belberrycrm.bitrix24.ru/crm/deal/details/22100/")</x:f>
      </x:c>
      <x:c r="D2796" t="str">
        <x:v>Реанимация</x:v>
      </x:c>
      <x:c r="E2796" t="str">
        <x:v>ЛИДЫ: Отвалы</x:v>
      </x:c>
      <x:c r="F2796" t="str">
        <x:v>Петр Дудин</x:v>
      </x:c>
      <x:c r="G2796" t="str">
        <x:v>нет</x:v>
      </x:c>
      <x:c r="H2796" t="str">
        <x:v>нет</x:v>
      </x:c>
    </x:row>
    <x:row r="2797">
      <x:c r="A2797" t="str">
        <x:v>22102</x:v>
      </x:c>
      <x:c r="B2797" t="str">
        <x:v>Email | hello@belberry.net от Мария Матвеева marikomarova20000@gmail.com</x:v>
      </x:c>
      <x:c r="C2797" t="e">
        <x:f>HYPERLINK("https://belberrycrm.bitrix24.ru/crm/deal/details/22102/","https://belberrycrm.bitrix24.ru/crm/deal/details/22102/")</x:f>
      </x:c>
      <x:c r="D2797" t="str">
        <x:v>Реанимация</x:v>
      </x:c>
      <x:c r="E2797" t="str">
        <x:v>ЛИДЫ: Отвалы</x:v>
      </x:c>
      <x:c r="F2797" t="str">
        <x:v>Петр Дудин</x:v>
      </x:c>
      <x:c r="G2797" t="str">
        <x:v>нет</x:v>
      </x:c>
      <x:c r="H2797" t="str">
        <x:v>нет</x:v>
      </x:c>
    </x:row>
    <x:row r="2798">
      <x:c r="A2798" t="str">
        <x:v>22104</x:v>
      </x:c>
      <x:c r="B2798" t="str">
        <x:v>Email | hello@belberry.net от Компания Вебдока sales@webdoka.com</x:v>
      </x:c>
      <x:c r="C2798" t="e">
        <x:f>HYPERLINK("https://belberrycrm.bitrix24.ru/crm/deal/details/22104/","https://belberrycrm.bitrix24.ru/crm/deal/details/22104/")</x:f>
      </x:c>
      <x:c r="D2798" t="str">
        <x:v>Реанимация</x:v>
      </x:c>
      <x:c r="E2798" t="str">
        <x:v>ЛИДЫ: Отвалы</x:v>
      </x:c>
      <x:c r="F2798" t="str">
        <x:v>Петр Дудин</x:v>
      </x:c>
      <x:c r="G2798" t="str">
        <x:v>нет</x:v>
      </x:c>
      <x:c r="H2798" t="str">
        <x:v>нет</x:v>
      </x:c>
    </x:row>
    <x:row r="2799">
      <x:c r="A2799" t="str">
        <x:v>22106</x:v>
      </x:c>
      <x:c r="B2799" t="str">
        <x:v>Заявка с сайта от Дмитрий 79776012120</x:v>
      </x:c>
      <x:c r="C2799" t="e">
        <x:f>HYPERLINK("https://belberrycrm.bitrix24.ru/crm/deal/details/22106/","https://belberrycrm.bitrix24.ru/crm/deal/details/22106/")</x:f>
      </x:c>
      <x:c r="D2799" t="str">
        <x:v>Реанимация</x:v>
      </x:c>
      <x:c r="E2799" t="str">
        <x:v>ЛИДЫ: Отвалы</x:v>
      </x:c>
      <x:c r="F2799" t="str">
        <x:v>Александр Голядкин</x:v>
      </x:c>
      <x:c r="G2799" t="str">
        <x:v>нет</x:v>
      </x:c>
      <x:c r="H2799" t="str">
        <x:v>нет</x:v>
      </x:c>
    </x:row>
    <x:row r="2800">
      <x:c r="A2800" t="str">
        <x:v>22108</x:v>
      </x:c>
      <x:c r="B2800" t="str">
        <x:v>Email | hello@belberry.net от Оксана Назаренко oksana.9168864966@gmail.com</x:v>
      </x:c>
      <x:c r="C2800" t="e">
        <x:f>HYPERLINK("https://belberrycrm.bitrix24.ru/crm/deal/details/22108/","https://belberrycrm.bitrix24.ru/crm/deal/details/22108/")</x:f>
      </x:c>
      <x:c r="D2800" t="str">
        <x:v>Реанимация</x:v>
      </x:c>
      <x:c r="E2800" t="str">
        <x:v>ЛИДЫ: Отвалы</x:v>
      </x:c>
      <x:c r="F2800" t="str">
        <x:v>Петр Дудин</x:v>
      </x:c>
      <x:c r="G2800" t="str">
        <x:v>нет</x:v>
      </x:c>
      <x:c r="H2800" t="str">
        <x:v>нет</x:v>
      </x:c>
    </x:row>
    <x:row r="2801">
      <x:c r="A2801" t="str">
        <x:v>22110</x:v>
      </x:c>
      <x:c r="B2801" t="str">
        <x:v>Email | hello@belberry.net от Яндекс Бизнес email@business.yandex.ru</x:v>
      </x:c>
      <x:c r="C2801" t="e">
        <x:f>HYPERLINK("https://belberrycrm.bitrix24.ru/crm/deal/details/22110/","https://belberrycrm.bitrix24.ru/crm/deal/details/22110/")</x:f>
      </x:c>
      <x:c r="D2801" t="str">
        <x:v>Реанимация</x:v>
      </x:c>
      <x:c r="E2801" t="str">
        <x:v>ЛИДЫ: Отвалы</x:v>
      </x:c>
      <x:c r="F2801" t="str">
        <x:v>Петр Дудин</x:v>
      </x:c>
      <x:c r="G2801" t="str">
        <x:v>нет</x:v>
      </x:c>
      <x:c r="H2801" t="str">
        <x:v>нет</x:v>
      </x:c>
    </x:row>
    <x:row r="2802">
      <x:c r="A2802" t="str">
        <x:v>22112</x:v>
      </x:c>
      <x:c r="B2802" t="str">
        <x:v>Email | hello@acoola.team от maksimleos forte1283@gmail.com</x:v>
      </x:c>
      <x:c r="C2802" t="e">
        <x:f>HYPERLINK("https://belberrycrm.bitrix24.ru/crm/deal/details/22112/","https://belberrycrm.bitrix24.ru/crm/deal/details/22112/")</x:f>
      </x:c>
      <x:c r="D2802" t="str">
        <x:v>Реанимация</x:v>
      </x:c>
      <x:c r="E2802" t="str">
        <x:v>ЛИДЫ: Отвалы</x:v>
      </x:c>
      <x:c r="F2802" t="str">
        <x:v>Александр Голядкин</x:v>
      </x:c>
      <x:c r="G2802" t="str">
        <x:v>нет</x:v>
      </x:c>
      <x:c r="H2802" t="str">
        <x:v>нет</x:v>
      </x:c>
    </x:row>
    <x:row r="2803">
      <x:c r="A2803" t="str">
        <x:v>22114</x:v>
      </x:c>
      <x:c r="B2803" t="str">
        <x:v>Email | hello@belberry.net от Ореол Жизни aureole.de.vie@gmail.com</x:v>
      </x:c>
      <x:c r="C2803" t="e">
        <x:f>HYPERLINK("https://belberrycrm.bitrix24.ru/crm/deal/details/22114/","https://belberrycrm.bitrix24.ru/crm/deal/details/22114/")</x:f>
      </x:c>
      <x:c r="D2803" t="str">
        <x:v>Реанимация</x:v>
      </x:c>
      <x:c r="E2803" t="str">
        <x:v>ЛИДЫ: Отвалы</x:v>
      </x:c>
      <x:c r="F2803" t="str">
        <x:v>Петр Дудин</x:v>
      </x:c>
      <x:c r="G2803" t="str">
        <x:v>нет</x:v>
      </x:c>
      <x:c r="H2803" t="str">
        <x:v>нет</x:v>
      </x:c>
    </x:row>
    <x:row r="2804">
      <x:c r="A2804" t="str">
        <x:v>22116</x:v>
      </x:c>
      <x:c r="B2804" t="str">
        <x:v>Email | hello@acoola.team от Алексей Корташев ak@ds-events.ru</x:v>
      </x:c>
      <x:c r="C2804" t="e">
        <x:f>HYPERLINK("https://belberrycrm.bitrix24.ru/crm/deal/details/22116/","https://belberrycrm.bitrix24.ru/crm/deal/details/22116/")</x:f>
      </x:c>
      <x:c r="D2804" t="str">
        <x:v>Реанимация</x:v>
      </x:c>
      <x:c r="E2804" t="str">
        <x:v>ЛИДЫ: Отвалы</x:v>
      </x:c>
      <x:c r="F2804" t="str">
        <x:v>Александр Голядкин</x:v>
      </x:c>
      <x:c r="G2804" t="str">
        <x:v>нет</x:v>
      </x:c>
      <x:c r="H2804" t="str">
        <x:v>нет</x:v>
      </x:c>
    </x:row>
    <x:row r="2805">
      <x:c r="A2805" t="str">
        <x:v>22118</x:v>
      </x:c>
      <x:c r="B2805" t="str">
        <x:v>Заявка с сайта от Мурад 79288219763</x:v>
      </x:c>
      <x:c r="C2805" t="e">
        <x:f>HYPERLINK("https://belberrycrm.bitrix24.ru/crm/deal/details/22118/","https://belberrycrm.bitrix24.ru/crm/deal/details/22118/")</x:f>
      </x:c>
      <x:c r="D2805" t="str">
        <x:v>Реанимация</x:v>
      </x:c>
      <x:c r="E2805" t="str">
        <x:v>ЛИДЫ: Отвалы</x:v>
      </x:c>
      <x:c r="F2805" t="str">
        <x:v>Петр Дудин</x:v>
      </x:c>
      <x:c r="G2805" t="str">
        <x:v>нет</x:v>
      </x:c>
      <x:c r="H2805" t="str">
        <x:v>нет</x:v>
      </x:c>
    </x:row>
    <x:row r="2806">
      <x:c r="A2806" t="str">
        <x:v>22120</x:v>
      </x:c>
      <x:c r="B2806" t="str">
        <x:v>Еженедельный дайджест самых полезных материалов  Workspace. Выпуск 51</x:v>
      </x:c>
      <x:c r="C2806" t="e">
        <x:f>HYPERLINK("https://belberrycrm.bitrix24.ru/crm/deal/details/22120/","https://belberrycrm.bitrix24.ru/crm/deal/details/22120/")</x:f>
      </x:c>
      <x:c r="D2806" t="str">
        <x:v>Реанимация</x:v>
      </x:c>
      <x:c r="E2806" t="str">
        <x:v>ЛИДЫ: Отвалы</x:v>
      </x:c>
      <x:c r="F2806" t="str">
        <x:v>Петр Дудин</x:v>
      </x:c>
      <x:c r="G2806" t="str">
        <x:v>нет</x:v>
      </x:c>
      <x:c r="H2806" t="str">
        <x:v>нет</x:v>
      </x:c>
    </x:row>
    <x:row r="2807">
      <x:c r="A2807" t="str">
        <x:v>22122</x:v>
      </x:c>
      <x:c r="B2807" t="str">
        <x:v>Звонок от 79801503744</x:v>
      </x:c>
      <x:c r="C2807" t="e">
        <x:f>HYPERLINK("https://belberrycrm.bitrix24.ru/crm/deal/details/22122/","https://belberrycrm.bitrix24.ru/crm/deal/details/22122/")</x:f>
      </x:c>
      <x:c r="D2807" t="str">
        <x:v>Реанимация</x:v>
      </x:c>
      <x:c r="E2807" t="str">
        <x:v>ЛИДЫ: Отвалы</x:v>
      </x:c>
      <x:c r="F2807" t="str">
        <x:v>Петр Дудин</x:v>
      </x:c>
      <x:c r="G2807" t="str">
        <x:v>нет</x:v>
      </x:c>
      <x:c r="H2807" t="str">
        <x:v>нет</x:v>
      </x:c>
    </x:row>
    <x:row r="2808">
      <x:c r="A2808" t="str">
        <x:v>22124</x:v>
      </x:c>
      <x:c r="B2808" t="str">
        <x:v>Email | hello@belberry.net от Matvey Chepkasov matveychepkasov17@gmail.com</x:v>
      </x:c>
      <x:c r="C2808" t="e">
        <x:f>HYPERLINK("https://belberrycrm.bitrix24.ru/crm/deal/details/22124/","https://belberrycrm.bitrix24.ru/crm/deal/details/22124/")</x:f>
      </x:c>
      <x:c r="D2808" t="str">
        <x:v>Реанимация</x:v>
      </x:c>
      <x:c r="E2808" t="str">
        <x:v>ЛИДЫ: Отвалы</x:v>
      </x:c>
      <x:c r="F2808" t="str">
        <x:v>Петр Дудин</x:v>
      </x:c>
      <x:c r="G2808" t="str">
        <x:v>нет</x:v>
      </x:c>
      <x:c r="H2808" t="str">
        <x:v>нет</x:v>
      </x:c>
    </x:row>
    <x:row r="2809">
      <x:c r="A2809" t="str">
        <x:v>22126</x:v>
      </x:c>
      <x:c r="B2809" t="str">
        <x:v>Email | hello@belberry.net от Russia Mixx mixx@interactivead.ru</x:v>
      </x:c>
      <x:c r="C2809" t="e">
        <x:f>HYPERLINK("https://belberrycrm.bitrix24.ru/crm/deal/details/22126/","https://belberrycrm.bitrix24.ru/crm/deal/details/22126/")</x:f>
      </x:c>
      <x:c r="D2809" t="str">
        <x:v>Реанимация</x:v>
      </x:c>
      <x:c r="E2809" t="str">
        <x:v>ЛИДЫ: Отвалы</x:v>
      </x:c>
      <x:c r="F2809" t="str">
        <x:v>Петр Дудин</x:v>
      </x:c>
      <x:c r="G2809" t="str">
        <x:v>нет</x:v>
      </x:c>
      <x:c r="H2809" t="str">
        <x:v>нет</x:v>
      </x:c>
    </x:row>
    <x:row r="2810">
      <x:c r="A2810" t="str">
        <x:v>22128</x:v>
      </x:c>
      <x:c r="B2810" t="str">
        <x:v>Звонок от 74951204493</x:v>
      </x:c>
      <x:c r="C2810" t="e">
        <x:f>HYPERLINK("https://belberrycrm.bitrix24.ru/crm/deal/details/22128/","https://belberrycrm.bitrix24.ru/crm/deal/details/22128/")</x:f>
      </x:c>
      <x:c r="D2810" t="str">
        <x:v>Реанимация</x:v>
      </x:c>
      <x:c r="E2810" t="str">
        <x:v>ЛИДЫ: Отвалы</x:v>
      </x:c>
      <x:c r="F2810" t="str">
        <x:v>Петр Дудин</x:v>
      </x:c>
      <x:c r="G2810" t="str">
        <x:v>нет</x:v>
      </x:c>
      <x:c r="H2810" t="str">
        <x:v>нет</x:v>
      </x:c>
    </x:row>
    <x:row r="2811">
      <x:c r="A2811" t="str">
        <x:v>22130</x:v>
      </x:c>
      <x:c r="B2811" t="str">
        <x:v>Звонок от 79137525243</x:v>
      </x:c>
      <x:c r="C2811" t="e">
        <x:f>HYPERLINK("https://belberrycrm.bitrix24.ru/crm/deal/details/22130/","https://belberrycrm.bitrix24.ru/crm/deal/details/22130/")</x:f>
      </x:c>
      <x:c r="D2811" t="str">
        <x:v>Реанимация</x:v>
      </x:c>
      <x:c r="E2811" t="str">
        <x:v>ЛИДЫ: Отвалы</x:v>
      </x:c>
      <x:c r="F2811" t="str">
        <x:v>Александр Голядкин</x:v>
      </x:c>
      <x:c r="G2811" t="str">
        <x:v>нет</x:v>
      </x:c>
      <x:c r="H2811" t="str">
        <x:v>нет</x:v>
      </x:c>
    </x:row>
    <x:row r="2812">
      <x:c r="A2812" t="str">
        <x:v>22132</x:v>
      </x:c>
      <x:c r="B2812" t="str">
        <x:v>Звонок от 74999384847</x:v>
      </x:c>
      <x:c r="C2812" t="e">
        <x:f>HYPERLINK("https://belberrycrm.bitrix24.ru/crm/deal/details/22132/","https://belberrycrm.bitrix24.ru/crm/deal/details/22132/")</x:f>
      </x:c>
      <x:c r="D2812" t="str">
        <x:v>Реанимация</x:v>
      </x:c>
      <x:c r="E2812" t="str">
        <x:v>ЛИДЫ: Отвалы</x:v>
      </x:c>
      <x:c r="F2812" t="str">
        <x:v>Петр Дудин</x:v>
      </x:c>
      <x:c r="G2812" t="str">
        <x:v>нет</x:v>
      </x:c>
      <x:c r="H2812" t="str">
        <x:v>нет</x:v>
      </x:c>
    </x:row>
    <x:row r="2813">
      <x:c r="A2813" t="str">
        <x:v>22134</x:v>
      </x:c>
      <x:c r="B2813" t="str">
        <x:v>Заявка с сайта от к 79379546292</x:v>
      </x:c>
      <x:c r="C2813" t="e">
        <x:f>HYPERLINK("https://belberrycrm.bitrix24.ru/crm/deal/details/22134/","https://belberrycrm.bitrix24.ru/crm/deal/details/22134/")</x:f>
      </x:c>
      <x:c r="D2813" t="str">
        <x:v>Реанимация</x:v>
      </x:c>
      <x:c r="E2813" t="str">
        <x:v>ЛИДЫ: Отвалы</x:v>
      </x:c>
      <x:c r="F2813" t="str">
        <x:v>Александр Голядкин</x:v>
      </x:c>
      <x:c r="G2813" t="str">
        <x:v>нет</x:v>
      </x:c>
      <x:c r="H2813" t="str">
        <x:v>нет</x:v>
      </x:c>
    </x:row>
    <x:row r="2814">
      <x:c r="A2814" t="str">
        <x:v>22136</x:v>
      </x:c>
      <x:c r="B2814" t="str">
        <x:v>Email | hello@acoola.team от Yulia Panina yuliasdkh@gmail.com</x:v>
      </x:c>
      <x:c r="C2814" t="e">
        <x:f>HYPERLINK("https://belberrycrm.bitrix24.ru/crm/deal/details/22136/","https://belberrycrm.bitrix24.ru/crm/deal/details/22136/")</x:f>
      </x:c>
      <x:c r="D2814" t="str">
        <x:v>Реанимация</x:v>
      </x:c>
      <x:c r="E2814" t="str">
        <x:v>ЛИДЫ: Отвалы</x:v>
      </x:c>
      <x:c r="F2814" t="str">
        <x:v>Александр Голядкин</x:v>
      </x:c>
      <x:c r="G2814" t="str">
        <x:v>нет</x:v>
      </x:c>
      <x:c r="H2814" t="str">
        <x:v>нет</x:v>
      </x:c>
    </x:row>
    <x:row r="2815">
      <x:c r="A2815" t="str">
        <x:v>22138</x:v>
      </x:c>
      <x:c r="B2815" t="str">
        <x:v>Email | hello@belberry.net от Инга Солдатова fighterlost@rambler.ru</x:v>
      </x:c>
      <x:c r="C2815" t="e">
        <x:f>HYPERLINK("https://belberrycrm.bitrix24.ru/crm/deal/details/22138/","https://belberrycrm.bitrix24.ru/crm/deal/details/22138/")</x:f>
      </x:c>
      <x:c r="D2815" t="str">
        <x:v>Реанимация</x:v>
      </x:c>
      <x:c r="E2815" t="str">
        <x:v>ЛИДЫ: Отвалы</x:v>
      </x:c>
      <x:c r="F2815" t="str">
        <x:v>Петр Дудин</x:v>
      </x:c>
      <x:c r="G2815" t="str">
        <x:v>нет</x:v>
      </x:c>
      <x:c r="H2815" t="str">
        <x:v>нет</x:v>
      </x:c>
    </x:row>
    <x:row r="2816">
      <x:c r="A2816" t="str">
        <x:v>22140</x:v>
      </x:c>
      <x:c r="B2816" t="str">
        <x:v>Заявка с сайта от александр 79278603701</x:v>
      </x:c>
      <x:c r="C2816" t="e">
        <x:f>HYPERLINK("https://belberrycrm.bitrix24.ru/crm/deal/details/22140/","https://belberrycrm.bitrix24.ru/crm/deal/details/22140/")</x:f>
      </x:c>
      <x:c r="D2816" t="str">
        <x:v>Реанимация</x:v>
      </x:c>
      <x:c r="E2816" t="str">
        <x:v>ЛИДЫ: Отвалы</x:v>
      </x:c>
      <x:c r="F2816" t="str">
        <x:v>Петр Дудин</x:v>
      </x:c>
      <x:c r="G2816" t="str">
        <x:v>нет</x:v>
      </x:c>
      <x:c r="H2816" t="str">
        <x:v>нет</x:v>
      </x:c>
    </x:row>
    <x:row r="2817">
      <x:c r="A2817" t="str">
        <x:v>22142</x:v>
      </x:c>
      <x:c r="B2817" t="str">
        <x:v>Звонок от 79392711153</x:v>
      </x:c>
      <x:c r="C2817" t="e">
        <x:f>HYPERLINK("https://belberrycrm.bitrix24.ru/crm/deal/details/22142/","https://belberrycrm.bitrix24.ru/crm/deal/details/22142/")</x:f>
      </x:c>
      <x:c r="D2817" t="str">
        <x:v>Реанимация</x:v>
      </x:c>
      <x:c r="E2817" t="str">
        <x:v>ЛИДЫ: Отвалы</x:v>
      </x:c>
      <x:c r="F2817" t="str">
        <x:v>Петр Дудин</x:v>
      </x:c>
      <x:c r="G2817" t="str">
        <x:v>нет</x:v>
      </x:c>
      <x:c r="H2817" t="str">
        <x:v>нет</x:v>
      </x:c>
    </x:row>
    <x:row r="2818">
      <x:c r="A2818" t="str">
        <x:v>22146</x:v>
      </x:c>
      <x:c r="B2818" t="str">
        <x:v>Заявка с сайта от в 79278610098</x:v>
      </x:c>
      <x:c r="C2818" t="e">
        <x:f>HYPERLINK("https://belberrycrm.bitrix24.ru/crm/deal/details/22146/","https://belberrycrm.bitrix24.ru/crm/deal/details/22146/")</x:f>
      </x:c>
      <x:c r="D2818" t="str">
        <x:v>Реанимация</x:v>
      </x:c>
      <x:c r="E2818" t="str">
        <x:v>ЛИДЫ: Отвалы</x:v>
      </x:c>
      <x:c r="F2818" t="str">
        <x:v>Петр Дудин</x:v>
      </x:c>
      <x:c r="G2818" t="str">
        <x:v>нет</x:v>
      </x:c>
      <x:c r="H2818" t="str">
        <x:v>нет</x:v>
      </x:c>
    </x:row>
    <x:row r="2819">
      <x:c r="A2819" t="str">
        <x:v>22148</x:v>
      </x:c>
      <x:c r="B2819" t="str">
        <x:v>Email | hello@belberry.net от Ns.Reks istreetj@gmail.com</x:v>
      </x:c>
      <x:c r="C2819" t="e">
        <x:f>HYPERLINK("https://belberrycrm.bitrix24.ru/crm/deal/details/22148/","https://belberrycrm.bitrix24.ru/crm/deal/details/22148/")</x:f>
      </x:c>
      <x:c r="D2819" t="str">
        <x:v>Реанимация</x:v>
      </x:c>
      <x:c r="E2819" t="str">
        <x:v>ЛИДЫ: Отвалы</x:v>
      </x:c>
      <x:c r="F2819" t="str">
        <x:v>Петр Дудин</x:v>
      </x:c>
      <x:c r="G2819" t="str">
        <x:v>нет</x:v>
      </x:c>
      <x:c r="H2819" t="str">
        <x:v>нет</x:v>
      </x:c>
    </x:row>
    <x:row r="2820">
      <x:c r="A2820" t="str">
        <x:v>22150</x:v>
      </x:c>
      <x:c r="B2820" t="str">
        <x:v>Звонок от 79225140002</x:v>
      </x:c>
      <x:c r="C2820" t="e">
        <x:f>HYPERLINK("https://belberrycrm.bitrix24.ru/crm/deal/details/22150/","https://belberrycrm.bitrix24.ru/crm/deal/details/22150/")</x:f>
      </x:c>
      <x:c r="D2820" t="str">
        <x:v>Реанимация</x:v>
      </x:c>
      <x:c r="E2820" t="str">
        <x:v>ЛИДЫ: Отвалы</x:v>
      </x:c>
      <x:c r="F2820" t="str">
        <x:v>Александр Голядкин</x:v>
      </x:c>
      <x:c r="G2820" t="str">
        <x:v>нет</x:v>
      </x:c>
      <x:c r="H2820" t="str">
        <x:v>нет</x:v>
      </x:c>
    </x:row>
    <x:row r="2821">
      <x:c r="A2821" t="str">
        <x:v>22152</x:v>
      </x:c>
      <x:c r="B2821" t="str">
        <x:v>Заявка с сайта от Руслан  79610832151</x:v>
      </x:c>
      <x:c r="C2821" t="e">
        <x:f>HYPERLINK("https://belberrycrm.bitrix24.ru/crm/deal/details/22152/","https://belberrycrm.bitrix24.ru/crm/deal/details/22152/")</x:f>
      </x:c>
      <x:c r="D2821" t="str">
        <x:v>Реанимация</x:v>
      </x:c>
      <x:c r="E2821" t="str">
        <x:v>ЛИДЫ: Отвалы</x:v>
      </x:c>
      <x:c r="F2821" t="str">
        <x:v>Петр Дудин</x:v>
      </x:c>
      <x:c r="G2821" t="str">
        <x:v>нет</x:v>
      </x:c>
      <x:c r="H2821" t="str">
        <x:v>нет</x:v>
      </x:c>
    </x:row>
    <x:row r="2822">
      <x:c r="A2822" t="str">
        <x:v>22154</x:v>
      </x:c>
      <x:c r="B2822" t="str">
        <x:v>Заявка с сайта от Денис 79821858990</x:v>
      </x:c>
      <x:c r="C2822" t="e">
        <x:f>HYPERLINK("https://belberrycrm.bitrix24.ru/crm/deal/details/22154/","https://belberrycrm.bitrix24.ru/crm/deal/details/22154/")</x:f>
      </x:c>
      <x:c r="D2822" t="str">
        <x:v>Реанимация</x:v>
      </x:c>
      <x:c r="E2822" t="str">
        <x:v>ЛИДЫ: Отвалы</x:v>
      </x:c>
      <x:c r="F2822" t="str">
        <x:v>Александр Голядкин</x:v>
      </x:c>
      <x:c r="G2822" t="str">
        <x:v>нет</x:v>
      </x:c>
      <x:c r="H2822" t="str">
        <x:v>нет</x:v>
      </x:c>
    </x:row>
    <x:row r="2823">
      <x:c r="A2823" t="str">
        <x:v>22156</x:v>
      </x:c>
      <x:c r="B2823" t="str">
        <x:v>Заявка с сайта от денис 79278636866</x:v>
      </x:c>
      <x:c r="C2823" t="e">
        <x:f>HYPERLINK("https://belberrycrm.bitrix24.ru/crm/deal/details/22156/","https://belberrycrm.bitrix24.ru/crm/deal/details/22156/")</x:f>
      </x:c>
      <x:c r="D2823" t="str">
        <x:v>Реанимация</x:v>
      </x:c>
      <x:c r="E2823" t="str">
        <x:v>ЛИДЫ: Отвалы</x:v>
      </x:c>
      <x:c r="F2823" t="str">
        <x:v>Руслан Дмитриев</x:v>
      </x:c>
      <x:c r="G2823" t="str">
        <x:v>нет</x:v>
      </x:c>
      <x:c r="H2823" t="str">
        <x:v>нет</x:v>
      </x:c>
    </x:row>
    <x:row r="2824">
      <x:c r="A2824" t="str">
        <x:v>22158</x:v>
      </x:c>
      <x:c r="B2824" t="str">
        <x:v>Email | hello@belberry.net от Sotka b2b b2b@sotkaonline.ru</x:v>
      </x:c>
      <x:c r="C2824" t="e">
        <x:f>HYPERLINK("https://belberrycrm.bitrix24.ru/crm/deal/details/22158/","https://belberrycrm.bitrix24.ru/crm/deal/details/22158/")</x:f>
      </x:c>
      <x:c r="D2824" t="str">
        <x:v>Реанимация</x:v>
      </x:c>
      <x:c r="E2824" t="str">
        <x:v>ЛИДЫ: Отвалы</x:v>
      </x:c>
      <x:c r="F2824" t="str">
        <x:v>Петр Дудин</x:v>
      </x:c>
      <x:c r="G2824" t="str">
        <x:v>нет</x:v>
      </x:c>
      <x:c r="H2824" t="str">
        <x:v>нет</x:v>
      </x:c>
    </x:row>
    <x:row r="2825">
      <x:c r="A2825" t="str">
        <x:v>22160</x:v>
      </x:c>
      <x:c r="B2825" t="str">
        <x:v>Email | hello@belberry.net от Ксения task2025sales@gmail.com</x:v>
      </x:c>
      <x:c r="C2825" t="e">
        <x:f>HYPERLINK("https://belberrycrm.bitrix24.ru/crm/deal/details/22160/","https://belberrycrm.bitrix24.ru/crm/deal/details/22160/")</x:f>
      </x:c>
      <x:c r="D2825" t="str">
        <x:v>Реанимация</x:v>
      </x:c>
      <x:c r="E2825" t="str">
        <x:v>ЛИДЫ: Отвалы</x:v>
      </x:c>
      <x:c r="F2825" t="str">
        <x:v>Петр Дудин</x:v>
      </x:c>
      <x:c r="G2825" t="str">
        <x:v>нет</x:v>
      </x:c>
      <x:c r="H2825" t="str">
        <x:v>нет</x:v>
      </x:c>
    </x:row>
    <x:row r="2826">
      <x:c r="A2826" t="str">
        <x:v>22162</x:v>
      </x:c>
      <x:c r="B2826" t="str">
        <x:v>Заявка с сайта от София 79614122454</x:v>
      </x:c>
      <x:c r="C2826" t="e">
        <x:f>HYPERLINK("https://belberrycrm.bitrix24.ru/crm/deal/details/22162/","https://belberrycrm.bitrix24.ru/crm/deal/details/22162/")</x:f>
      </x:c>
      <x:c r="D2826" t="str">
        <x:v>Реанимация</x:v>
      </x:c>
      <x:c r="E2826" t="str">
        <x:v>ЛИДЫ: Отвалы</x:v>
      </x:c>
      <x:c r="F2826" t="str">
        <x:v>Петр Дудин</x:v>
      </x:c>
      <x:c r="G2826" t="str">
        <x:v>нет</x:v>
      </x:c>
      <x:c r="H2826" t="str">
        <x:v>нет</x:v>
      </x:c>
    </x:row>
    <x:row r="2827">
      <x:c r="A2827" t="str">
        <x:v>22164</x:v>
      </x:c>
      <x:c r="B2827" t="str">
        <x:v>Заявка с сайта от иван 74957702700</x:v>
      </x:c>
      <x:c r="C2827" t="e">
        <x:f>HYPERLINK("https://belberrycrm.bitrix24.ru/crm/deal/details/22164/","https://belberrycrm.bitrix24.ru/crm/deal/details/22164/")</x:f>
      </x:c>
      <x:c r="D2827" t="str">
        <x:v>Реанимация</x:v>
      </x:c>
      <x:c r="E2827" t="str">
        <x:v>ЛИДЫ: Отвалы</x:v>
      </x:c>
      <x:c r="F2827" t="str">
        <x:v>Александр Голядкин</x:v>
      </x:c>
      <x:c r="G2827" t="str">
        <x:v>нет</x:v>
      </x:c>
      <x:c r="H2827" t="str">
        <x:v>нет</x:v>
      </x:c>
    </x:row>
    <x:row r="2828">
      <x:c r="A2828" t="str">
        <x:v>22166</x:v>
      </x:c>
      <x:c r="B2828" t="str">
        <x:v>Звонок от 74951270463</x:v>
      </x:c>
      <x:c r="C2828" t="e">
        <x:f>HYPERLINK("https://belberrycrm.bitrix24.ru/crm/deal/details/22166/","https://belberrycrm.bitrix24.ru/crm/deal/details/22166/")</x:f>
      </x:c>
      <x:c r="D2828" t="str">
        <x:v>Реанимация</x:v>
      </x:c>
      <x:c r="E2828" t="str">
        <x:v>ЛИДЫ: Отвалы</x:v>
      </x:c>
      <x:c r="F2828" t="str">
        <x:v>Александр Голядкин</x:v>
      </x:c>
      <x:c r="G2828" t="str">
        <x:v>нет</x:v>
      </x:c>
      <x:c r="H2828" t="str">
        <x:v>нет</x:v>
      </x:c>
    </x:row>
    <x:row r="2829">
      <x:c r="A2829" t="str">
        <x:v>22168</x:v>
      </x:c>
      <x:c r="B2829" t="str">
        <x:v>Запрос рекомендаций по Быкову НП</x:v>
      </x:c>
      <x:c r="C2829" t="e">
        <x:f>HYPERLINK("https://belberrycrm.bitrix24.ru/crm/deal/details/22168/","https://belberrycrm.bitrix24.ru/crm/deal/details/22168/")</x:f>
      </x:c>
      <x:c r="D2829" t="str">
        <x:v>Реанимация</x:v>
      </x:c>
      <x:c r="E2829" t="str">
        <x:v>ЛИДЫ: Отвалы</x:v>
      </x:c>
      <x:c r="F2829" t="str">
        <x:v>Петр Дудин</x:v>
      </x:c>
      <x:c r="G2829" t="str">
        <x:v>нет</x:v>
      </x:c>
      <x:c r="H2829" t="str">
        <x:v>нет</x:v>
      </x:c>
    </x:row>
    <x:row r="2830">
      <x:c r="A2830" t="str">
        <x:v>22170</x:v>
      </x:c>
      <x:c r="B2830" t="str">
        <x:v>Заявка с сайта от Олег 79893639092</x:v>
      </x:c>
      <x:c r="C2830" t="e">
        <x:f>HYPERLINK("https://belberrycrm.bitrix24.ru/crm/deal/details/22170/","https://belberrycrm.bitrix24.ru/crm/deal/details/22170/")</x:f>
      </x:c>
      <x:c r="D2830" t="str">
        <x:v>Реанимация</x:v>
      </x:c>
      <x:c r="E2830" t="str">
        <x:v>ЛИДЫ: Отвалы</x:v>
      </x:c>
      <x:c r="F2830" t="str">
        <x:v>Александр Голядкин</x:v>
      </x:c>
      <x:c r="G2830" t="str">
        <x:v>нет</x:v>
      </x:c>
      <x:c r="H2830" t="str">
        <x:v>нет</x:v>
      </x:c>
    </x:row>
    <x:row r="2831">
      <x:c r="A2831" t="str">
        <x:v>22172</x:v>
      </x:c>
      <x:c r="B2831" t="str">
        <x:v>Заявка с сайта от Эмилия 79893088994</x:v>
      </x:c>
      <x:c r="C2831" t="e">
        <x:f>HYPERLINK("https://belberrycrm.bitrix24.ru/crm/deal/details/22172/","https://belberrycrm.bitrix24.ru/crm/deal/details/22172/")</x:f>
      </x:c>
      <x:c r="D2831" t="str">
        <x:v>Реанимация</x:v>
      </x:c>
      <x:c r="E2831" t="str">
        <x:v>ЛИДЫ: Отвалы</x:v>
      </x:c>
      <x:c r="F2831" t="str">
        <x:v>Евгения Гордиенко</x:v>
      </x:c>
      <x:c r="G2831" t="str">
        <x:v>нет</x:v>
      </x:c>
      <x:c r="H2831" t="str">
        <x:v>нет</x:v>
      </x:c>
    </x:row>
    <x:row r="2832">
      <x:c r="A2832" t="str">
        <x:v>22174</x:v>
      </x:c>
      <x:c r="B2832" t="str">
        <x:v>Заявка с сайта от Антонина 79893701096</x:v>
      </x:c>
      <x:c r="C2832" t="e">
        <x:f>HYPERLINK("https://belberrycrm.bitrix24.ru/crm/deal/details/22174/","https://belberrycrm.bitrix24.ru/crm/deal/details/22174/")</x:f>
      </x:c>
      <x:c r="D2832" t="str">
        <x:v>Реанимация</x:v>
      </x:c>
      <x:c r="E2832" t="str">
        <x:v>ЛИДЫ: Отвалы</x:v>
      </x:c>
      <x:c r="F2832" t="str">
        <x:v>Евгения Гордиенко</x:v>
      </x:c>
      <x:c r="G2832" t="str">
        <x:v>нет</x:v>
      </x:c>
      <x:c r="H2832" t="str">
        <x:v>нет</x:v>
      </x:c>
    </x:row>
    <x:row r="2833">
      <x:c r="A2833" t="str">
        <x:v>22176</x:v>
      </x:c>
      <x:c r="B2833" t="str">
        <x:v>Заявка с сайта от Татьяна 79893904692</x:v>
      </x:c>
      <x:c r="C2833" t="e">
        <x:f>HYPERLINK("https://belberrycrm.bitrix24.ru/crm/deal/details/22176/","https://belberrycrm.bitrix24.ru/crm/deal/details/22176/")</x:f>
      </x:c>
      <x:c r="D2833" t="str">
        <x:v>Реанимация</x:v>
      </x:c>
      <x:c r="E2833" t="str">
        <x:v>ЛИДЫ: Отвалы</x:v>
      </x:c>
      <x:c r="F2833" t="str">
        <x:v>Евгения Гордиенко</x:v>
      </x:c>
      <x:c r="G2833" t="str">
        <x:v>нет</x:v>
      </x:c>
      <x:c r="H2833" t="str">
        <x:v>нет</x:v>
      </x:c>
    </x:row>
    <x:row r="2834">
      <x:c r="A2834" t="str">
        <x:v>22178</x:v>
      </x:c>
      <x:c r="B2834" t="str">
        <x:v>Заявка с сайта от Аристарх 79893094630</x:v>
      </x:c>
      <x:c r="C2834" t="e">
        <x:f>HYPERLINK("https://belberrycrm.bitrix24.ru/crm/deal/details/22178/","https://belberrycrm.bitrix24.ru/crm/deal/details/22178/")</x:f>
      </x:c>
      <x:c r="D2834" t="str">
        <x:v>Реанимация</x:v>
      </x:c>
      <x:c r="E2834" t="str">
        <x:v>ЛИДЫ: Отвалы</x:v>
      </x:c>
      <x:c r="F2834" t="str">
        <x:v>Евгения Гордиенко</x:v>
      </x:c>
      <x:c r="G2834" t="str">
        <x:v>нет</x:v>
      </x:c>
      <x:c r="H2834" t="str">
        <x:v>нет</x:v>
      </x:c>
    </x:row>
    <x:row r="2835">
      <x:c r="A2835" t="str">
        <x:v>22180</x:v>
      </x:c>
      <x:c r="B2835" t="str">
        <x:v>Заявка с сайта от Эммануил 79893460191</x:v>
      </x:c>
      <x:c r="C2835" t="e">
        <x:f>HYPERLINK("https://belberrycrm.bitrix24.ru/crm/deal/details/22180/","https://belberrycrm.bitrix24.ru/crm/deal/details/22180/")</x:f>
      </x:c>
      <x:c r="D2835" t="str">
        <x:v>Реанимация</x:v>
      </x:c>
      <x:c r="E2835" t="str">
        <x:v>ЛИДЫ: Отвалы</x:v>
      </x:c>
      <x:c r="F2835" t="str">
        <x:v>Евгения Гордиенко</x:v>
      </x:c>
      <x:c r="G2835" t="str">
        <x:v>нет</x:v>
      </x:c>
      <x:c r="H2835" t="str">
        <x:v>нет</x:v>
      </x:c>
    </x:row>
    <x:row r="2836">
      <x:c r="A2836" t="str">
        <x:v>22182</x:v>
      </x:c>
      <x:c r="B2836" t="str">
        <x:v>Заявка с сайта от Олеся 79510329650</x:v>
      </x:c>
      <x:c r="C2836" t="e">
        <x:f>HYPERLINK("https://belberrycrm.bitrix24.ru/crm/deal/details/22182/","https://belberrycrm.bitrix24.ru/crm/deal/details/22182/")</x:f>
      </x:c>
      <x:c r="D2836" t="str">
        <x:v>Реанимация</x:v>
      </x:c>
      <x:c r="E2836" t="str">
        <x:v>ЛИДЫ: Отвалы</x:v>
      </x:c>
      <x:c r="F2836" t="str">
        <x:v>Евгения Гордиенко</x:v>
      </x:c>
      <x:c r="G2836" t="str">
        <x:v>нет</x:v>
      </x:c>
      <x:c r="H2836" t="str">
        <x:v>нет</x:v>
      </x:c>
    </x:row>
    <x:row r="2837">
      <x:c r="A2837" t="str">
        <x:v>22184</x:v>
      </x:c>
      <x:c r="B2837" t="str">
        <x:v>Заявка с сайта от Ермолай 79893057954</x:v>
      </x:c>
      <x:c r="C2837" t="e">
        <x:f>HYPERLINK("https://belberrycrm.bitrix24.ru/crm/deal/details/22184/","https://belberrycrm.bitrix24.ru/crm/deal/details/22184/")</x:f>
      </x:c>
      <x:c r="D2837" t="str">
        <x:v>Реанимация</x:v>
      </x:c>
      <x:c r="E2837" t="str">
        <x:v>ЛИДЫ: Отвалы</x:v>
      </x:c>
      <x:c r="F2837" t="str">
        <x:v>Евгения Гордиенко</x:v>
      </x:c>
      <x:c r="G2837" t="str">
        <x:v>нет</x:v>
      </x:c>
      <x:c r="H2837" t="str">
        <x:v>нет</x:v>
      </x:c>
    </x:row>
    <x:row r="2838">
      <x:c r="A2838" t="str">
        <x:v>22186</x:v>
      </x:c>
      <x:c r="B2838" t="str">
        <x:v>Заявка с сайта от катя 79207679967</x:v>
      </x:c>
      <x:c r="C2838" t="e">
        <x:f>HYPERLINK("https://belberrycrm.bitrix24.ru/crm/deal/details/22186/","https://belberrycrm.bitrix24.ru/crm/deal/details/22186/")</x:f>
      </x:c>
      <x:c r="D2838" t="str">
        <x:v>Реанимация</x:v>
      </x:c>
      <x:c r="E2838" t="str">
        <x:v>ЛИДЫ: Отвалы</x:v>
      </x:c>
      <x:c r="F2838" t="str">
        <x:v>Евгения Гордиенко</x:v>
      </x:c>
      <x:c r="G2838" t="str">
        <x:v>нет</x:v>
      </x:c>
      <x:c r="H2838" t="str">
        <x:v>нет</x:v>
      </x:c>
    </x:row>
    <x:row r="2839">
      <x:c r="A2839" t="str">
        <x:v>22188</x:v>
      </x:c>
      <x:c r="B2839" t="str">
        <x:v>Заявка с сайта от Ираклий 79893812835</x:v>
      </x:c>
      <x:c r="C2839" t="e">
        <x:f>HYPERLINK("https://belberrycrm.bitrix24.ru/crm/deal/details/22188/","https://belberrycrm.bitrix24.ru/crm/deal/details/22188/")</x:f>
      </x:c>
      <x:c r="D2839" t="str">
        <x:v>Реанимация</x:v>
      </x:c>
      <x:c r="E2839" t="str">
        <x:v>ЛИДЫ: Отвалы</x:v>
      </x:c>
      <x:c r="F2839" t="str">
        <x:v>Евгения Гордиенко</x:v>
      </x:c>
      <x:c r="G2839" t="str">
        <x:v>нет</x:v>
      </x:c>
      <x:c r="H2839" t="str">
        <x:v>нет</x:v>
      </x:c>
    </x:row>
    <x:row r="2840">
      <x:c r="A2840" t="str">
        <x:v>22190</x:v>
      </x:c>
      <x:c r="B2840" t="str">
        <x:v>Заявка с сайта от Ева 79321137210</x:v>
      </x:c>
      <x:c r="C2840" t="e">
        <x:f>HYPERLINK("https://belberrycrm.bitrix24.ru/crm/deal/details/22190/","https://belberrycrm.bitrix24.ru/crm/deal/details/22190/")</x:f>
      </x:c>
      <x:c r="D2840" t="str">
        <x:v>Реанимация</x:v>
      </x:c>
      <x:c r="E2840" t="str">
        <x:v>ЛИДЫ: Отвалы</x:v>
      </x:c>
      <x:c r="F2840" t="str">
        <x:v>Евгения Гордиенко</x:v>
      </x:c>
      <x:c r="G2840" t="str">
        <x:v>нет</x:v>
      </x:c>
      <x:c r="H2840" t="str">
        <x:v>нет</x:v>
      </x:c>
    </x:row>
    <x:row r="2841">
      <x:c r="A2841" t="str">
        <x:v>22192</x:v>
      </x:c>
      <x:c r="B2841" t="str">
        <x:v>Заявка с сайта от Алина 79893031873</x:v>
      </x:c>
      <x:c r="C2841" t="e">
        <x:f>HYPERLINK("https://belberrycrm.bitrix24.ru/crm/deal/details/22192/","https://belberrycrm.bitrix24.ru/crm/deal/details/22192/")</x:f>
      </x:c>
      <x:c r="D2841" t="str">
        <x:v>Реанимация</x:v>
      </x:c>
      <x:c r="E2841" t="str">
        <x:v>ЛИДЫ: Отвалы</x:v>
      </x:c>
      <x:c r="F2841" t="str">
        <x:v>Евгения Гордиенко</x:v>
      </x:c>
      <x:c r="G2841" t="str">
        <x:v>нет</x:v>
      </x:c>
      <x:c r="H2841" t="str">
        <x:v>нет</x:v>
      </x:c>
    </x:row>
    <x:row r="2842">
      <x:c r="A2842" t="str">
        <x:v>22194</x:v>
      </x:c>
      <x:c r="B2842" t="str">
        <x:v>Заявка с сайта от Ярополк 79893513274</x:v>
      </x:c>
      <x:c r="C2842" t="e">
        <x:f>HYPERLINK("https://belberrycrm.bitrix24.ru/crm/deal/details/22194/","https://belberrycrm.bitrix24.ru/crm/deal/details/22194/")</x:f>
      </x:c>
      <x:c r="D2842" t="str">
        <x:v>Реанимация</x:v>
      </x:c>
      <x:c r="E2842" t="str">
        <x:v>ЛИДЫ: Отвалы</x:v>
      </x:c>
      <x:c r="F2842" t="str">
        <x:v>Евгения Гордиенко</x:v>
      </x:c>
      <x:c r="G2842" t="str">
        <x:v>нет</x:v>
      </x:c>
      <x:c r="H2842" t="str">
        <x:v>нет</x:v>
      </x:c>
    </x:row>
    <x:row r="2843">
      <x:c r="A2843" t="str">
        <x:v>22196</x:v>
      </x:c>
      <x:c r="B2843" t="str">
        <x:v>Заявка с сайта от Лукия 79893599065</x:v>
      </x:c>
      <x:c r="C2843" t="e">
        <x:f>HYPERLINK("https://belberrycrm.bitrix24.ru/crm/deal/details/22196/","https://belberrycrm.bitrix24.ru/crm/deal/details/22196/")</x:f>
      </x:c>
      <x:c r="D2843" t="str">
        <x:v>Реанимация</x:v>
      </x:c>
      <x:c r="E2843" t="str">
        <x:v>ЛИДЫ: Отвалы</x:v>
      </x:c>
      <x:c r="F2843" t="str">
        <x:v>Евгения Гордиенко</x:v>
      </x:c>
      <x:c r="G2843" t="str">
        <x:v>нет</x:v>
      </x:c>
      <x:c r="H2843" t="str">
        <x:v>нет</x:v>
      </x:c>
    </x:row>
    <x:row r="2844">
      <x:c r="A2844" t="str">
        <x:v>22198</x:v>
      </x:c>
      <x:c r="B2844" t="str">
        <x:v>Заявка с сайта от Никита 79893395184</x:v>
      </x:c>
      <x:c r="C2844" t="e">
        <x:f>HYPERLINK("https://belberrycrm.bitrix24.ru/crm/deal/details/22198/","https://belberrycrm.bitrix24.ru/crm/deal/details/22198/")</x:f>
      </x:c>
      <x:c r="D2844" t="str">
        <x:v>Реанимация</x:v>
      </x:c>
      <x:c r="E2844" t="str">
        <x:v>ЛИДЫ: Отвалы</x:v>
      </x:c>
      <x:c r="F2844" t="str">
        <x:v>Евгения Гордиенко</x:v>
      </x:c>
      <x:c r="G2844" t="str">
        <x:v>нет</x:v>
      </x:c>
      <x:c r="H2844" t="str">
        <x:v>нет</x:v>
      </x:c>
    </x:row>
    <x:row r="2845">
      <x:c r="A2845" t="str">
        <x:v>22200</x:v>
      </x:c>
      <x:c r="B2845" t="str">
        <x:v>Заявка с сайта от Потап 79893127484</x:v>
      </x:c>
      <x:c r="C2845" t="e">
        <x:f>HYPERLINK("https://belberrycrm.bitrix24.ru/crm/deal/details/22200/","https://belberrycrm.bitrix24.ru/crm/deal/details/22200/")</x:f>
      </x:c>
      <x:c r="D2845" t="str">
        <x:v>Реанимация</x:v>
      </x:c>
      <x:c r="E2845" t="str">
        <x:v>ЛИДЫ: Отвалы</x:v>
      </x:c>
      <x:c r="F2845" t="str">
        <x:v>Евгения Гордиенко</x:v>
      </x:c>
      <x:c r="G2845" t="str">
        <x:v>нет</x:v>
      </x:c>
      <x:c r="H2845" t="str">
        <x:v>нет</x:v>
      </x:c>
    </x:row>
    <x:row r="2846">
      <x:c r="A2846" t="str">
        <x:v>22202</x:v>
      </x:c>
      <x:c r="B2846" t="str">
        <x:v>Заявка с сайта от выаываы 79454565566</x:v>
      </x:c>
      <x:c r="C2846" t="e">
        <x:f>HYPERLINK("https://belberrycrm.bitrix24.ru/crm/deal/details/22202/","https://belberrycrm.bitrix24.ru/crm/deal/details/22202/")</x:f>
      </x:c>
      <x:c r="D2846" t="str">
        <x:v>Реанимация</x:v>
      </x:c>
      <x:c r="E2846" t="str">
        <x:v>ЛИДЫ: Отвалы</x:v>
      </x:c>
      <x:c r="F2846" t="str">
        <x:v>Евгения Гордиенко</x:v>
      </x:c>
      <x:c r="G2846" t="str">
        <x:v>нет</x:v>
      </x:c>
      <x:c r="H2846" t="str">
        <x:v>нет</x:v>
      </x:c>
    </x:row>
    <x:row r="2847">
      <x:c r="A2847" t="str">
        <x:v>22204</x:v>
      </x:c>
      <x:c r="B2847" t="str">
        <x:v>Заявка с сайта от Данила 79893546302</x:v>
      </x:c>
      <x:c r="C2847" t="e">
        <x:f>HYPERLINK("https://belberrycrm.bitrix24.ru/crm/deal/details/22204/","https://belberrycrm.bitrix24.ru/crm/deal/details/22204/")</x:f>
      </x:c>
      <x:c r="D2847" t="str">
        <x:v>Реанимация</x:v>
      </x:c>
      <x:c r="E2847" t="str">
        <x:v>ЛИДЫ: Отвалы</x:v>
      </x:c>
      <x:c r="F2847" t="str">
        <x:v>Евгения Гордиенко</x:v>
      </x:c>
      <x:c r="G2847" t="str">
        <x:v>нет</x:v>
      </x:c>
      <x:c r="H2847" t="str">
        <x:v>нет</x:v>
      </x:c>
    </x:row>
    <x:row r="2848">
      <x:c r="A2848" t="str">
        <x:v>22206</x:v>
      </x:c>
      <x:c r="B2848" t="str">
        <x:v>Заявка с сайта от Тит 79893573941</x:v>
      </x:c>
      <x:c r="C2848" t="e">
        <x:f>HYPERLINK("https://belberrycrm.bitrix24.ru/crm/deal/details/22206/","https://belberrycrm.bitrix24.ru/crm/deal/details/22206/")</x:f>
      </x:c>
      <x:c r="D2848" t="str">
        <x:v>Реанимация</x:v>
      </x:c>
      <x:c r="E2848" t="str">
        <x:v>ЛИДЫ: Отвалы</x:v>
      </x:c>
      <x:c r="F2848" t="str">
        <x:v>Евгения Гордиенко</x:v>
      </x:c>
      <x:c r="G2848" t="str">
        <x:v>нет</x:v>
      </x:c>
      <x:c r="H2848" t="str">
        <x:v>нет</x:v>
      </x:c>
    </x:row>
    <x:row r="2849">
      <x:c r="A2849" t="str">
        <x:v>22208</x:v>
      </x:c>
      <x:c r="B2849" t="str">
        <x:v>Заявка с сайта от Харитон 79893931131</x:v>
      </x:c>
      <x:c r="C2849" t="e">
        <x:f>HYPERLINK("https://belberrycrm.bitrix24.ru/crm/deal/details/22208/","https://belberrycrm.bitrix24.ru/crm/deal/details/22208/")</x:f>
      </x:c>
      <x:c r="D2849" t="str">
        <x:v>Реанимация</x:v>
      </x:c>
      <x:c r="E2849" t="str">
        <x:v>ЛИДЫ: Отвалы</x:v>
      </x:c>
      <x:c r="F2849" t="str">
        <x:v>Евгения Гордиенко</x:v>
      </x:c>
      <x:c r="G2849" t="str">
        <x:v>нет</x:v>
      </x:c>
      <x:c r="H2849" t="str">
        <x:v>нет</x:v>
      </x:c>
    </x:row>
    <x:row r="2850">
      <x:c r="A2850" t="str">
        <x:v>22210</x:v>
      </x:c>
      <x:c r="B2850" t="str">
        <x:v>Заявка с сайта от Оксана 79893776565</x:v>
      </x:c>
      <x:c r="C2850" t="e">
        <x:f>HYPERLINK("https://belberrycrm.bitrix24.ru/crm/deal/details/22210/","https://belberrycrm.bitrix24.ru/crm/deal/details/22210/")</x:f>
      </x:c>
      <x:c r="D2850" t="str">
        <x:v>Реанимация</x:v>
      </x:c>
      <x:c r="E2850" t="str">
        <x:v>ЛИДЫ: Отвалы</x:v>
      </x:c>
      <x:c r="F2850" t="str">
        <x:v>Евгения Гордиенко</x:v>
      </x:c>
      <x:c r="G2850" t="str">
        <x:v>нет</x:v>
      </x:c>
      <x:c r="H2850" t="str">
        <x:v>нет</x:v>
      </x:c>
    </x:row>
    <x:row r="2851">
      <x:c r="A2851" t="str">
        <x:v>22212</x:v>
      </x:c>
      <x:c r="B2851" t="str">
        <x:v>Заявка с сайта от Никанор 79893313335</x:v>
      </x:c>
      <x:c r="C2851" t="e">
        <x:f>HYPERLINK("https://belberrycrm.bitrix24.ru/crm/deal/details/22212/","https://belberrycrm.bitrix24.ru/crm/deal/details/22212/")</x:f>
      </x:c>
      <x:c r="D2851" t="str">
        <x:v>Реанимация</x:v>
      </x:c>
      <x:c r="E2851" t="str">
        <x:v>ЛИДЫ: Отвалы</x:v>
      </x:c>
      <x:c r="F2851" t="str">
        <x:v>Евгения Гордиенко</x:v>
      </x:c>
      <x:c r="G2851" t="str">
        <x:v>нет</x:v>
      </x:c>
      <x:c r="H2851" t="str">
        <x:v>нет</x:v>
      </x:c>
    </x:row>
    <x:row r="2852">
      <x:c r="A2852" t="str">
        <x:v>22214</x:v>
      </x:c>
      <x:c r="B2852" t="str">
        <x:v>Заявка с сайта от Никон 79893651714</x:v>
      </x:c>
      <x:c r="C2852" t="e">
        <x:f>HYPERLINK("https://belberrycrm.bitrix24.ru/crm/deal/details/22214/","https://belberrycrm.bitrix24.ru/crm/deal/details/22214/")</x:f>
      </x:c>
      <x:c r="D2852" t="str">
        <x:v>Реанимация</x:v>
      </x:c>
      <x:c r="E2852" t="str">
        <x:v>ЛИДЫ: Отвалы</x:v>
      </x:c>
      <x:c r="F2852" t="str">
        <x:v>Евгения Гордиенко</x:v>
      </x:c>
      <x:c r="G2852" t="str">
        <x:v>нет</x:v>
      </x:c>
      <x:c r="H2852" t="str">
        <x:v>нет</x:v>
      </x:c>
    </x:row>
    <x:row r="2853">
      <x:c r="A2853" t="str">
        <x:v>22216</x:v>
      </x:c>
      <x:c r="B2853" t="str">
        <x:v>Заявка с сайта от Анжелика 79626173480</x:v>
      </x:c>
      <x:c r="C2853" t="e">
        <x:f>HYPERLINK("https://belberrycrm.bitrix24.ru/crm/deal/details/22216/","https://belberrycrm.bitrix24.ru/crm/deal/details/22216/")</x:f>
      </x:c>
      <x:c r="D2853" t="str">
        <x:v>Реанимация</x:v>
      </x:c>
      <x:c r="E2853" t="str">
        <x:v>ЛИДЫ: Отвалы</x:v>
      </x:c>
      <x:c r="F2853" t="str">
        <x:v>Евгения Гордиенко</x:v>
      </x:c>
      <x:c r="G2853" t="str">
        <x:v>нет</x:v>
      </x:c>
      <x:c r="H2853" t="str">
        <x:v>нет</x:v>
      </x:c>
    </x:row>
    <x:row r="2854">
      <x:c r="A2854" t="str">
        <x:v>22218</x:v>
      </x:c>
      <x:c r="B2854" t="str">
        <x:v>Звонок от 74956655777</x:v>
      </x:c>
      <x:c r="C2854" t="e">
        <x:f>HYPERLINK("https://belberrycrm.bitrix24.ru/crm/deal/details/22218/","https://belberrycrm.bitrix24.ru/crm/deal/details/22218/")</x:f>
      </x:c>
      <x:c r="D2854" t="str">
        <x:v>Реанимация</x:v>
      </x:c>
      <x:c r="E2854" t="str">
        <x:v>ЛИДЫ: Отвалы</x:v>
      </x:c>
      <x:c r="F2854" t="str">
        <x:v>Евгения Гордиенко</x:v>
      </x:c>
      <x:c r="G2854" t="str">
        <x:v>нет</x:v>
      </x:c>
      <x:c r="H2854" t="str">
        <x:v>нет</x:v>
      </x:c>
    </x:row>
    <x:row r="2855">
      <x:c r="A2855" t="str">
        <x:v>22220</x:v>
      </x:c>
      <x:c r="B2855" t="str">
        <x:v>Email | hello@belberry.net от Андрей Гончаренко andrey.design6@gmail.com</x:v>
      </x:c>
      <x:c r="C2855" t="e">
        <x:f>HYPERLINK("https://belberrycrm.bitrix24.ru/crm/deal/details/22220/","https://belberrycrm.bitrix24.ru/crm/deal/details/22220/")</x:f>
      </x:c>
      <x:c r="D2855" t="str">
        <x:v>Реанимация</x:v>
      </x:c>
      <x:c r="E2855" t="str">
        <x:v>ЛИДЫ: Отвалы</x:v>
      </x:c>
      <x:c r="F2855" t="str">
        <x:v>Руслан Дмитриев</x:v>
      </x:c>
      <x:c r="G2855" t="str">
        <x:v>нет</x:v>
      </x:c>
      <x:c r="H2855" t="str">
        <x:v>нет</x:v>
      </x:c>
    </x:row>
    <x:row r="2856">
      <x:c r="A2856" t="str">
        <x:v>22222</x:v>
      </x:c>
      <x:c r="B2856" t="str">
        <x:v>Заявка с сайта от Алексей 79893777418</x:v>
      </x:c>
      <x:c r="C2856" t="e">
        <x:f>HYPERLINK("https://belberrycrm.bitrix24.ru/crm/deal/details/22222/","https://belberrycrm.bitrix24.ru/crm/deal/details/22222/")</x:f>
      </x:c>
      <x:c r="D2856" t="str">
        <x:v>Реанимация</x:v>
      </x:c>
      <x:c r="E2856" t="str">
        <x:v>ЛИДЫ: Отвалы</x:v>
      </x:c>
      <x:c r="F2856" t="str">
        <x:v>Евгения Гордиенко</x:v>
      </x:c>
      <x:c r="G2856" t="str">
        <x:v>нет</x:v>
      </x:c>
      <x:c r="H2856" t="str">
        <x:v>нет</x:v>
      </x:c>
    </x:row>
    <x:row r="2857">
      <x:c r="A2857" t="str">
        <x:v>22224</x:v>
      </x:c>
      <x:c r="B2857" t="str">
        <x:v>Заявка с сайта от Нина 79893768414</x:v>
      </x:c>
      <x:c r="C2857" t="e">
        <x:f>HYPERLINK("https://belberrycrm.bitrix24.ru/crm/deal/details/22224/","https://belberrycrm.bitrix24.ru/crm/deal/details/22224/")</x:f>
      </x:c>
      <x:c r="D2857" t="str">
        <x:v>Реанимация</x:v>
      </x:c>
      <x:c r="E2857" t="str">
        <x:v>ЛИДЫ: Отвалы</x:v>
      </x:c>
      <x:c r="F2857" t="str">
        <x:v>Евгения Гордиенко</x:v>
      </x:c>
      <x:c r="G2857" t="str">
        <x:v>нет</x:v>
      </x:c>
      <x:c r="H2857" t="str">
        <x:v>нет</x:v>
      </x:c>
    </x:row>
    <x:row r="2858">
      <x:c r="A2858" t="str">
        <x:v>22226</x:v>
      </x:c>
      <x:c r="B2858" t="str">
        <x:v>Заявка с сайта от Антонина 79893182715</x:v>
      </x:c>
      <x:c r="C2858" t="e">
        <x:f>HYPERLINK("https://belberrycrm.bitrix24.ru/crm/deal/details/22226/","https://belberrycrm.bitrix24.ru/crm/deal/details/22226/")</x:f>
      </x:c>
      <x:c r="D2858" t="str">
        <x:v>Реанимация</x:v>
      </x:c>
      <x:c r="E2858" t="str">
        <x:v>ЛИДЫ: Отвалы</x:v>
      </x:c>
      <x:c r="F2858" t="str">
        <x:v>Евгения Гордиенко</x:v>
      </x:c>
      <x:c r="G2858" t="str">
        <x:v>нет</x:v>
      </x:c>
      <x:c r="H2858" t="str">
        <x:v>нет</x:v>
      </x:c>
    </x:row>
    <x:row r="2859">
      <x:c r="A2859" t="str">
        <x:v>22228</x:v>
      </x:c>
      <x:c r="B2859" t="str">
        <x:v>Заявка с сайта от Игорь 79893641274</x:v>
      </x:c>
      <x:c r="C2859" t="e">
        <x:f>HYPERLINK("https://belberrycrm.bitrix24.ru/crm/deal/details/22228/","https://belberrycrm.bitrix24.ru/crm/deal/details/22228/")</x:f>
      </x:c>
      <x:c r="D2859" t="str">
        <x:v>Реанимация</x:v>
      </x:c>
      <x:c r="E2859" t="str">
        <x:v>ЛИДЫ: Отвалы</x:v>
      </x:c>
      <x:c r="F2859" t="str">
        <x:v>Евгения Гордиенко</x:v>
      </x:c>
      <x:c r="G2859" t="str">
        <x:v>нет</x:v>
      </x:c>
      <x:c r="H2859" t="str">
        <x:v>нет</x:v>
      </x:c>
    </x:row>
    <x:row r="2860">
      <x:c r="A2860" t="str">
        <x:v>22230</x:v>
      </x:c>
      <x:c r="B2860" t="str">
        <x:v>Email | hello@belberry.net от Aнастасия Пашинник anastasia@kukushka.io</x:v>
      </x:c>
      <x:c r="C2860" t="e">
        <x:f>HYPERLINK("https://belberrycrm.bitrix24.ru/crm/deal/details/22230/","https://belberrycrm.bitrix24.ru/crm/deal/details/22230/")</x:f>
      </x:c>
      <x:c r="D2860" t="str">
        <x:v>Реанимация</x:v>
      </x:c>
      <x:c r="E2860" t="str">
        <x:v>ЛИДЫ: Отвалы</x:v>
      </x:c>
      <x:c r="F2860" t="str">
        <x:v>Руслан Дмитриев</x:v>
      </x:c>
      <x:c r="G2860" t="str">
        <x:v>нет</x:v>
      </x:c>
      <x:c r="H2860" t="str">
        <x:v>нет</x:v>
      </x:c>
    </x:row>
    <x:row r="2861">
      <x:c r="A2861" t="str">
        <x:v>22232</x:v>
      </x:c>
      <x:c r="B2861" t="str">
        <x:v>Заявка с сайта от Лэйла  79961008337</x:v>
      </x:c>
      <x:c r="C2861" t="e">
        <x:f>HYPERLINK("https://belberrycrm.bitrix24.ru/crm/deal/details/22232/","https://belberrycrm.bitrix24.ru/crm/deal/details/22232/")</x:f>
      </x:c>
      <x:c r="D2861" t="str">
        <x:v>Реанимация</x:v>
      </x:c>
      <x:c r="E2861" t="str">
        <x:v>ЛИДЫ: Отвалы</x:v>
      </x:c>
      <x:c r="F2861" t="str">
        <x:v>Руслан Дмитриев</x:v>
      </x:c>
      <x:c r="G2861" t="str">
        <x:v>нет</x:v>
      </x:c>
      <x:c r="H2861" t="str">
        <x:v>нет</x:v>
      </x:c>
    </x:row>
    <x:row r="2862">
      <x:c r="A2862" t="str">
        <x:v>22234</x:v>
      </x:c>
      <x:c r="B2862" t="str">
        <x:v>Email | hello@belberry.net от Yookey mail@yak-studio.ru</x:v>
      </x:c>
      <x:c r="C2862" t="e">
        <x:f>HYPERLINK("https://belberrycrm.bitrix24.ru/crm/deal/details/22234/","https://belberrycrm.bitrix24.ru/crm/deal/details/22234/")</x:f>
      </x:c>
      <x:c r="D2862" t="str">
        <x:v>Реанимация</x:v>
      </x:c>
      <x:c r="E2862" t="str">
        <x:v>ЛИДЫ: Отвалы</x:v>
      </x:c>
      <x:c r="F2862" t="str">
        <x:v>Петр Дудин</x:v>
      </x:c>
      <x:c r="G2862" t="str">
        <x:v>нет</x:v>
      </x:c>
      <x:c r="H2862" t="str">
        <x:v>нет</x:v>
      </x:c>
    </x:row>
    <x:row r="2863">
      <x:c r="A2863" t="str">
        <x:v>22236</x:v>
      </x:c>
      <x:c r="B2863" t="str">
        <x:v>Звонок от 79814933405</x:v>
      </x:c>
      <x:c r="C2863" t="e">
        <x:f>HYPERLINK("https://belberrycrm.bitrix24.ru/crm/deal/details/22236/","https://belberrycrm.bitrix24.ru/crm/deal/details/22236/")</x:f>
      </x:c>
      <x:c r="D2863" t="str">
        <x:v>Реанимация</x:v>
      </x:c>
      <x:c r="E2863" t="str">
        <x:v>ЛИДЫ: Отвалы</x:v>
      </x:c>
      <x:c r="F2863" t="str">
        <x:v>Руслан Дмитриев</x:v>
      </x:c>
      <x:c r="G2863" t="str">
        <x:v>нет</x:v>
      </x:c>
      <x:c r="H2863" t="str">
        <x:v>нет</x:v>
      </x:c>
    </x:row>
    <x:row r="2864">
      <x:c r="A2864" t="str">
        <x:v>22238</x:v>
      </x:c>
      <x:c r="B2864" t="str">
        <x:v>Заявка с сайта от Ладислав 79893656494</x:v>
      </x:c>
      <x:c r="C2864" t="e">
        <x:f>HYPERLINK("https://belberrycrm.bitrix24.ru/crm/deal/details/22238/","https://belberrycrm.bitrix24.ru/crm/deal/details/22238/")</x:f>
      </x:c>
      <x:c r="D2864" t="str">
        <x:v>Реанимация</x:v>
      </x:c>
      <x:c r="E2864" t="str">
        <x:v>ЛИДЫ: Отвалы</x:v>
      </x:c>
      <x:c r="F2864" t="str">
        <x:v>Евгения Гордиенко</x:v>
      </x:c>
      <x:c r="G2864" t="str">
        <x:v>нет</x:v>
      </x:c>
      <x:c r="H2864" t="str">
        <x:v>нет</x:v>
      </x:c>
    </x:row>
    <x:row r="2865">
      <x:c r="A2865" t="str">
        <x:v>22240</x:v>
      </x:c>
      <x:c r="B2865" t="str">
        <x:v>Email | hello@belberry.net от danil sychev mr.danil1945@mail.ru</x:v>
      </x:c>
      <x:c r="C2865" t="e">
        <x:f>HYPERLINK("https://belberrycrm.bitrix24.ru/crm/deal/details/22240/","https://belberrycrm.bitrix24.ru/crm/deal/details/22240/")</x:f>
      </x:c>
      <x:c r="D2865" t="str">
        <x:v>Реанимация</x:v>
      </x:c>
      <x:c r="E2865" t="str">
        <x:v>ЛИДЫ: Отвалы</x:v>
      </x:c>
      <x:c r="F2865" t="str">
        <x:v>Руслан Дмитриев</x:v>
      </x:c>
      <x:c r="G2865" t="str">
        <x:v>нет</x:v>
      </x:c>
      <x:c r="H2865" t="str">
        <x:v>нет</x:v>
      </x:c>
    </x:row>
    <x:row r="2866">
      <x:c r="A2866" t="str">
        <x:v>22242</x:v>
      </x:c>
      <x:c r="B2866" t="str">
        <x:v>Заявка с сайта от Artem 79017609820</x:v>
      </x:c>
      <x:c r="C2866" t="e">
        <x:f>HYPERLINK("https://belberrycrm.bitrix24.ru/crm/deal/details/22242/","https://belberrycrm.bitrix24.ru/crm/deal/details/22242/")</x:f>
      </x:c>
      <x:c r="D2866" t="str">
        <x:v>Реанимация</x:v>
      </x:c>
      <x:c r="E2866" t="str">
        <x:v>ЛИДЫ: Отвалы</x:v>
      </x:c>
      <x:c r="F2866" t="str">
        <x:v>Евгения Гордиенко</x:v>
      </x:c>
      <x:c r="G2866" t="str">
        <x:v>нет</x:v>
      </x:c>
      <x:c r="H2866" t="str">
        <x:v>нет</x:v>
      </x:c>
    </x:row>
    <x:row r="2867">
      <x:c r="A2867" t="str">
        <x:v>22244</x:v>
      </x:c>
      <x:c r="B2867" t="str">
        <x:v>Email | hello@acoola.team от Дмитрий Акуленко adn@tnbroker.ru</x:v>
      </x:c>
      <x:c r="C2867" t="e">
        <x:f>HYPERLINK("https://belberrycrm.bitrix24.ru/crm/deal/details/22244/","https://belberrycrm.bitrix24.ru/crm/deal/details/22244/")</x:f>
      </x:c>
      <x:c r="D2867" t="str">
        <x:v>Реанимация</x:v>
      </x:c>
      <x:c r="E2867" t="str">
        <x:v>ЛИДЫ: Отвалы</x:v>
      </x:c>
      <x:c r="F2867" t="str">
        <x:v>Евгения Гордиенко</x:v>
      </x:c>
      <x:c r="G2867" t="str">
        <x:v>нет</x:v>
      </x:c>
      <x:c r="H2867" t="str">
        <x:v>нет</x:v>
      </x:c>
    </x:row>
    <x:row r="2868">
      <x:c r="A2868" t="str">
        <x:v>22246</x:v>
      </x:c>
      <x:c r="B2868" t="str">
        <x:v>Заявка с сайта от Аникей 79893313302</x:v>
      </x:c>
      <x:c r="C2868" t="e">
        <x:f>HYPERLINK("https://belberrycrm.bitrix24.ru/crm/deal/details/22246/","https://belberrycrm.bitrix24.ru/crm/deal/details/22246/")</x:f>
      </x:c>
      <x:c r="D2868" t="str">
        <x:v>Реанимация</x:v>
      </x:c>
      <x:c r="E2868" t="str">
        <x:v>ЛИДЫ: Отвалы</x:v>
      </x:c>
      <x:c r="F2868" t="str">
        <x:v>Евгения Гордиенко</x:v>
      </x:c>
      <x:c r="G2868" t="str">
        <x:v>нет</x:v>
      </x:c>
      <x:c r="H2868" t="str">
        <x:v>нет</x:v>
      </x:c>
    </x:row>
    <x:row r="2869">
      <x:c r="A2869" t="str">
        <x:v>22248</x:v>
      </x:c>
      <x:c r="B2869" t="str">
        <x:v>Заявка с сайта от Элеонора 79893255447</x:v>
      </x:c>
      <x:c r="C2869" t="e">
        <x:f>HYPERLINK("https://belberrycrm.bitrix24.ru/crm/deal/details/22248/","https://belberrycrm.bitrix24.ru/crm/deal/details/22248/")</x:f>
      </x:c>
      <x:c r="D2869" t="str">
        <x:v>Реанимация</x:v>
      </x:c>
      <x:c r="E2869" t="str">
        <x:v>ЛИДЫ: Отвалы</x:v>
      </x:c>
      <x:c r="F2869" t="str">
        <x:v>Евгения Гордиенко</x:v>
      </x:c>
      <x:c r="G2869" t="str">
        <x:v>нет</x:v>
      </x:c>
      <x:c r="H2869" t="str">
        <x:v>нет</x:v>
      </x:c>
    </x:row>
    <x:row r="2870">
      <x:c r="A2870" t="str">
        <x:v>22250</x:v>
      </x:c>
      <x:c r="B2870" t="str">
        <x:v>Заявка с сайта от динара 79323274857</x:v>
      </x:c>
      <x:c r="C2870" t="e">
        <x:f>HYPERLINK("https://belberrycrm.bitrix24.ru/crm/deal/details/22250/","https://belberrycrm.bitrix24.ru/crm/deal/details/22250/")</x:f>
      </x:c>
      <x:c r="D2870" t="str">
        <x:v>Реанимация</x:v>
      </x:c>
      <x:c r="E2870" t="str">
        <x:v>ЛИДЫ: Отвалы</x:v>
      </x:c>
      <x:c r="F2870" t="str">
        <x:v>Евгения Гордиенко</x:v>
      </x:c>
      <x:c r="G2870" t="str">
        <x:v>нет</x:v>
      </x:c>
      <x:c r="H2870" t="str">
        <x:v>нет</x:v>
      </x:c>
    </x:row>
    <x:row r="2871">
      <x:c r="A2871" t="str">
        <x:v>22252</x:v>
      </x:c>
      <x:c r="B2871" t="str">
        <x:v>Заявка с сайта от Марина 79893689602</x:v>
      </x:c>
      <x:c r="C2871" t="e">
        <x:f>HYPERLINK("https://belberrycrm.bitrix24.ru/crm/deal/details/22252/","https://belberrycrm.bitrix24.ru/crm/deal/details/22252/")</x:f>
      </x:c>
      <x:c r="D2871" t="str">
        <x:v>Реанимация</x:v>
      </x:c>
      <x:c r="E2871" t="str">
        <x:v>ЛИДЫ: Отвалы</x:v>
      </x:c>
      <x:c r="F2871" t="str">
        <x:v>Евгения Гордиенко</x:v>
      </x:c>
      <x:c r="G2871" t="str">
        <x:v>нет</x:v>
      </x:c>
      <x:c r="H2871" t="str">
        <x:v>нет</x:v>
      </x:c>
    </x:row>
    <x:row r="2872">
      <x:c r="A2872" t="str">
        <x:v>22254</x:v>
      </x:c>
      <x:c r="B2872" t="str">
        <x:v>Email | hello@belberry.net от Марина Веретенникова mariver11@yandex.ru</x:v>
      </x:c>
      <x:c r="C2872" t="e">
        <x:f>HYPERLINK("https://belberrycrm.bitrix24.ru/crm/deal/details/22254/","https://belberrycrm.bitrix24.ru/crm/deal/details/22254/")</x:f>
      </x:c>
      <x:c r="D2872" t="str">
        <x:v>Реанимация</x:v>
      </x:c>
      <x:c r="E2872" t="str">
        <x:v>ЛИДЫ: Отвалы</x:v>
      </x:c>
      <x:c r="F2872" t="str">
        <x:v>Петр Дудин</x:v>
      </x:c>
      <x:c r="G2872" t="str">
        <x:v>нет</x:v>
      </x:c>
      <x:c r="H2872" t="str">
        <x:v>нет</x:v>
      </x:c>
    </x:row>
    <x:row r="2873">
      <x:c r="A2873" t="str">
        <x:v>22256</x:v>
      </x:c>
      <x:c r="B2873" t="str">
        <x:v>Звонок от 79343330967</x:v>
      </x:c>
      <x:c r="C2873" t="e">
        <x:f>HYPERLINK("https://belberrycrm.bitrix24.ru/crm/deal/details/22256/","https://belberrycrm.bitrix24.ru/crm/deal/details/22256/")</x:f>
      </x:c>
      <x:c r="D2873" t="str">
        <x:v>Реанимация</x:v>
      </x:c>
      <x:c r="E2873" t="str">
        <x:v>ЛИДЫ: Отвалы</x:v>
      </x:c>
      <x:c r="F2873" t="str">
        <x:v>Евгения Гордиенко</x:v>
      </x:c>
      <x:c r="G2873" t="str">
        <x:v>нет</x:v>
      </x:c>
      <x:c r="H2873" t="str">
        <x:v>нет</x:v>
      </x:c>
    </x:row>
    <x:row r="2874">
      <x:c r="A2874" t="str">
        <x:v>22258</x:v>
      </x:c>
      <x:c r="B2874" t="str">
        <x:v>Звонок от 79346616986</x:v>
      </x:c>
      <x:c r="C2874" t="e">
        <x:f>HYPERLINK("https://belberrycrm.bitrix24.ru/crm/deal/details/22258/","https://belberrycrm.bitrix24.ru/crm/deal/details/22258/")</x:f>
      </x:c>
      <x:c r="D2874" t="str">
        <x:v>Реанимация</x:v>
      </x:c>
      <x:c r="E2874" t="str">
        <x:v>ЛИДЫ: Отвалы</x:v>
      </x:c>
      <x:c r="F2874" t="str">
        <x:v>Руслан Дмитриев</x:v>
      </x:c>
      <x:c r="G2874" t="str">
        <x:v>нет</x:v>
      </x:c>
      <x:c r="H2874" t="str">
        <x:v>нет</x:v>
      </x:c>
    </x:row>
    <x:row r="2875">
      <x:c r="A2875" t="str">
        <x:v>22260</x:v>
      </x:c>
      <x:c r="B2875" t="str">
        <x:v>Звонок от 74994042652</x:v>
      </x:c>
      <x:c r="C2875" t="e">
        <x:f>HYPERLINK("https://belberrycrm.bitrix24.ru/crm/deal/details/22260/","https://belberrycrm.bitrix24.ru/crm/deal/details/22260/")</x:f>
      </x:c>
      <x:c r="D2875" t="str">
        <x:v>Реанимация</x:v>
      </x:c>
      <x:c r="E2875" t="str">
        <x:v>ЛИДЫ: Отвалы</x:v>
      </x:c>
      <x:c r="F2875" t="str">
        <x:v>Руслан Дмитриев</x:v>
      </x:c>
      <x:c r="G2875" t="str">
        <x:v>нет</x:v>
      </x:c>
      <x:c r="H2875" t="str">
        <x:v>нет</x:v>
      </x:c>
    </x:row>
    <x:row r="2876">
      <x:c r="A2876" t="str">
        <x:v>22262</x:v>
      </x:c>
      <x:c r="B2876" t="str">
        <x:v>Email | hello@belberry.net от Алексей Антонов fotografantonov@gmail.com</x:v>
      </x:c>
      <x:c r="C2876" t="e">
        <x:f>HYPERLINK("https://belberrycrm.bitrix24.ru/crm/deal/details/22262/","https://belberrycrm.bitrix24.ru/crm/deal/details/22262/")</x:f>
      </x:c>
      <x:c r="D2876" t="str">
        <x:v>Реанимация</x:v>
      </x:c>
      <x:c r="E2876" t="str">
        <x:v>ЛИДЫ: Отвалы</x:v>
      </x:c>
      <x:c r="F2876" t="str">
        <x:v>Руслан Дмитриев</x:v>
      </x:c>
      <x:c r="G2876" t="str">
        <x:v>нет</x:v>
      </x:c>
      <x:c r="H2876" t="str">
        <x:v>нет</x:v>
      </x:c>
    </x:row>
    <x:row r="2877">
      <x:c r="A2877" t="str">
        <x:v>22264</x:v>
      </x:c>
      <x:c r="B2877" t="str">
        <x:v>Заявка с сайта от Blinking mmmmbnĥnhbnnnnnijnnjjujhnnbnmmbnbbbbbbbbbbbbbbbņbbbnbnhbhbbbb g BB bbbbbbbbbhbbnnbbbnn 79999699999</x:v>
      </x:c>
      <x:c r="C2877" t="e">
        <x:f>HYPERLINK("https://belberrycrm.bitrix24.ru/crm/deal/details/22264/","https://belberrycrm.bitrix24.ru/crm/deal/details/22264/")</x:f>
      </x:c>
      <x:c r="D2877" t="str">
        <x:v>Реанимация</x:v>
      </x:c>
      <x:c r="E2877" t="str">
        <x:v>ЛИДЫ: Отвалы</x:v>
      </x:c>
      <x:c r="F2877" t="str">
        <x:v>Евгения Гордиенко</x:v>
      </x:c>
      <x:c r="G2877" t="str">
        <x:v>нет</x:v>
      </x:c>
      <x:c r="H2877" t="str">
        <x:v>нет</x:v>
      </x:c>
    </x:row>
    <x:row r="2878">
      <x:c r="A2878" t="str">
        <x:v>22266</x:v>
      </x:c>
      <x:c r="B2878" t="str">
        <x:v>Заявка с сайта от Владимир 79962734963</x:v>
      </x:c>
      <x:c r="C2878" t="e">
        <x:f>HYPERLINK("https://belberrycrm.bitrix24.ru/crm/deal/details/22266/","https://belberrycrm.bitrix24.ru/crm/deal/details/22266/")</x:f>
      </x:c>
      <x:c r="D2878" t="str">
        <x:v>Реанимация</x:v>
      </x:c>
      <x:c r="E2878" t="str">
        <x:v>ЛИДЫ: Отвалы</x:v>
      </x:c>
      <x:c r="F2878" t="str">
        <x:v>Евгения Гордиенко</x:v>
      </x:c>
      <x:c r="G2878" t="str">
        <x:v>нет</x:v>
      </x:c>
      <x:c r="H2878" t="str">
        <x:v>нет</x:v>
      </x:c>
    </x:row>
    <x:row r="2879">
      <x:c r="A2879" t="str">
        <x:v>22268</x:v>
      </x:c>
      <x:c r="B2879" t="str">
        <x:v>Звонок от 79653530216</x:v>
      </x:c>
      <x:c r="C2879" t="e">
        <x:f>HYPERLINK("https://belberrycrm.bitrix24.ru/crm/deal/details/22268/","https://belberrycrm.bitrix24.ru/crm/deal/details/22268/")</x:f>
      </x:c>
      <x:c r="D2879" t="str">
        <x:v>Реанимация</x:v>
      </x:c>
      <x:c r="E2879" t="str">
        <x:v>ЛИДЫ: Отвалы</x:v>
      </x:c>
      <x:c r="F2879" t="str">
        <x:v>Евгения Гордиенко</x:v>
      </x:c>
      <x:c r="G2879" t="str">
        <x:v>нет</x:v>
      </x:c>
      <x:c r="H2879" t="str">
        <x:v>нет</x:v>
      </x:c>
    </x:row>
    <x:row r="2880">
      <x:c r="A2880" t="str">
        <x:v>22270</x:v>
      </x:c>
      <x:c r="B2880" t="str">
        <x:v>Звонок от 78612625037</x:v>
      </x:c>
      <x:c r="C2880" t="e">
        <x:f>HYPERLINK("https://belberrycrm.bitrix24.ru/crm/deal/details/22270/","https://belberrycrm.bitrix24.ru/crm/deal/details/22270/")</x:f>
      </x:c>
      <x:c r="D2880" t="str">
        <x:v>Реанимация</x:v>
      </x:c>
      <x:c r="E2880" t="str">
        <x:v>ЛИДЫ: Отвалы</x:v>
      </x:c>
      <x:c r="F2880" t="str">
        <x:v>Евгения Гордиенко</x:v>
      </x:c>
      <x:c r="G2880" t="str">
        <x:v>нет</x:v>
      </x:c>
      <x:c r="H2880" t="str">
        <x:v>нет</x:v>
      </x:c>
    </x:row>
    <x:row r="2881">
      <x:c r="A2881" t="str">
        <x:v>22272</x:v>
      </x:c>
      <x:c r="B2881" t="str">
        <x:v>Звонок от 74957139272</x:v>
      </x:c>
      <x:c r="C2881" t="e">
        <x:f>HYPERLINK("https://belberrycrm.bitrix24.ru/crm/deal/details/22272/","https://belberrycrm.bitrix24.ru/crm/deal/details/22272/")</x:f>
      </x:c>
      <x:c r="D2881" t="str">
        <x:v>Реанимация</x:v>
      </x:c>
      <x:c r="E2881" t="str">
        <x:v>ЛИДЫ: Отвалы</x:v>
      </x:c>
      <x:c r="F2881" t="str">
        <x:v>Евгения Гордиенко</x:v>
      </x:c>
      <x:c r="G2881" t="str">
        <x:v>нет</x:v>
      </x:c>
      <x:c r="H2881" t="str">
        <x:v>нет</x:v>
      </x:c>
    </x:row>
    <x:row r="2882">
      <x:c r="A2882" t="str">
        <x:v>22274</x:v>
      </x:c>
      <x:c r="B2882" t="str">
        <x:v>Звонок от 79853826794</x:v>
      </x:c>
      <x:c r="C2882" t="e">
        <x:f>HYPERLINK("https://belberrycrm.bitrix24.ru/crm/deal/details/22274/","https://belberrycrm.bitrix24.ru/crm/deal/details/22274/")</x:f>
      </x:c>
      <x:c r="D2882" t="str">
        <x:v>Реанимация</x:v>
      </x:c>
      <x:c r="E2882" t="str">
        <x:v>ЛИДЫ: Отвалы</x:v>
      </x:c>
      <x:c r="F2882" t="str">
        <x:v>Руслан Дмитриев</x:v>
      </x:c>
      <x:c r="G2882" t="str">
        <x:v>нет</x:v>
      </x:c>
      <x:c r="H2882" t="str">
        <x:v>нет</x:v>
      </x:c>
    </x:row>
    <x:row r="2883">
      <x:c r="A2883" t="str">
        <x:v>22276</x:v>
      </x:c>
      <x:c r="B2883" t="str">
        <x:v>Email | hello@belberry.net от Envybox pr@envybox.ru</x:v>
      </x:c>
      <x:c r="C2883" t="e">
        <x:f>HYPERLINK("https://belberrycrm.bitrix24.ru/crm/deal/details/22276/","https://belberrycrm.bitrix24.ru/crm/deal/details/22276/")</x:f>
      </x:c>
      <x:c r="D2883" t="str">
        <x:v>Реанимация</x:v>
      </x:c>
      <x:c r="E2883" t="str">
        <x:v>ЛИДЫ: Отвалы</x:v>
      </x:c>
      <x:c r="F2883" t="str">
        <x:v>Админ всея Belberry</x:v>
      </x:c>
      <x:c r="G2883" t="str">
        <x:v>нет</x:v>
      </x:c>
      <x:c r="H2883" t="str">
        <x:v>нет</x:v>
      </x:c>
    </x:row>
    <x:row r="2884">
      <x:c r="A2884" t="str">
        <x:v>22278</x:v>
      </x:c>
      <x:c r="B2884" t="str">
        <x:v>Звонок от 74994042196</x:v>
      </x:c>
      <x:c r="C2884" t="e">
        <x:f>HYPERLINK("https://belberrycrm.bitrix24.ru/crm/deal/details/22278/","https://belberrycrm.bitrix24.ru/crm/deal/details/22278/")</x:f>
      </x:c>
      <x:c r="D2884" t="str">
        <x:v>Реанимация</x:v>
      </x:c>
      <x:c r="E2884" t="str">
        <x:v>ЛИДЫ: Отвалы</x:v>
      </x:c>
      <x:c r="F2884" t="str">
        <x:v>Петр Дудин</x:v>
      </x:c>
      <x:c r="G2884" t="str">
        <x:v>нет</x:v>
      </x:c>
      <x:c r="H2884" t="str">
        <x:v>нет</x:v>
      </x:c>
    </x:row>
    <x:row r="2885">
      <x:c r="A2885" t="str">
        <x:v>22280</x:v>
      </x:c>
      <x:c r="B2885" t="str">
        <x:v>Звонок от 79672971182</x:v>
      </x:c>
      <x:c r="C2885" t="e">
        <x:f>HYPERLINK("https://belberrycrm.bitrix24.ru/crm/deal/details/22280/","https://belberrycrm.bitrix24.ru/crm/deal/details/22280/")</x:f>
      </x:c>
      <x:c r="D2885" t="str">
        <x:v>Реанимация</x:v>
      </x:c>
      <x:c r="E2885" t="str">
        <x:v>ЛИДЫ: Отвалы</x:v>
      </x:c>
      <x:c r="F2885" t="str">
        <x:v>Петр Дудин</x:v>
      </x:c>
      <x:c r="G2885" t="str">
        <x:v>нет</x:v>
      </x:c>
      <x:c r="H2885" t="str">
        <x:v>нет</x:v>
      </x:c>
    </x:row>
    <x:row r="2886">
      <x:c r="A2886" t="str">
        <x:v>22282</x:v>
      </x:c>
      <x:c r="B2886" t="str">
        <x:v>Звонок от 79672971184</x:v>
      </x:c>
      <x:c r="C2886" t="e">
        <x:f>HYPERLINK("https://belberrycrm.bitrix24.ru/crm/deal/details/22282/","https://belberrycrm.bitrix24.ru/crm/deal/details/22282/")</x:f>
      </x:c>
      <x:c r="D2886" t="str">
        <x:v>Реанимация</x:v>
      </x:c>
      <x:c r="E2886" t="str">
        <x:v>ЛИДЫ: Отвалы</x:v>
      </x:c>
      <x:c r="F2886" t="str">
        <x:v>Евгения Гордиенко</x:v>
      </x:c>
      <x:c r="G2886" t="str">
        <x:v>нет</x:v>
      </x:c>
      <x:c r="H2886" t="str">
        <x:v>нет</x:v>
      </x:c>
    </x:row>
    <x:row r="2887">
      <x:c r="A2887" t="str">
        <x:v>22284</x:v>
      </x:c>
      <x:c r="B2887" t="str">
        <x:v>Email | hello@belberry.net от Лукина Ирина Игоревна i.lukina@bionika-digital.ru</x:v>
      </x:c>
      <x:c r="C2887" t="e">
        <x:f>HYPERLINK("https://belberrycrm.bitrix24.ru/crm/deal/details/22284/","https://belberrycrm.bitrix24.ru/crm/deal/details/22284/")</x:f>
      </x:c>
      <x:c r="D2887" t="str">
        <x:v>Реанимация</x:v>
      </x:c>
      <x:c r="E2887" t="str">
        <x:v>ЛИДЫ: Отвалы</x:v>
      </x:c>
      <x:c r="F2887" t="str">
        <x:v>Петр Дудин</x:v>
      </x:c>
      <x:c r="G2887" t="str">
        <x:v>нет</x:v>
      </x:c>
      <x:c r="H2887" t="str">
        <x:v>нет</x:v>
      </x:c>
    </x:row>
    <x:row r="2888">
      <x:c r="A2888" t="str">
        <x:v>22286</x:v>
      </x:c>
      <x:c r="B2888" t="str">
        <x:v>Email | hello@belberry.net от rimma khasan rimmakhasan4@gmail.com</x:v>
      </x:c>
      <x:c r="C2888" t="e">
        <x:f>HYPERLINK("https://belberrycrm.bitrix24.ru/crm/deal/details/22286/","https://belberrycrm.bitrix24.ru/crm/deal/details/22286/")</x:f>
      </x:c>
      <x:c r="D2888" t="str">
        <x:v>Реанимация</x:v>
      </x:c>
      <x:c r="E2888" t="str">
        <x:v>ЛИДЫ: Отвалы</x:v>
      </x:c>
      <x:c r="F2888" t="str">
        <x:v>Петр Дудин</x:v>
      </x:c>
      <x:c r="G2888" t="str">
        <x:v>нет</x:v>
      </x:c>
      <x:c r="H2888" t="str">
        <x:v>нет</x:v>
      </x:c>
    </x:row>
    <x:row r="2889">
      <x:c r="A2889" t="str">
        <x:v>22288</x:v>
      </x:c>
      <x:c r="B2889" t="str">
        <x:v>Заявка с сайта от Вероника 79165249201</x:v>
      </x:c>
      <x:c r="C2889" t="e">
        <x:f>HYPERLINK("https://belberrycrm.bitrix24.ru/crm/deal/details/22288/","https://belberrycrm.bitrix24.ru/crm/deal/details/22288/")</x:f>
      </x:c>
      <x:c r="D2889" t="str">
        <x:v>Реанимация</x:v>
      </x:c>
      <x:c r="E2889" t="str">
        <x:v>ЛИДЫ: Отвалы</x:v>
      </x:c>
      <x:c r="F2889" t="str">
        <x:v>Петр Дудин</x:v>
      </x:c>
      <x:c r="G2889" t="str">
        <x:v>нет</x:v>
      </x:c>
      <x:c r="H2889" t="str">
        <x:v>нет</x:v>
      </x:c>
    </x:row>
    <x:row r="2890">
      <x:c r="A2890" t="str">
        <x:v>22290</x:v>
      </x:c>
      <x:c r="B2890" t="str">
        <x:v>7 962 681-07-34 - Исходящий звонок</x:v>
      </x:c>
      <x:c r="C2890" t="e">
        <x:f>HYPERLINK("https://belberrycrm.bitrix24.ru/crm/deal/details/22290/","https://belberrycrm.bitrix24.ru/crm/deal/details/22290/")</x:f>
      </x:c>
      <x:c r="D2890" t="str">
        <x:v>Реанимация</x:v>
      </x:c>
      <x:c r="E2890" t="str">
        <x:v>ЛИДЫ: Отвалы</x:v>
      </x:c>
      <x:c r="F2890" t="str">
        <x:v>Петр Дудин</x:v>
      </x:c>
      <x:c r="G2890" t="str">
        <x:v>нет</x:v>
      </x:c>
      <x:c r="H2890" t="str">
        <x:v>нет</x:v>
      </x:c>
    </x:row>
    <x:row r="2891">
      <x:c r="A2891" t="str">
        <x:v>22292</x:v>
      </x:c>
      <x:c r="B2891" t="str">
        <x:v>Звонок от 79175559068</x:v>
      </x:c>
      <x:c r="C2891" t="e">
        <x:f>HYPERLINK("https://belberrycrm.bitrix24.ru/crm/deal/details/22292/","https://belberrycrm.bitrix24.ru/crm/deal/details/22292/")</x:f>
      </x:c>
      <x:c r="D2891" t="str">
        <x:v>Реанимация</x:v>
      </x:c>
      <x:c r="E2891" t="str">
        <x:v>ЛИДЫ: Отвалы</x:v>
      </x:c>
      <x:c r="F2891" t="str">
        <x:v>Петр Дудин</x:v>
      </x:c>
      <x:c r="G2891" t="str">
        <x:v>нет</x:v>
      </x:c>
      <x:c r="H2891" t="str">
        <x:v>нет</x:v>
      </x:c>
    </x:row>
    <x:row r="2892">
      <x:c r="A2892" t="str">
        <x:v>22294</x:v>
      </x:c>
      <x:c r="B2892" t="str">
        <x:v>Email | hello@belberry.net от Богдан Хабибулин ykityk1@mail.ru</x:v>
      </x:c>
      <x:c r="C2892" t="e">
        <x:f>HYPERLINK("https://belberrycrm.bitrix24.ru/crm/deal/details/22294/","https://belberrycrm.bitrix24.ru/crm/deal/details/22294/")</x:f>
      </x:c>
      <x:c r="D2892" t="str">
        <x:v>Реанимация</x:v>
      </x:c>
      <x:c r="E2892" t="str">
        <x:v>ЛИДЫ: Отвалы</x:v>
      </x:c>
      <x:c r="F2892" t="str">
        <x:v>Петр Дудин</x:v>
      </x:c>
      <x:c r="G2892" t="str">
        <x:v>нет</x:v>
      </x:c>
      <x:c r="H2892" t="str">
        <x:v>нет</x:v>
      </x:c>
    </x:row>
    <x:row r="2893">
      <x:c r="A2893" t="str">
        <x:v>22296</x:v>
      </x:c>
      <x:c r="B2893" t="str">
        <x:v>Заявка с сайта от Максим 79299997724</x:v>
      </x:c>
      <x:c r="C2893" t="e">
        <x:f>HYPERLINK("https://belberrycrm.bitrix24.ru/crm/deal/details/22296/","https://belberrycrm.bitrix24.ru/crm/deal/details/22296/")</x:f>
      </x:c>
      <x:c r="D2893" t="str">
        <x:v>Реанимация</x:v>
      </x:c>
      <x:c r="E2893" t="str">
        <x:v>ЛИДЫ: Отвалы</x:v>
      </x:c>
      <x:c r="F2893" t="str">
        <x:v>Евгения Гордиенко</x:v>
      </x:c>
      <x:c r="G2893" t="str">
        <x:v>нет</x:v>
      </x:c>
      <x:c r="H2893" t="str">
        <x:v>нет</x:v>
      </x:c>
    </x:row>
    <x:row r="2894">
      <x:c r="A2894" t="str">
        <x:v>22298</x:v>
      </x:c>
      <x:c r="B2894" t="str">
        <x:v>Email | hello@belberry.net от Servi Dei sanctiservidei@gmail.com</x:v>
      </x:c>
      <x:c r="C2894" t="e">
        <x:f>HYPERLINK("https://belberrycrm.bitrix24.ru/crm/deal/details/22298/","https://belberrycrm.bitrix24.ru/crm/deal/details/22298/")</x:f>
      </x:c>
      <x:c r="D2894" t="str">
        <x:v>Реанимация</x:v>
      </x:c>
      <x:c r="E2894" t="str">
        <x:v>ЛИДЫ: Отвалы</x:v>
      </x:c>
      <x:c r="F2894" t="str">
        <x:v>Анна Гудинова</x:v>
      </x:c>
      <x:c r="G2894" t="str">
        <x:v>нет</x:v>
      </x:c>
      <x:c r="H2894" t="str">
        <x:v>нет</x:v>
      </x:c>
    </x:row>
    <x:row r="2895">
      <x:c r="A2895" t="str">
        <x:v>22300</x:v>
      </x:c>
      <x:c r="B2895" t="str">
        <x:v>Звонок от 79671774961</x:v>
      </x:c>
      <x:c r="C2895" t="e">
        <x:f>HYPERLINK("https://belberrycrm.bitrix24.ru/crm/deal/details/22300/","https://belberrycrm.bitrix24.ru/crm/deal/details/22300/")</x:f>
      </x:c>
      <x:c r="D2895" t="str">
        <x:v>Реанимация</x:v>
      </x:c>
      <x:c r="E2895" t="str">
        <x:v>ЛИДЫ: Отвалы</x:v>
      </x:c>
      <x:c r="F2895" t="str">
        <x:v>Евгения Гордиенко</x:v>
      </x:c>
      <x:c r="G2895" t="str">
        <x:v>нет</x:v>
      </x:c>
      <x:c r="H2895" t="str">
        <x:v>нет</x:v>
      </x:c>
    </x:row>
    <x:row r="2896">
      <x:c r="A2896" t="str">
        <x:v>22302</x:v>
      </x:c>
      <x:c r="B2896" t="str">
        <x:v>Email | hello@belberry.net от Александр Вырвич vyrvich@sotkaonline.ru</x:v>
      </x:c>
      <x:c r="C2896" t="e">
        <x:f>HYPERLINK("https://belberrycrm.bitrix24.ru/crm/deal/details/22302/","https://belberrycrm.bitrix24.ru/crm/deal/details/22302/")</x:f>
      </x:c>
      <x:c r="D2896" t="str">
        <x:v>Реанимация</x:v>
      </x:c>
      <x:c r="E2896" t="str">
        <x:v>ЛИДЫ: Отвалы</x:v>
      </x:c>
      <x:c r="F2896" t="str">
        <x:v>Анна Гудинова</x:v>
      </x:c>
      <x:c r="G2896" t="str">
        <x:v>нет</x:v>
      </x:c>
      <x:c r="H2896" t="str">
        <x:v>нет</x:v>
      </x:c>
    </x:row>
    <x:row r="2897">
      <x:c r="A2897" t="str">
        <x:v>22304</x:v>
      </x:c>
      <x:c r="B2897" t="str">
        <x:v>Email | hello@belberry.net от Почта Закупки zakupki@orthobarnaul.ru</x:v>
      </x:c>
      <x:c r="C2897" t="e">
        <x:f>HYPERLINK("https://belberrycrm.bitrix24.ru/crm/deal/details/22304/","https://belberrycrm.bitrix24.ru/crm/deal/details/22304/")</x:f>
      </x:c>
      <x:c r="D2897" t="str">
        <x:v>Реанимация</x:v>
      </x:c>
      <x:c r="E2897" t="str">
        <x:v>ЛИДЫ: Отвалы</x:v>
      </x:c>
      <x:c r="F2897" t="str">
        <x:v>Анна Гудинова</x:v>
      </x:c>
      <x:c r="G2897" t="str">
        <x:v>нет</x:v>
      </x:c>
      <x:c r="H2897" t="str">
        <x:v>нет</x:v>
      </x:c>
    </x:row>
    <x:row r="2898">
      <x:c r="A2898" t="str">
        <x:v>22306</x:v>
      </x:c>
      <x:c r="B2898" t="str">
        <x:v>Email | hello@belberry.net от Стас Алешин stason587@gmail.com</x:v>
      </x:c>
      <x:c r="C2898" t="e">
        <x:f>HYPERLINK("https://belberrycrm.bitrix24.ru/crm/deal/details/22306/","https://belberrycrm.bitrix24.ru/crm/deal/details/22306/")</x:f>
      </x:c>
      <x:c r="D2898" t="str">
        <x:v>Реанимация</x:v>
      </x:c>
      <x:c r="E2898" t="str">
        <x:v>ЛИДЫ: Отвалы</x:v>
      </x:c>
      <x:c r="F2898" t="str">
        <x:v>Анна Гудинова</x:v>
      </x:c>
      <x:c r="G2898" t="str">
        <x:v>нет</x:v>
      </x:c>
      <x:c r="H2898" t="str">
        <x:v>нет</x:v>
      </x:c>
    </x:row>
    <x:row r="2899">
      <x:c r="A2899" t="str">
        <x:v>22308</x:v>
      </x:c>
      <x:c r="B2899" t="str">
        <x:v>Звонок от 78512443008</x:v>
      </x:c>
      <x:c r="C2899" t="e">
        <x:f>HYPERLINK("https://belberrycrm.bitrix24.ru/crm/deal/details/22308/","https://belberrycrm.bitrix24.ru/crm/deal/details/22308/")</x:f>
      </x:c>
      <x:c r="D2899" t="str">
        <x:v>Реанимация</x:v>
      </x:c>
      <x:c r="E2899" t="str">
        <x:v>ЛИДЫ: Отвалы</x:v>
      </x:c>
      <x:c r="F2899" t="str">
        <x:v>Евгения Гордиенко</x:v>
      </x:c>
      <x:c r="G2899" t="str">
        <x:v>нет</x:v>
      </x:c>
      <x:c r="H2899" t="str">
        <x:v>нет</x:v>
      </x:c>
    </x:row>
    <x:row r="2900">
      <x:c r="A2900" t="str">
        <x:v>22310</x:v>
      </x:c>
      <x:c r="B2900" t="str">
        <x:v>Звонок от 79258098286</x:v>
      </x:c>
      <x:c r="C2900" t="e">
        <x:f>HYPERLINK("https://belberrycrm.bitrix24.ru/crm/deal/details/22310/","https://belberrycrm.bitrix24.ru/crm/deal/details/22310/")</x:f>
      </x:c>
      <x:c r="D2900" t="str">
        <x:v>Реанимация</x:v>
      </x:c>
      <x:c r="E2900" t="str">
        <x:v>ЛИДЫ: Отвалы</x:v>
      </x:c>
      <x:c r="F2900" t="str">
        <x:v>Анна Гудинова</x:v>
      </x:c>
      <x:c r="G2900" t="str">
        <x:v>нет</x:v>
      </x:c>
      <x:c r="H2900" t="str">
        <x:v>нет</x:v>
      </x:c>
    </x:row>
    <x:row r="2901">
      <x:c r="A2901" t="str">
        <x:v>22312</x:v>
      </x:c>
      <x:c r="B2901" t="str">
        <x:v>Звонок от 79646921490</x:v>
      </x:c>
      <x:c r="C2901" t="e">
        <x:f>HYPERLINK("https://belberrycrm.bitrix24.ru/crm/deal/details/22312/","https://belberrycrm.bitrix24.ru/crm/deal/details/22312/")</x:f>
      </x:c>
      <x:c r="D2901" t="str">
        <x:v>Реанимация</x:v>
      </x:c>
      <x:c r="E2901" t="str">
        <x:v>ЛИДЫ: Отвалы</x:v>
      </x:c>
      <x:c r="F2901" t="str">
        <x:v>Анна Гудинова</x:v>
      </x:c>
      <x:c r="G2901" t="str">
        <x:v>нет</x:v>
      </x:c>
      <x:c r="H2901" t="str">
        <x:v>нет</x:v>
      </x:c>
    </x:row>
    <x:row r="2902">
      <x:c r="A2902" t="str">
        <x:v>22314</x:v>
      </x:c>
      <x:c r="B2902" t="str">
        <x:v>Заявка с сайта от Павел 79628395856</x:v>
      </x:c>
      <x:c r="C2902" t="e">
        <x:f>HYPERLINK("https://belberrycrm.bitrix24.ru/crm/deal/details/22314/","https://belberrycrm.bitrix24.ru/crm/deal/details/22314/")</x:f>
      </x:c>
      <x:c r="D2902" t="str">
        <x:v>Реанимация</x:v>
      </x:c>
      <x:c r="E2902" t="str">
        <x:v>ЛИДЫ: Отвалы</x:v>
      </x:c>
      <x:c r="F2902" t="str">
        <x:v>Евгения Гордиенко</x:v>
      </x:c>
      <x:c r="G2902" t="str">
        <x:v>нет</x:v>
      </x:c>
      <x:c r="H2902" t="str">
        <x:v>нет</x:v>
      </x:c>
    </x:row>
    <x:row r="2903">
      <x:c r="A2903" t="str">
        <x:v>22316</x:v>
      </x:c>
      <x:c r="B2903" t="str">
        <x:v>Заявка с сайта от Yubmui.ջւի բնկ,։։toնմչ г 73399999390</x:v>
      </x:c>
      <x:c r="C2903" t="e">
        <x:f>HYPERLINK("https://belberrycrm.bitrix24.ru/crm/deal/details/22316/","https://belberrycrm.bitrix24.ru/crm/deal/details/22316/")</x:f>
      </x:c>
      <x:c r="D2903" t="str">
        <x:v>Реанимация</x:v>
      </x:c>
      <x:c r="E2903" t="str">
        <x:v>ЛИДЫ: Отвалы</x:v>
      </x:c>
      <x:c r="F2903" t="str">
        <x:v>Евгения Гордиенко</x:v>
      </x:c>
      <x:c r="G2903" t="str">
        <x:v>нет</x:v>
      </x:c>
      <x:c r="H2903" t="str">
        <x:v>нет</x:v>
      </x:c>
    </x:row>
    <x:row r="2904">
      <x:c r="A2904" t="str">
        <x:v>22318</x:v>
      </x:c>
      <x:c r="B2904" t="str">
        <x:v>Email | hello@belberry.net от  Юлия Касаткина y.kasatkina@smter.ru</x:v>
      </x:c>
      <x:c r="C2904" t="e">
        <x:f>HYPERLINK("https://belberrycrm.bitrix24.ru/crm/deal/details/22318/","https://belberrycrm.bitrix24.ru/crm/deal/details/22318/")</x:f>
      </x:c>
      <x:c r="D2904" t="str">
        <x:v>Реанимация</x:v>
      </x:c>
      <x:c r="E2904" t="str">
        <x:v>ЛИДЫ: Отвалы</x:v>
      </x:c>
      <x:c r="F2904" t="str">
        <x:v>Павел Фролов</x:v>
      </x:c>
      <x:c r="G2904" t="str">
        <x:v>нет</x:v>
      </x:c>
      <x:c r="H2904" t="str">
        <x:v>нет</x:v>
      </x:c>
    </x:row>
    <x:row r="2905">
      <x:c r="A2905" t="str">
        <x:v>22320</x:v>
      </x:c>
      <x:c r="B2905" t="str">
        <x:v>Заявка с сайта от Гончар Олег 79056365487</x:v>
      </x:c>
      <x:c r="C2905" t="e">
        <x:f>HYPERLINK("https://belberrycrm.bitrix24.ru/crm/deal/details/22320/","https://belberrycrm.bitrix24.ru/crm/deal/details/22320/")</x:f>
      </x:c>
      <x:c r="D2905" t="str">
        <x:v>Реанимация</x:v>
      </x:c>
      <x:c r="E2905" t="str">
        <x:v>ЛИДЫ: Отвалы</x:v>
      </x:c>
      <x:c r="F2905" t="str">
        <x:v>Евгения Гордиенко</x:v>
      </x:c>
      <x:c r="G2905" t="str">
        <x:v>нет</x:v>
      </x:c>
      <x:c r="H2905" t="str">
        <x:v>нет</x:v>
      </x:c>
    </x:row>
    <x:row r="2906">
      <x:c r="A2906" t="str">
        <x:v>22322</x:v>
      </x:c>
      <x:c r="B2906" t="str">
        <x:v>Заявка с сайта от Антон Кузнецов 79835311993</x:v>
      </x:c>
      <x:c r="C2906" t="e">
        <x:f>HYPERLINK("https://belberrycrm.bitrix24.ru/crm/deal/details/22322/","https://belberrycrm.bitrix24.ru/crm/deal/details/22322/")</x:f>
      </x:c>
      <x:c r="D2906" t="str">
        <x:v>Реанимация</x:v>
      </x:c>
      <x:c r="E2906" t="str">
        <x:v>ЛИДЫ: Отвалы</x:v>
      </x:c>
      <x:c r="F2906" t="str">
        <x:v>Павел Фролов</x:v>
      </x:c>
      <x:c r="G2906" t="str">
        <x:v>нет</x:v>
      </x:c>
      <x:c r="H2906" t="str">
        <x:v>нет</x:v>
      </x:c>
    </x:row>
    <x:row r="2907">
      <x:c r="A2907" t="str">
        <x:v>22324</x:v>
      </x:c>
      <x:c r="B2907" t="str">
        <x:v>Звонок от 79096205709</x:v>
      </x:c>
      <x:c r="C2907" t="e">
        <x:f>HYPERLINK("https://belberrycrm.bitrix24.ru/crm/deal/details/22324/","https://belberrycrm.bitrix24.ru/crm/deal/details/22324/")</x:f>
      </x:c>
      <x:c r="D2907" t="str">
        <x:v>Реанимация</x:v>
      </x:c>
      <x:c r="E2907" t="str">
        <x:v>ЛИДЫ: Отвалы</x:v>
      </x:c>
      <x:c r="F2907" t="str">
        <x:v>Павел Фролов</x:v>
      </x:c>
      <x:c r="G2907" t="str">
        <x:v>нет</x:v>
      </x:c>
      <x:c r="H2907" t="str">
        <x:v>нет</x:v>
      </x:c>
    </x:row>
    <x:row r="2908">
      <x:c r="A2908" t="str">
        <x:v>22326</x:v>
      </x:c>
      <x:c r="B2908" t="str">
        <x:v>Заявка с сайта от Ангелина 79992347643</x:v>
      </x:c>
      <x:c r="C2908" t="e">
        <x:f>HYPERLINK("https://belberrycrm.bitrix24.ru/crm/deal/details/22326/","https://belberrycrm.bitrix24.ru/crm/deal/details/22326/")</x:f>
      </x:c>
      <x:c r="D2908" t="str">
        <x:v>Реанимация</x:v>
      </x:c>
      <x:c r="E2908" t="str">
        <x:v>ЛИДЫ: Отвалы</x:v>
      </x:c>
      <x:c r="F2908" t="str">
        <x:v>Анна Гудинова</x:v>
      </x:c>
      <x:c r="G2908" t="str">
        <x:v>нет</x:v>
      </x:c>
      <x:c r="H2908" t="str">
        <x:v>нет</x:v>
      </x:c>
    </x:row>
    <x:row r="2909">
      <x:c r="A2909" t="str">
        <x:v>22328</x:v>
      </x:c>
      <x:c r="B2909" t="str">
        <x:v>Заявка с сайта от Иван 79997168733</x:v>
      </x:c>
      <x:c r="C2909" t="e">
        <x:f>HYPERLINK("https://belberrycrm.bitrix24.ru/crm/deal/details/22328/","https://belberrycrm.bitrix24.ru/crm/deal/details/22328/")</x:f>
      </x:c>
      <x:c r="D2909" t="str">
        <x:v>Реанимация</x:v>
      </x:c>
      <x:c r="E2909" t="str">
        <x:v>ЛИДЫ: Отвалы</x:v>
      </x:c>
      <x:c r="F2909" t="str">
        <x:v>Павел Фролов</x:v>
      </x:c>
      <x:c r="G2909" t="str">
        <x:v>нет</x:v>
      </x:c>
      <x:c r="H2909" t="str">
        <x:v>нет</x:v>
      </x:c>
    </x:row>
    <x:row r="2910">
      <x:c r="A2910" t="str">
        <x:v>22330</x:v>
      </x:c>
      <x:c r="B2910" t="str">
        <x:v>https://wa.me/79818272902</x:v>
      </x:c>
      <x:c r="C2910" t="e">
        <x:f>HYPERLINK("https://belberrycrm.bitrix24.ru/crm/deal/details/22330/","https://belberrycrm.bitrix24.ru/crm/deal/details/22330/")</x:f>
      </x:c>
      <x:c r="D2910" t="str">
        <x:v>Реанимация</x:v>
      </x:c>
      <x:c r="E2910" t="str">
        <x:v>ЛИДЫ: Отвалы</x:v>
      </x:c>
      <x:c r="F2910" t="str">
        <x:v>Евгения Гордиенко</x:v>
      </x:c>
      <x:c r="G2910" t="str">
        <x:v>нет</x:v>
      </x:c>
      <x:c r="H2910" t="str">
        <x:v>нет</x:v>
      </x:c>
    </x:row>
    <x:row r="2911">
      <x:c r="A2911" t="str">
        <x:v>22332</x:v>
      </x:c>
      <x:c r="B2911" t="str">
        <x:v>Заявка с сайта от Зарема 79998995567</x:v>
      </x:c>
      <x:c r="C2911" t="e">
        <x:f>HYPERLINK("https://belberrycrm.bitrix24.ru/crm/deal/details/22332/","https://belberrycrm.bitrix24.ru/crm/deal/details/22332/")</x:f>
      </x:c>
      <x:c r="D2911" t="str">
        <x:v>Реанимация</x:v>
      </x:c>
      <x:c r="E2911" t="str">
        <x:v>ЛИДЫ: Отвалы</x:v>
      </x:c>
      <x:c r="F2911" t="str">
        <x:v>Евгения Гордиенко</x:v>
      </x:c>
      <x:c r="G2911" t="str">
        <x:v>нет</x:v>
      </x:c>
      <x:c r="H2911" t="str">
        <x:v>нет</x:v>
      </x:c>
    </x:row>
    <x:row r="2912">
      <x:c r="A2912" t="str">
        <x:v>22334</x:v>
      </x:c>
      <x:c r="B2912" t="str">
        <x:v>Заявка с сайта от Генадий 79887456123</x:v>
      </x:c>
      <x:c r="C2912" t="e">
        <x:f>HYPERLINK("https://belberrycrm.bitrix24.ru/crm/deal/details/22334/","https://belberrycrm.bitrix24.ru/crm/deal/details/22334/")</x:f>
      </x:c>
      <x:c r="D2912" t="str">
        <x:v>Реанимация</x:v>
      </x:c>
      <x:c r="E2912" t="str">
        <x:v>ЛИДЫ: Отвалы</x:v>
      </x:c>
      <x:c r="F2912" t="str">
        <x:v>Евгения Гордиенко</x:v>
      </x:c>
      <x:c r="G2912" t="str">
        <x:v>нет</x:v>
      </x:c>
      <x:c r="H2912" t="str">
        <x:v>нет</x:v>
      </x:c>
    </x:row>
    <x:row r="2913">
      <x:c r="A2913" t="str">
        <x:v>22336</x:v>
      </x:c>
      <x:c r="B2913" t="str">
        <x:v>Заявка с сайта от Дарья 79212305015</x:v>
      </x:c>
      <x:c r="C2913" t="e">
        <x:f>HYPERLINK("https://belberrycrm.bitrix24.ru/crm/deal/details/22336/","https://belberrycrm.bitrix24.ru/crm/deal/details/22336/")</x:f>
      </x:c>
      <x:c r="D2913" t="str">
        <x:v>Реанимация</x:v>
      </x:c>
      <x:c r="E2913" t="str">
        <x:v>ЛИДЫ: Отвалы</x:v>
      </x:c>
      <x:c r="F2913" t="str">
        <x:v>Павел Фролов</x:v>
      </x:c>
      <x:c r="G2913" t="str">
        <x:v>нет</x:v>
      </x:c>
      <x:c r="H2913" t="str">
        <x:v>нет</x:v>
      </x:c>
    </x:row>
    <x:row r="2914">
      <x:c r="A2914" t="str">
        <x:v>22338</x:v>
      </x:c>
      <x:c r="B2914" t="str">
        <x:v>Звонок от 79667389105</x:v>
      </x:c>
      <x:c r="C2914" t="e">
        <x:f>HYPERLINK("https://belberrycrm.bitrix24.ru/crm/deal/details/22338/","https://belberrycrm.bitrix24.ru/crm/deal/details/22338/")</x:f>
      </x:c>
      <x:c r="D2914" t="str">
        <x:v>Реанимация</x:v>
      </x:c>
      <x:c r="E2914" t="str">
        <x:v>ЛИДЫ: Отвалы</x:v>
      </x:c>
      <x:c r="F2914" t="str">
        <x:v>Евгения Гордиенко</x:v>
      </x:c>
      <x:c r="G2914" t="str">
        <x:v>нет</x:v>
      </x:c>
      <x:c r="H2914" t="str">
        <x:v>нет</x:v>
      </x:c>
    </x:row>
    <x:row r="2915">
      <x:c r="A2915" t="str">
        <x:v>22340</x:v>
      </x:c>
      <x:c r="B2915" t="str">
        <x:v>Заявка с сайта от Ольга Валентиновна Петров 79889898989</x:v>
      </x:c>
      <x:c r="C2915" t="e">
        <x:f>HYPERLINK("https://belberrycrm.bitrix24.ru/crm/deal/details/22340/","https://belberrycrm.bitrix24.ru/crm/deal/details/22340/")</x:f>
      </x:c>
      <x:c r="D2915" t="str">
        <x:v>Реанимация</x:v>
      </x:c>
      <x:c r="E2915" t="str">
        <x:v>ЛИДЫ: Отвалы</x:v>
      </x:c>
      <x:c r="F2915" t="str">
        <x:v>Евгения Гордиенко</x:v>
      </x:c>
      <x:c r="G2915" t="str">
        <x:v>нет</x:v>
      </x:c>
      <x:c r="H2915" t="str">
        <x:v>нет</x:v>
      </x:c>
    </x:row>
    <x:row r="2916">
      <x:c r="A2916" t="str">
        <x:v>22342</x:v>
      </x:c>
      <x:c r="B2916" t="str">
        <x:v>Звонок от 79061469781</x:v>
      </x:c>
      <x:c r="C2916" t="e">
        <x:f>HYPERLINK("https://belberrycrm.bitrix24.ru/crm/deal/details/22342/","https://belberrycrm.bitrix24.ru/crm/deal/details/22342/")</x:f>
      </x:c>
      <x:c r="D2916" t="str">
        <x:v>Реанимация</x:v>
      </x:c>
      <x:c r="E2916" t="str">
        <x:v>ЛИДЫ: Отвалы</x:v>
      </x:c>
      <x:c r="F2916" t="str">
        <x:v>Анна Гудинова</x:v>
      </x:c>
      <x:c r="G2916" t="str">
        <x:v>нет</x:v>
      </x:c>
      <x:c r="H2916" t="str">
        <x:v>нет</x:v>
      </x:c>
    </x:row>
    <x:row r="2917">
      <x:c r="A2917" t="str">
        <x:v>22344</x:v>
      </x:c>
      <x:c r="B2917" t="str">
        <x:v>Email | hello@belberry.net от  am@lid-auto.ru</x:v>
      </x:c>
      <x:c r="C2917" t="e">
        <x:f>HYPERLINK("https://belberrycrm.bitrix24.ru/crm/deal/details/22344/","https://belberrycrm.bitrix24.ru/crm/deal/details/22344/")</x:f>
      </x:c>
      <x:c r="D2917" t="str">
        <x:v>Реанимация</x:v>
      </x:c>
      <x:c r="E2917" t="str">
        <x:v>ЛИДЫ: Отвалы</x:v>
      </x:c>
      <x:c r="F2917" t="str">
        <x:v>Анна Гудинова</x:v>
      </x:c>
      <x:c r="G2917" t="str">
        <x:v>нет</x:v>
      </x:c>
      <x:c r="H2917" t="str">
        <x:v>нет</x:v>
      </x:c>
    </x:row>
    <x:row r="2918">
      <x:c r="A2918" t="str">
        <x:v>22346</x:v>
      </x:c>
      <x:c r="B2918" t="str">
        <x:v>Заявка с сайта от Фёдор 79316425038</x:v>
      </x:c>
      <x:c r="C2918" t="e">
        <x:f>HYPERLINK("https://belberrycrm.bitrix24.ru/crm/deal/details/22346/","https://belberrycrm.bitrix24.ru/crm/deal/details/22346/")</x:f>
      </x:c>
      <x:c r="D2918" t="str">
        <x:v>Реанимация</x:v>
      </x:c>
      <x:c r="E2918" t="str">
        <x:v>ЛИДЫ: Отвалы</x:v>
      </x:c>
      <x:c r="F2918" t="str">
        <x:v>Евгения Гордиенко</x:v>
      </x:c>
      <x:c r="G2918" t="str">
        <x:v>нет</x:v>
      </x:c>
      <x:c r="H2918" t="str">
        <x:v>нет</x:v>
      </x:c>
    </x:row>
    <x:row r="2919">
      <x:c r="A2919" t="str">
        <x:v>22348</x:v>
      </x:c>
      <x:c r="B2919" t="str">
        <x:v>Звонок от 79278191625</x:v>
      </x:c>
      <x:c r="C2919" t="e">
        <x:f>HYPERLINK("https://belberrycrm.bitrix24.ru/crm/deal/details/22348/","https://belberrycrm.bitrix24.ru/crm/deal/details/22348/")</x:f>
      </x:c>
      <x:c r="D2919" t="str">
        <x:v>Реанимация</x:v>
      </x:c>
      <x:c r="E2919" t="str">
        <x:v>ЛИДЫ: Отвалы</x:v>
      </x:c>
      <x:c r="F2919" t="str">
        <x:v>Евгения Гордиенко</x:v>
      </x:c>
      <x:c r="G2919" t="str">
        <x:v>нет</x:v>
      </x:c>
      <x:c r="H2919" t="str">
        <x:v>нет</x:v>
      </x:c>
    </x:row>
    <x:row r="2920">
      <x:c r="A2920" t="str">
        <x:v>22350</x:v>
      </x:c>
      <x:c r="B2920" t="str">
        <x:v>Email | hello@belberry.net от Щурова Ирина Александровна irina.shurova@dp.ru</x:v>
      </x:c>
      <x:c r="C2920" t="e">
        <x:f>HYPERLINK("https://belberrycrm.bitrix24.ru/crm/deal/details/22350/","https://belberrycrm.bitrix24.ru/crm/deal/details/22350/")</x:f>
      </x:c>
      <x:c r="D2920" t="str">
        <x:v>Реанимация</x:v>
      </x:c>
      <x:c r="E2920" t="str">
        <x:v>ЛИДЫ: Отвалы</x:v>
      </x:c>
      <x:c r="F2920" t="str">
        <x:v>Анна Гудинова</x:v>
      </x:c>
      <x:c r="G2920" t="str">
        <x:v>нет</x:v>
      </x:c>
      <x:c r="H2920" t="str">
        <x:v>нет</x:v>
      </x:c>
    </x:row>
    <x:row r="2921">
      <x:c r="A2921" t="str">
        <x:v>22352</x:v>
      </x:c>
      <x:c r="B2921" t="str">
        <x:v>Заявка с сайта от максим 79146019065</x:v>
      </x:c>
      <x:c r="C2921" t="e">
        <x:f>HYPERLINK("https://belberrycrm.bitrix24.ru/crm/deal/details/22352/","https://belberrycrm.bitrix24.ru/crm/deal/details/22352/")</x:f>
      </x:c>
      <x:c r="D2921" t="str">
        <x:v>Реанимация</x:v>
      </x:c>
      <x:c r="E2921" t="str">
        <x:v>ЛИДЫ: Отвалы</x:v>
      </x:c>
      <x:c r="F2921" t="str">
        <x:v>Евгения Гордиенко</x:v>
      </x:c>
      <x:c r="G2921" t="str">
        <x:v>нет</x:v>
      </x:c>
      <x:c r="H2921" t="str">
        <x:v>нет</x:v>
      </x:c>
    </x:row>
    <x:row r="2922">
      <x:c r="A2922" t="str">
        <x:v>22354</x:v>
      </x:c>
      <x:c r="B2922" t="str">
        <x:v>Звонок от 78124678201</x:v>
      </x:c>
      <x:c r="C2922" t="e">
        <x:f>HYPERLINK("https://belberrycrm.bitrix24.ru/crm/deal/details/22354/","https://belberrycrm.bitrix24.ru/crm/deal/details/22354/")</x:f>
      </x:c>
      <x:c r="D2922" t="str">
        <x:v>Реанимация</x:v>
      </x:c>
      <x:c r="E2922" t="str">
        <x:v>ЛИДЫ: Отвалы</x:v>
      </x:c>
      <x:c r="F2922" t="str">
        <x:v>Петр Дудин</x:v>
      </x:c>
      <x:c r="G2922" t="str">
        <x:v>нет</x:v>
      </x:c>
      <x:c r="H2922" t="str">
        <x:v>нет</x:v>
      </x:c>
    </x:row>
    <x:row r="2923">
      <x:c r="A2923" t="str">
        <x:v>22356</x:v>
      </x:c>
      <x:c r="B2923" t="str">
        <x:v>Звонок от 74951643411</x:v>
      </x:c>
      <x:c r="C2923" t="e">
        <x:f>HYPERLINK("https://belberrycrm.bitrix24.ru/crm/deal/details/22356/","https://belberrycrm.bitrix24.ru/crm/deal/details/22356/")</x:f>
      </x:c>
      <x:c r="D2923" t="str">
        <x:v>Реанимация</x:v>
      </x:c>
      <x:c r="E2923" t="str">
        <x:v>ЛИДЫ: Отвалы</x:v>
      </x:c>
      <x:c r="F2923" t="str">
        <x:v>Евгения Гордиенко</x:v>
      </x:c>
      <x:c r="G2923" t="str">
        <x:v>нет</x:v>
      </x:c>
      <x:c r="H2923" t="str">
        <x:v>нет</x:v>
      </x:c>
    </x:row>
    <x:row r="2924">
      <x:c r="A2924" t="str">
        <x:v>22358</x:v>
      </x:c>
      <x:c r="B2924" t="str">
        <x:v>Звонок от 79809767392</x:v>
      </x:c>
      <x:c r="C2924" t="e">
        <x:f>HYPERLINK("https://belberrycrm.bitrix24.ru/crm/deal/details/22358/","https://belberrycrm.bitrix24.ru/crm/deal/details/22358/")</x:f>
      </x:c>
      <x:c r="D2924" t="str">
        <x:v>Реанимация</x:v>
      </x:c>
      <x:c r="E2924" t="str">
        <x:v>ЛИДЫ: Отвалы</x:v>
      </x:c>
      <x:c r="F2924" t="str">
        <x:v>Евгения Гордиенко</x:v>
      </x:c>
      <x:c r="G2924" t="str">
        <x:v>нет</x:v>
      </x:c>
      <x:c r="H2924" t="str">
        <x:v>нет</x:v>
      </x:c>
    </x:row>
    <x:row r="2925">
      <x:c r="A2925" t="str">
        <x:v>22360</x:v>
      </x:c>
      <x:c r="B2925" t="str">
        <x:v>Звонок от 79668893985</x:v>
      </x:c>
      <x:c r="C2925" t="e">
        <x:f>HYPERLINK("https://belberrycrm.bitrix24.ru/crm/deal/details/22360/","https://belberrycrm.bitrix24.ru/crm/deal/details/22360/")</x:f>
      </x:c>
      <x:c r="D2925" t="str">
        <x:v>Реанимация</x:v>
      </x:c>
      <x:c r="E2925" t="str">
        <x:v>ЛИДЫ: Отвалы</x:v>
      </x:c>
      <x:c r="F2925" t="str">
        <x:v>Петр Дудин</x:v>
      </x:c>
      <x:c r="G2925" t="str">
        <x:v>нет</x:v>
      </x:c>
      <x:c r="H2925" t="str">
        <x:v>нет</x:v>
      </x:c>
    </x:row>
    <x:row r="2926">
      <x:c r="A2926" t="str">
        <x:v>22362</x:v>
      </x:c>
      <x:c r="B2926" t="str">
        <x:v>Заявка с сайта от weqweqweq 71231231231</x:v>
      </x:c>
      <x:c r="C2926" t="e">
        <x:f>HYPERLINK("https://belberrycrm.bitrix24.ru/crm/deal/details/22362/","https://belberrycrm.bitrix24.ru/crm/deal/details/22362/")</x:f>
      </x:c>
      <x:c r="D2926" t="str">
        <x:v>Реанимация</x:v>
      </x:c>
      <x:c r="E2926" t="str">
        <x:v>ЛИДЫ: Отвалы</x:v>
      </x:c>
      <x:c r="F2926" t="str">
        <x:v>Евгения Гордиенко</x:v>
      </x:c>
      <x:c r="G2926" t="str">
        <x:v>нет</x:v>
      </x:c>
      <x:c r="H2926" t="str">
        <x:v>нет</x:v>
      </x:c>
    </x:row>
    <x:row r="2927">
      <x:c r="A2927" t="str">
        <x:v>22364</x:v>
      </x:c>
      <x:c r="B2927" t="str">
        <x:v>Звонок от 79240289130</x:v>
      </x:c>
      <x:c r="C2927" t="e">
        <x:f>HYPERLINK("https://belberrycrm.bitrix24.ru/crm/deal/details/22364/","https://belberrycrm.bitrix24.ru/crm/deal/details/22364/")</x:f>
      </x:c>
      <x:c r="D2927" t="str">
        <x:v>Реанимация</x:v>
      </x:c>
      <x:c r="E2927" t="str">
        <x:v>ЛИДЫ: Отвалы</x:v>
      </x:c>
      <x:c r="F2927" t="str">
        <x:v>Анна Гудинова</x:v>
      </x:c>
      <x:c r="G2927" t="str">
        <x:v>нет</x:v>
      </x:c>
      <x:c r="H2927" t="str">
        <x:v>нет</x:v>
      </x:c>
    </x:row>
    <x:row r="2928">
      <x:c r="A2928" t="str">
        <x:v>22366</x:v>
      </x:c>
      <x:c r="B2928" t="str">
        <x:v>Email | hello@acoola.team от Юлия tasksales2025@gmail.com</x:v>
      </x:c>
      <x:c r="C2928" t="e">
        <x:f>HYPERLINK("https://belberrycrm.bitrix24.ru/crm/deal/details/22366/","https://belberrycrm.bitrix24.ru/crm/deal/details/22366/")</x:f>
      </x:c>
      <x:c r="D2928" t="str">
        <x:v>Реанимация</x:v>
      </x:c>
      <x:c r="E2928" t="str">
        <x:v>ЛИДЫ: Отвалы</x:v>
      </x:c>
      <x:c r="F2928" t="str">
        <x:v>Евгения Гордиенко</x:v>
      </x:c>
      <x:c r="G2928" t="str">
        <x:v>нет</x:v>
      </x:c>
      <x:c r="H2928" t="str">
        <x:v>нет</x:v>
      </x:c>
    </x:row>
    <x:row r="2929">
      <x:c r="A2929" t="str">
        <x:v>22368</x:v>
      </x:c>
      <x:c r="B2929" t="str">
        <x:v>Email | hello@acoola.team от Спай Студио spaistudio@yandex.ru</x:v>
      </x:c>
      <x:c r="C2929" t="e">
        <x:f>HYPERLINK("https://belberrycrm.bitrix24.ru/crm/deal/details/22368/","https://belberrycrm.bitrix24.ru/crm/deal/details/22368/")</x:f>
      </x:c>
      <x:c r="D2929" t="str">
        <x:v>Реанимация</x:v>
      </x:c>
      <x:c r="E2929" t="str">
        <x:v>ЛИДЫ: Отвалы</x:v>
      </x:c>
      <x:c r="F2929" t="str">
        <x:v>Евгения Гордиенко</x:v>
      </x:c>
      <x:c r="G2929" t="str">
        <x:v>нет</x:v>
      </x:c>
      <x:c r="H2929" t="str">
        <x:v>нет</x:v>
      </x:c>
    </x:row>
    <x:row r="2930">
      <x:c r="A2930" t="str">
        <x:v>22370</x:v>
      </x:c>
      <x:c r="B2930" t="str">
        <x:v>Заявка с сайта от Александр 74997557322</x:v>
      </x:c>
      <x:c r="C2930" t="e">
        <x:f>HYPERLINK("https://belberrycrm.bitrix24.ru/crm/deal/details/22370/","https://belberrycrm.bitrix24.ru/crm/deal/details/22370/")</x:f>
      </x:c>
      <x:c r="D2930" t="str">
        <x:v>Реанимация</x:v>
      </x:c>
      <x:c r="E2930" t="str">
        <x:v>ЛИДЫ: Отвалы</x:v>
      </x:c>
      <x:c r="F2930" t="str">
        <x:v>Евгения Гордиенко</x:v>
      </x:c>
      <x:c r="G2930" t="str">
        <x:v>нет</x:v>
      </x:c>
      <x:c r="H2930" t="str">
        <x:v>нет</x:v>
      </x:c>
    </x:row>
    <x:row r="2931">
      <x:c r="A2931" t="str">
        <x:v>22372</x:v>
      </x:c>
      <x:c r="B2931" t="str">
        <x:v>Заполнение CRM-формы "Форма контактных данных для открытых линий"</x:v>
      </x:c>
      <x:c r="C2931" t="e">
        <x:f>HYPERLINK("https://belberrycrm.bitrix24.ru/crm/deal/details/22372/","https://belberrycrm.bitrix24.ru/crm/deal/details/22372/")</x:f>
      </x:c>
      <x:c r="D2931" t="str">
        <x:v>Реанимация</x:v>
      </x:c>
      <x:c r="E2931" t="str">
        <x:v>ЛИДЫ: Отвалы</x:v>
      </x:c>
      <x:c r="F2931" t="str">
        <x:v>Павел Фролов</x:v>
      </x:c>
      <x:c r="G2931" t="str">
        <x:v>нет</x:v>
      </x:c>
      <x:c r="H2931" t="str">
        <x:v>нет</x:v>
      </x:c>
    </x:row>
    <x:row r="2932">
      <x:c r="A2932" t="str">
        <x:v>22374</x:v>
      </x:c>
      <x:c r="B2932" t="str">
        <x:v>Email | hello@acoola.team от Войтенко Наталья Владимировна nvoytenko@vipforum.ru</x:v>
      </x:c>
      <x:c r="C2932" t="e">
        <x:f>HYPERLINK("https://belberrycrm.bitrix24.ru/crm/deal/details/22374/","https://belberrycrm.bitrix24.ru/crm/deal/details/22374/")</x:f>
      </x:c>
      <x:c r="D2932" t="str">
        <x:v>Реанимация</x:v>
      </x:c>
      <x:c r="E2932" t="str">
        <x:v>ЛИДЫ: Отвалы</x:v>
      </x:c>
      <x:c r="F2932" t="str">
        <x:v>Евгения Гордиенко</x:v>
      </x:c>
      <x:c r="G2932" t="str">
        <x:v>нет</x:v>
      </x:c>
      <x:c r="H2932" t="str">
        <x:v>нет</x:v>
      </x:c>
    </x:row>
    <x:row r="2933">
      <x:c r="A2933" t="str">
        <x:v>22376</x:v>
      </x:c>
      <x:c r="B2933" t="str">
        <x:v>Email | hello@belberry.net от Максим Журавлев maksimzh04@gmail.com</x:v>
      </x:c>
      <x:c r="C2933" t="e">
        <x:f>HYPERLINK("https://belberrycrm.bitrix24.ru/crm/deal/details/22376/","https://belberrycrm.bitrix24.ru/crm/deal/details/22376/")</x:f>
      </x:c>
      <x:c r="D2933" t="str">
        <x:v>Реанимация</x:v>
      </x:c>
      <x:c r="E2933" t="str">
        <x:v>ЛИДЫ: Отвалы</x:v>
      </x:c>
      <x:c r="F2933" t="str">
        <x:v>Петр Дудин</x:v>
      </x:c>
      <x:c r="G2933" t="str">
        <x:v>нет</x:v>
      </x:c>
      <x:c r="H2933" t="str">
        <x:v>нет</x:v>
      </x:c>
    </x:row>
    <x:row r="2934">
      <x:c r="A2934" t="str">
        <x:v>22378</x:v>
      </x:c>
      <x:c r="B2934" t="str">
        <x:v>Email | hello@belberry.net от Val Fols tvoydoc@gmail.com</x:v>
      </x:c>
      <x:c r="C2934" t="e">
        <x:f>HYPERLINK("https://belberrycrm.bitrix24.ru/crm/deal/details/22378/","https://belberrycrm.bitrix24.ru/crm/deal/details/22378/")</x:f>
      </x:c>
      <x:c r="D2934" t="str">
        <x:v>Реанимация</x:v>
      </x:c>
      <x:c r="E2934" t="str">
        <x:v>ЛИДЫ: Отвалы</x:v>
      </x:c>
      <x:c r="F2934" t="str">
        <x:v>Анна Гудинова</x:v>
      </x:c>
      <x:c r="G2934" t="str">
        <x:v>нет</x:v>
      </x:c>
      <x:c r="H2934" t="str">
        <x:v>нет</x:v>
      </x:c>
    </x:row>
    <x:row r="2935">
      <x:c r="A2935" t="str">
        <x:v>22380</x:v>
      </x:c>
      <x:c r="B2935" t="str">
        <x:v>Заявка с сайта от Виктор 79035430029</x:v>
      </x:c>
      <x:c r="C2935" t="e">
        <x:f>HYPERLINK("https://belberrycrm.bitrix24.ru/crm/deal/details/22380/","https://belberrycrm.bitrix24.ru/crm/deal/details/22380/")</x:f>
      </x:c>
      <x:c r="D2935" t="str">
        <x:v>Реанимация</x:v>
      </x:c>
      <x:c r="E2935" t="str">
        <x:v>ЛИДЫ: Отвалы</x:v>
      </x:c>
      <x:c r="F2935" t="str">
        <x:v>Анна Гудинова</x:v>
      </x:c>
      <x:c r="G2935" t="str">
        <x:v>нет</x:v>
      </x:c>
      <x:c r="H2935" t="str">
        <x:v>нет</x:v>
      </x:c>
    </x:row>
    <x:row r="2936">
      <x:c r="A2936" t="str">
        <x:v>22382</x:v>
      </x:c>
      <x:c r="B2936" t="str">
        <x:v>Email | hello@belberry.net от Александр Емельяненко hello.alex.em@mail.ru</x:v>
      </x:c>
      <x:c r="C2936" t="e">
        <x:f>HYPERLINK("https://belberrycrm.bitrix24.ru/crm/deal/details/22382/","https://belberrycrm.bitrix24.ru/crm/deal/details/22382/")</x:f>
      </x:c>
      <x:c r="D2936" t="str">
        <x:v>Реанимация</x:v>
      </x:c>
      <x:c r="E2936" t="str">
        <x:v>ЛИДЫ: Отвалы</x:v>
      </x:c>
      <x:c r="F2936" t="str">
        <x:v>Анна Гудинова</x:v>
      </x:c>
      <x:c r="G2936" t="str">
        <x:v>нет</x:v>
      </x:c>
      <x:c r="H2936" t="str">
        <x:v>нет</x:v>
      </x:c>
    </x:row>
    <x:row r="2937">
      <x:c r="A2937" t="str">
        <x:v>22384</x:v>
      </x:c>
      <x:c r="B2937" t="str">
        <x:v>Email | hello@belberry.net от сергей фесенко fesenkofoto2@gmail.com</x:v>
      </x:c>
      <x:c r="C2937" t="e">
        <x:f>HYPERLINK("https://belberrycrm.bitrix24.ru/crm/deal/details/22384/","https://belberrycrm.bitrix24.ru/crm/deal/details/22384/")</x:f>
      </x:c>
      <x:c r="D2937" t="str">
        <x:v>Реанимация</x:v>
      </x:c>
      <x:c r="E2937" t="str">
        <x:v>ЛИДЫ: Отвалы</x:v>
      </x:c>
      <x:c r="F2937" t="str">
        <x:v>Петр Дудин</x:v>
      </x:c>
      <x:c r="G2937" t="str">
        <x:v>нет</x:v>
      </x:c>
      <x:c r="H2937" t="str">
        <x:v>нет</x:v>
      </x:c>
    </x:row>
    <x:row r="2938">
      <x:c r="A2938" t="str">
        <x:v>22386</x:v>
      </x:c>
      <x:c r="B2938" t="str">
        <x:v>Заявка с сайта от Ольга 79817098724</x:v>
      </x:c>
      <x:c r="C2938" t="e">
        <x:f>HYPERLINK("https://belberrycrm.bitrix24.ru/crm/deal/details/22386/","https://belberrycrm.bitrix24.ru/crm/deal/details/22386/")</x:f>
      </x:c>
      <x:c r="D2938" t="str">
        <x:v>Реанимация</x:v>
      </x:c>
      <x:c r="E2938" t="str">
        <x:v>ЛИДЫ: Отвалы</x:v>
      </x:c>
      <x:c r="F2938" t="str">
        <x:v>Екатерина Кохтачева</x:v>
      </x:c>
      <x:c r="G2938" t="str">
        <x:v>нет</x:v>
      </x:c>
      <x:c r="H2938" t="str">
        <x:v>нет</x:v>
      </x:c>
    </x:row>
    <x:row r="2939">
      <x:c r="A2939" t="str">
        <x:v>22388</x:v>
      </x:c>
      <x:c r="B2939" t="str">
        <x:v>Заявка с сайта от Оля 79046535924</x:v>
      </x:c>
      <x:c r="C2939" t="e">
        <x:f>HYPERLINK("https://belberrycrm.bitrix24.ru/crm/deal/details/22388/","https://belberrycrm.bitrix24.ru/crm/deal/details/22388/")</x:f>
      </x:c>
      <x:c r="D2939" t="str">
        <x:v>Реанимация</x:v>
      </x:c>
      <x:c r="E2939" t="str">
        <x:v>ЛИДЫ: Отвалы</x:v>
      </x:c>
      <x:c r="F2939" t="str">
        <x:v>Екатерина Кохтачева</x:v>
      </x:c>
      <x:c r="G2939" t="str">
        <x:v>нет</x:v>
      </x:c>
      <x:c r="H2939" t="str">
        <x:v>нет</x:v>
      </x:c>
    </x:row>
    <x:row r="2940">
      <x:c r="A2940" t="str">
        <x:v>22390</x:v>
      </x:c>
      <x:c r="B2940" t="str">
        <x:v>Звонок от 79362928044</x:v>
      </x:c>
      <x:c r="C2940" t="e">
        <x:f>HYPERLINK("https://belberrycrm.bitrix24.ru/crm/deal/details/22390/","https://belberrycrm.bitrix24.ru/crm/deal/details/22390/")</x:f>
      </x:c>
      <x:c r="D2940" t="str">
        <x:v>Реанимация</x:v>
      </x:c>
      <x:c r="E2940" t="str">
        <x:v>ЛИДЫ: Отвалы</x:v>
      </x:c>
      <x:c r="F2940" t="str">
        <x:v>Екатерина Кохтачева</x:v>
      </x:c>
      <x:c r="G2940" t="str">
        <x:v>нет</x:v>
      </x:c>
      <x:c r="H2940" t="str">
        <x:v>нет</x:v>
      </x:c>
    </x:row>
    <x:row r="2941">
      <x:c r="A2941" t="str">
        <x:v>22392</x:v>
      </x:c>
      <x:c r="B2941" t="str">
        <x:v>Email | hello@belberry.net от Александр Зотов hello@zotov-design.ru</x:v>
      </x:c>
      <x:c r="C2941" t="e">
        <x:f>HYPERLINK("https://belberrycrm.bitrix24.ru/crm/deal/details/22392/","https://belberrycrm.bitrix24.ru/crm/deal/details/22392/")</x:f>
      </x:c>
      <x:c r="D2941" t="str">
        <x:v>Реанимация</x:v>
      </x:c>
      <x:c r="E2941" t="str">
        <x:v>ЛИДЫ: Отвалы</x:v>
      </x:c>
      <x:c r="F2941" t="str">
        <x:v>Анна Гудинова</x:v>
      </x:c>
      <x:c r="G2941" t="str">
        <x:v>нет</x:v>
      </x:c>
      <x:c r="H2941" t="str">
        <x:v>нет</x:v>
      </x:c>
    </x:row>
    <x:row r="2942">
      <x:c r="A2942" t="str">
        <x:v>22394</x:v>
      </x:c>
      <x:c r="B2942" t="str">
        <x:v>Email | hello@belberry.net от Юрий yuriy@synapex.ai</x:v>
      </x:c>
      <x:c r="C2942" t="e">
        <x:f>HYPERLINK("https://belberrycrm.bitrix24.ru/crm/deal/details/22394/","https://belberrycrm.bitrix24.ru/crm/deal/details/22394/")</x:f>
      </x:c>
      <x:c r="D2942" t="str">
        <x:v>Реанимация</x:v>
      </x:c>
      <x:c r="E2942" t="str">
        <x:v>ЛИДЫ: Отвалы</x:v>
      </x:c>
      <x:c r="F2942" t="str">
        <x:v>Анна Гудинова</x:v>
      </x:c>
      <x:c r="G2942" t="str">
        <x:v>нет</x:v>
      </x:c>
      <x:c r="H2942" t="str">
        <x:v>нет</x:v>
      </x:c>
    </x:row>
    <x:row r="2943">
      <x:c r="A2943" t="str">
        <x:v>22396</x:v>
      </x:c>
      <x:c r="B2943" t="str">
        <x:v>Email | hello@belberry.net от Александр Зотов mail@zotov-design.ru</x:v>
      </x:c>
      <x:c r="C2943" t="e">
        <x:f>HYPERLINK("https://belberrycrm.bitrix24.ru/crm/deal/details/22396/","https://belberrycrm.bitrix24.ru/crm/deal/details/22396/")</x:f>
      </x:c>
      <x:c r="D2943" t="str">
        <x:v>Реанимация</x:v>
      </x:c>
      <x:c r="E2943" t="str">
        <x:v>ЛИДЫ: Отвалы</x:v>
      </x:c>
      <x:c r="F2943" t="str">
        <x:v>Петр Дудин</x:v>
      </x:c>
      <x:c r="G2943" t="str">
        <x:v>нет</x:v>
      </x:c>
      <x:c r="H2943" t="str">
        <x:v>нет</x:v>
      </x:c>
    </x:row>
    <x:row r="2944">
      <x:c r="A2944" t="str">
        <x:v>22398</x:v>
      </x:c>
      <x:c r="B2944" t="str">
        <x:v>Email | hello@belberry.net от Михаил Селезнёв - Коммерческое предложение seleznev.prod@mail.ru</x:v>
      </x:c>
      <x:c r="C2944" t="e">
        <x:f>HYPERLINK("https://belberrycrm.bitrix24.ru/crm/deal/details/22398/","https://belberrycrm.bitrix24.ru/crm/deal/details/22398/")</x:f>
      </x:c>
      <x:c r="D2944" t="str">
        <x:v>Реанимация</x:v>
      </x:c>
      <x:c r="E2944" t="str">
        <x:v>ЛИДЫ: Отвалы</x:v>
      </x:c>
      <x:c r="F2944" t="str">
        <x:v>Анна Гудинова</x:v>
      </x:c>
      <x:c r="G2944" t="str">
        <x:v>нет</x:v>
      </x:c>
      <x:c r="H2944" t="str">
        <x:v>нет</x:v>
      </x:c>
    </x:row>
    <x:row r="2945">
      <x:c r="A2945" t="str">
        <x:v>22400</x:v>
      </x:c>
      <x:c r="B2945" t="str">
        <x:v>Email | hello@belberry.net от Елизавета Томина llizzxx@yandex.ru</x:v>
      </x:c>
      <x:c r="C2945" t="e">
        <x:f>HYPERLINK("https://belberrycrm.bitrix24.ru/crm/deal/details/22400/","https://belberrycrm.bitrix24.ru/crm/deal/details/22400/")</x:f>
      </x:c>
      <x:c r="D2945" t="str">
        <x:v>Реанимация</x:v>
      </x:c>
      <x:c r="E2945" t="str">
        <x:v>ЛИДЫ: Отвалы</x:v>
      </x:c>
      <x:c r="F2945" t="str">
        <x:v>Петр Дудин</x:v>
      </x:c>
      <x:c r="G2945" t="str">
        <x:v>нет</x:v>
      </x:c>
      <x:c r="H2945" t="str">
        <x:v>нет</x:v>
      </x:c>
    </x:row>
    <x:row r="2946">
      <x:c r="A2946" t="str">
        <x:v>22402</x:v>
      </x:c>
      <x:c r="B2946" t="str">
        <x:v>Email | hello@belberry.net от Ксения taskxenia2025@gmail.com</x:v>
      </x:c>
      <x:c r="C2946" t="e">
        <x:f>HYPERLINK("https://belberrycrm.bitrix24.ru/crm/deal/details/22402/","https://belberrycrm.bitrix24.ru/crm/deal/details/22402/")</x:f>
      </x:c>
      <x:c r="D2946" t="str">
        <x:v>Реанимация</x:v>
      </x:c>
      <x:c r="E2946" t="str">
        <x:v>ЛИДЫ: Отвалы</x:v>
      </x:c>
      <x:c r="F2946" t="str">
        <x:v>Анна Гудинова</x:v>
      </x:c>
      <x:c r="G2946" t="str">
        <x:v>нет</x:v>
      </x:c>
      <x:c r="H2946" t="str">
        <x:v>нет</x:v>
      </x:c>
    </x:row>
    <x:row r="2947">
      <x:c r="A2947" t="str">
        <x:v>22406</x:v>
      </x:c>
      <x:c r="B2947" t="str">
        <x:v>Email | hello@belberry.net от Anastasia Podgornova anastasia-ap1@yandex-team.ru</x:v>
      </x:c>
      <x:c r="C2947" t="e">
        <x:f>HYPERLINK("https://belberrycrm.bitrix24.ru/crm/deal/details/22406/","https://belberrycrm.bitrix24.ru/crm/deal/details/22406/")</x:f>
      </x:c>
      <x:c r="D2947" t="str">
        <x:v>Реанимация</x:v>
      </x:c>
      <x:c r="E2947" t="str">
        <x:v>ЛИДЫ: Отвалы</x:v>
      </x:c>
      <x:c r="F2947" t="str">
        <x:v>Петр Дудин</x:v>
      </x:c>
      <x:c r="G2947" t="str">
        <x:v>нет</x:v>
      </x:c>
      <x:c r="H2947" t="str">
        <x:v>нет</x:v>
      </x:c>
    </x:row>
    <x:row r="2948">
      <x:c r="A2948" t="str">
        <x:v>22408</x:v>
      </x:c>
      <x:c r="B2948" t="str">
        <x:v>Email | hello@belberry.net от Антонова Светлана Геннадьевна sgantonova@mts.ru</x:v>
      </x:c>
      <x:c r="C2948" t="e">
        <x:f>HYPERLINK("https://belberrycrm.bitrix24.ru/crm/deal/details/22408/","https://belberrycrm.bitrix24.ru/crm/deal/details/22408/")</x:f>
      </x:c>
      <x:c r="D2948" t="str">
        <x:v>Реанимация</x:v>
      </x:c>
      <x:c r="E2948" t="str">
        <x:v>ЛИДЫ: Отвалы</x:v>
      </x:c>
      <x:c r="F2948" t="str">
        <x:v>Петр Дудин</x:v>
      </x:c>
      <x:c r="G2948" t="str">
        <x:v>нет</x:v>
      </x:c>
      <x:c r="H2948" t="str">
        <x:v>нет</x:v>
      </x:c>
    </x:row>
    <x:row r="2949">
      <x:c r="A2949" t="str">
        <x:v>22410</x:v>
      </x:c>
      <x:c r="B2949" t="str">
        <x:v>Email | hello@acoola.team от Козырев Дмитрий Александрович kozyrevda@culture.mos.ru</x:v>
      </x:c>
      <x:c r="C2949" t="e">
        <x:f>HYPERLINK("https://belberrycrm.bitrix24.ru/crm/deal/details/22410/","https://belberrycrm.bitrix24.ru/crm/deal/details/22410/")</x:f>
      </x:c>
      <x:c r="D2949" t="str">
        <x:v>Реанимация</x:v>
      </x:c>
      <x:c r="E2949" t="str">
        <x:v>ЛИДЫ: Отвалы</x:v>
      </x:c>
      <x:c r="F2949" t="str">
        <x:v>Екатерина Кохтачева</x:v>
      </x:c>
      <x:c r="G2949" t="str">
        <x:v>нет</x:v>
      </x:c>
      <x:c r="H2949" t="str">
        <x:v>нет</x:v>
      </x:c>
    </x:row>
    <x:row r="2950">
      <x:c r="A2950" t="str">
        <x:v>22412</x:v>
      </x:c>
      <x:c r="B2950" t="str">
        <x:v>Заявка с сайта от Антон 79254676542</x:v>
      </x:c>
      <x:c r="C2950" t="e">
        <x:f>HYPERLINK("https://belberrycrm.bitrix24.ru/crm/deal/details/22412/","https://belberrycrm.bitrix24.ru/crm/deal/details/22412/")</x:f>
      </x:c>
      <x:c r="D2950" t="str">
        <x:v>Реанимация</x:v>
      </x:c>
      <x:c r="E2950" t="str">
        <x:v>ЛИДЫ: Отвалы</x:v>
      </x:c>
      <x:c r="F2950" t="str">
        <x:v>Петр Дудин</x:v>
      </x:c>
      <x:c r="G2950" t="str">
        <x:v>нет</x:v>
      </x:c>
      <x:c r="H2950" t="str">
        <x:v>нет</x:v>
      </x:c>
    </x:row>
    <x:row r="2951">
      <x:c r="A2951" t="str">
        <x:v>22414</x:v>
      </x:c>
      <x:c r="B2951" t="str">
        <x:v>Email | hello@acoola.team от Людмила Перфильева it.mila-perfuleva@mail.ru</x:v>
      </x:c>
      <x:c r="C2951" t="e">
        <x:f>HYPERLINK("https://belberrycrm.bitrix24.ru/crm/deal/details/22414/","https://belberrycrm.bitrix24.ru/crm/deal/details/22414/")</x:f>
      </x:c>
      <x:c r="D2951" t="str">
        <x:v>Реанимация</x:v>
      </x:c>
      <x:c r="E2951" t="str">
        <x:v>ЛИДЫ: Отвалы</x:v>
      </x:c>
      <x:c r="F2951" t="str">
        <x:v>Евгения Гордиенко</x:v>
      </x:c>
      <x:c r="G2951" t="str">
        <x:v>нет</x:v>
      </x:c>
      <x:c r="H2951" t="str">
        <x:v>нет</x:v>
      </x:c>
    </x:row>
    <x:row r="2952">
      <x:c r="A2952" t="str">
        <x:v>22416</x:v>
      </x:c>
      <x:c r="B2952" t="str">
        <x:v>Email | hello@belberry.net от Екатерина Мигурская ekaterina.migurskaya@gmail.com</x:v>
      </x:c>
      <x:c r="C2952" t="e">
        <x:f>HYPERLINK("https://belberrycrm.bitrix24.ru/crm/deal/details/22416/","https://belberrycrm.bitrix24.ru/crm/deal/details/22416/")</x:f>
      </x:c>
      <x:c r="D2952" t="str">
        <x:v>Реанимация</x:v>
      </x:c>
      <x:c r="E2952" t="str">
        <x:v>ЛИДЫ: Отвалы</x:v>
      </x:c>
      <x:c r="F2952" t="str">
        <x:v>Петр Дудин</x:v>
      </x:c>
      <x:c r="G2952" t="str">
        <x:v>нет</x:v>
      </x:c>
      <x:c r="H2952" t="str">
        <x:v>нет</x:v>
      </x:c>
    </x:row>
    <x:row r="2953">
      <x:c r="A2953" t="str">
        <x:v>22418</x:v>
      </x:c>
      <x:c r="B2953" t="str">
        <x:v>Заявка с сайта от Екатерина 79953904054</x:v>
      </x:c>
      <x:c r="C2953" t="e">
        <x:f>HYPERLINK("https://belberrycrm.bitrix24.ru/crm/deal/details/22418/","https://belberrycrm.bitrix24.ru/crm/deal/details/22418/")</x:f>
      </x:c>
      <x:c r="D2953" t="str">
        <x:v>Реанимация</x:v>
      </x:c>
      <x:c r="E2953" t="str">
        <x:v>ЛИДЫ: Отвалы</x:v>
      </x:c>
      <x:c r="F2953" t="str">
        <x:v>Петр Дудин</x:v>
      </x:c>
      <x:c r="G2953" t="str">
        <x:v>нет</x:v>
      </x:c>
      <x:c r="H2953" t="str">
        <x:v>нет</x:v>
      </x:c>
    </x:row>
    <x:row r="2954">
      <x:c r="A2954" t="str">
        <x:v>22420</x:v>
      </x:c>
      <x:c r="B2954" t="str">
        <x:v>Заявка с сайта от LKNJI 71355444848</x:v>
      </x:c>
      <x:c r="C2954" t="e">
        <x:f>HYPERLINK("https://belberrycrm.bitrix24.ru/crm/deal/details/22420/","https://belberrycrm.bitrix24.ru/crm/deal/details/22420/")</x:f>
      </x:c>
      <x:c r="D2954" t="str">
        <x:v>Реанимация</x:v>
      </x:c>
      <x:c r="E2954" t="str">
        <x:v>ЛИДЫ: Отвалы</x:v>
      </x:c>
      <x:c r="F2954" t="str">
        <x:v>Евгения Гордиенко</x:v>
      </x:c>
      <x:c r="G2954" t="str">
        <x:v>нет</x:v>
      </x:c>
      <x:c r="H2954" t="str">
        <x:v>нет</x:v>
      </x:c>
    </x:row>
    <x:row r="2955">
      <x:c r="A2955" t="str">
        <x:v>22422</x:v>
      </x:c>
      <x:c r="B2955" t="str">
        <x:v>Заявка с сайта от антонина 79225363938</x:v>
      </x:c>
      <x:c r="C2955" t="e">
        <x:f>HYPERLINK("https://belberrycrm.bitrix24.ru/crm/deal/details/22422/","https://belberrycrm.bitrix24.ru/crm/deal/details/22422/")</x:f>
      </x:c>
      <x:c r="D2955" t="str">
        <x:v>Реанимация</x:v>
      </x:c>
      <x:c r="E2955" t="str">
        <x:v>ЛИДЫ: Отвалы</x:v>
      </x:c>
      <x:c r="F2955" t="str">
        <x:v>Евгения Гордиенко</x:v>
      </x:c>
      <x:c r="G2955" t="str">
        <x:v>нет</x:v>
      </x:c>
      <x:c r="H2955" t="str">
        <x:v>нет</x:v>
      </x:c>
    </x:row>
    <x:row r="2956">
      <x:c r="A2956" t="str">
        <x:v>22424</x:v>
      </x:c>
      <x:c r="B2956" t="str">
        <x:v>Email | hello@belberry.net от Юлиана Эрзерумцева video@cineline.club</x:v>
      </x:c>
      <x:c r="C2956" t="e">
        <x:f>HYPERLINK("https://belberrycrm.bitrix24.ru/crm/deal/details/22424/","https://belberrycrm.bitrix24.ru/crm/deal/details/22424/")</x:f>
      </x:c>
      <x:c r="D2956" t="str">
        <x:v>Реанимация</x:v>
      </x:c>
      <x:c r="E2956" t="str">
        <x:v>ЛИДЫ: Отвалы</x:v>
      </x:c>
      <x:c r="F2956" t="str">
        <x:v>Петр Дудин</x:v>
      </x:c>
      <x:c r="G2956" t="str">
        <x:v>нет</x:v>
      </x:c>
      <x:c r="H2956" t="str">
        <x:v>нет</x:v>
      </x:c>
    </x:row>
    <x:row r="2957">
      <x:c r="A2957" t="str">
        <x:v>22426</x:v>
      </x:c>
      <x:c r="B2957" t="str">
        <x:v>Email | hello@belberry.net от Дарья Максимова maximova1606@gmail.com</x:v>
      </x:c>
      <x:c r="C2957" t="e">
        <x:f>HYPERLINK("https://belberrycrm.bitrix24.ru/crm/deal/details/22426/","https://belberrycrm.bitrix24.ru/crm/deal/details/22426/")</x:f>
      </x:c>
      <x:c r="D2957" t="str">
        <x:v>Реанимация</x:v>
      </x:c>
      <x:c r="E2957" t="str">
        <x:v>ЛИДЫ: Отвалы</x:v>
      </x:c>
      <x:c r="F2957" t="str">
        <x:v>Петр Дудин</x:v>
      </x:c>
      <x:c r="G2957" t="str">
        <x:v>нет</x:v>
      </x:c>
      <x:c r="H2957" t="str">
        <x:v>нет</x:v>
      </x:c>
    </x:row>
    <x:row r="2958">
      <x:c r="A2958" t="str">
        <x:v>22428</x:v>
      </x:c>
      <x:c r="B2958" t="str">
        <x:v>Email | hello@belberry.net от Anastasia Kostomakha anastasia.kostomakha@mail.ru</x:v>
      </x:c>
      <x:c r="C2958" t="e">
        <x:f>HYPERLINK("https://belberrycrm.bitrix24.ru/crm/deal/details/22428/","https://belberrycrm.bitrix24.ru/crm/deal/details/22428/")</x:f>
      </x:c>
      <x:c r="D2958" t="str">
        <x:v>Реанимация</x:v>
      </x:c>
      <x:c r="E2958" t="str">
        <x:v>ЛИДЫ: Отвалы</x:v>
      </x:c>
      <x:c r="F2958" t="str">
        <x:v>Анна Гудинова</x:v>
      </x:c>
      <x:c r="G2958" t="str">
        <x:v>нет</x:v>
      </x:c>
      <x:c r="H2958" t="str">
        <x:v>нет</x:v>
      </x:c>
    </x:row>
    <x:row r="2959">
      <x:c r="A2959" t="str">
        <x:v>22432</x:v>
      </x:c>
      <x:c r="B2959" t="str">
        <x:v>Email | hello@acoola.team от Сахапов Ильдар sahapov@tpcorp.ru</x:v>
      </x:c>
      <x:c r="C2959" t="e">
        <x:f>HYPERLINK("https://belberrycrm.bitrix24.ru/crm/deal/details/22432/","https://belberrycrm.bitrix24.ru/crm/deal/details/22432/")</x:f>
      </x:c>
      <x:c r="D2959" t="str">
        <x:v>Реанимация</x:v>
      </x:c>
      <x:c r="E2959" t="str">
        <x:v>ЛИДЫ: Отвалы</x:v>
      </x:c>
      <x:c r="F2959" t="str">
        <x:v>Екатерина Кохтачева</x:v>
      </x:c>
      <x:c r="G2959" t="str">
        <x:v>нет</x:v>
      </x:c>
      <x:c r="H2959" t="str">
        <x:v>нет</x:v>
      </x:c>
    </x:row>
    <x:row r="2960">
      <x:c r="A2960" t="str">
        <x:v>22434</x:v>
      </x:c>
      <x:c r="B2960" t="str">
        <x:v>Email | hello@acoola.team от менеджер  FORMATE manager@studioformate.com</x:v>
      </x:c>
      <x:c r="C2960" t="e">
        <x:f>HYPERLINK("https://belberrycrm.bitrix24.ru/crm/deal/details/22434/","https://belberrycrm.bitrix24.ru/crm/deal/details/22434/")</x:f>
      </x:c>
      <x:c r="D2960" t="str">
        <x:v>Реанимация</x:v>
      </x:c>
      <x:c r="E2960" t="str">
        <x:v>ЛИДЫ: Отвалы</x:v>
      </x:c>
      <x:c r="F2960" t="str">
        <x:v>Евгения Гордиенко</x:v>
      </x:c>
      <x:c r="G2960" t="str">
        <x:v>нет</x:v>
      </x:c>
      <x:c r="H2960" t="str">
        <x:v>нет</x:v>
      </x:c>
    </x:row>
    <x:row r="2961">
      <x:c r="A2961" t="str">
        <x:v>22436</x:v>
      </x:c>
      <x:c r="B2961" t="str">
        <x:v>Email | hello@belberry.net от Алексей Давыдов aleksei@synapex.ai</x:v>
      </x:c>
      <x:c r="C2961" t="e">
        <x:f>HYPERLINK("https://belberrycrm.bitrix24.ru/crm/deal/details/22436/","https://belberrycrm.bitrix24.ru/crm/deal/details/22436/")</x:f>
      </x:c>
      <x:c r="D2961" t="str">
        <x:v>Реанимация</x:v>
      </x:c>
      <x:c r="E2961" t="str">
        <x:v>ЛИДЫ: Отвалы</x:v>
      </x:c>
      <x:c r="F2961" t="str">
        <x:v>Анна Гудинова</x:v>
      </x:c>
      <x:c r="G2961" t="str">
        <x:v>нет</x:v>
      </x:c>
      <x:c r="H2961" t="str">
        <x:v>нет</x:v>
      </x:c>
    </x:row>
    <x:row r="2962">
      <x:c r="A2962" t="str">
        <x:v>22438</x:v>
      </x:c>
      <x:c r="B2962" t="str">
        <x:v>Email | hello@acoola.team от Елена Тельминова telminova@patentural.ru</x:v>
      </x:c>
      <x:c r="C2962" t="e">
        <x:f>HYPERLINK("https://belberrycrm.bitrix24.ru/crm/deal/details/22438/","https://belberrycrm.bitrix24.ru/crm/deal/details/22438/")</x:f>
      </x:c>
      <x:c r="D2962" t="str">
        <x:v>Реанимация</x:v>
      </x:c>
      <x:c r="E2962" t="str">
        <x:v>ЛИДЫ: Отвалы</x:v>
      </x:c>
      <x:c r="F2962" t="str">
        <x:v>Екатерина Кохтачева</x:v>
      </x:c>
      <x:c r="G2962" t="str">
        <x:v>нет</x:v>
      </x:c>
      <x:c r="H2962" t="str">
        <x:v>нет</x:v>
      </x:c>
    </x:row>
    <x:row r="2963">
      <x:c r="A2963" t="str">
        <x:v>22440</x:v>
      </x:c>
      <x:c r="B2963" t="str">
        <x:v>Email | hello@belberry.net от Ольга Наместникова olga.nam.pro@mail.ru</x:v>
      </x:c>
      <x:c r="C2963" t="e">
        <x:f>HYPERLINK("https://belberrycrm.bitrix24.ru/crm/deal/details/22440/","https://belberrycrm.bitrix24.ru/crm/deal/details/22440/")</x:f>
      </x:c>
      <x:c r="D2963" t="str">
        <x:v>Реанимация</x:v>
      </x:c>
      <x:c r="E2963" t="str">
        <x:v>ЛИДЫ: Отвалы</x:v>
      </x:c>
      <x:c r="F2963" t="str">
        <x:v>Петр Дудин</x:v>
      </x:c>
      <x:c r="G2963" t="str">
        <x:v>нет</x:v>
      </x:c>
      <x:c r="H2963" t="str">
        <x:v>нет</x:v>
      </x:c>
    </x:row>
    <x:row r="2964">
      <x:c r="A2964" t="str">
        <x:v>22442</x:v>
      </x:c>
      <x:c r="B2964" t="str">
        <x:v>Email | hello@belberry.net от . МосТабак franchising@mostabak.su</x:v>
      </x:c>
      <x:c r="C2964" t="e">
        <x:f>HYPERLINK("https://belberrycrm.bitrix24.ru/crm/deal/details/22442/","https://belberrycrm.bitrix24.ru/crm/deal/details/22442/")</x:f>
      </x:c>
      <x:c r="D2964" t="str">
        <x:v>Реанимация</x:v>
      </x:c>
      <x:c r="E2964" t="str">
        <x:v>ЛИДЫ: Отвалы</x:v>
      </x:c>
      <x:c r="F2964" t="str">
        <x:v>Анна Гудинова</x:v>
      </x:c>
      <x:c r="G2964" t="str">
        <x:v>нет</x:v>
      </x:c>
      <x:c r="H2964" t="str">
        <x:v>нет</x:v>
      </x:c>
    </x:row>
    <x:row r="2965">
      <x:c r="A2965" t="str">
        <x:v>22444</x:v>
      </x:c>
      <x:c r="B2965" t="str">
        <x:v>Богдан</x:v>
      </x:c>
      <x:c r="C2965" t="e">
        <x:f>HYPERLINK("https://belberrycrm.bitrix24.ru/crm/deal/details/22444/","https://belberrycrm.bitrix24.ru/crm/deal/details/22444/")</x:f>
      </x:c>
      <x:c r="D2965" t="str">
        <x:v>Реанимация</x:v>
      </x:c>
      <x:c r="E2965" t="str">
        <x:v>ЛИДЫ: Отвалы</x:v>
      </x:c>
      <x:c r="F2965" t="str">
        <x:v>Павел Фролов</x:v>
      </x:c>
      <x:c r="G2965" t="str">
        <x:v>нет</x:v>
      </x:c>
      <x:c r="H2965" t="str">
        <x:v>нет</x:v>
      </x:c>
    </x:row>
    <x:row r="2966">
      <x:c r="A2966" t="str">
        <x:v>22446</x:v>
      </x:c>
      <x:c r="B2966" t="str">
        <x:v>Звонок от 79014175276</x:v>
      </x:c>
      <x:c r="C2966" t="e">
        <x:f>HYPERLINK("https://belberrycrm.bitrix24.ru/crm/deal/details/22446/","https://belberrycrm.bitrix24.ru/crm/deal/details/22446/")</x:f>
      </x:c>
      <x:c r="D2966" t="str">
        <x:v>Реанимация</x:v>
      </x:c>
      <x:c r="E2966" t="str">
        <x:v>ЛИДЫ: Отвалы</x:v>
      </x:c>
      <x:c r="F2966" t="str">
        <x:v>Евгения Гордиенко</x:v>
      </x:c>
      <x:c r="G2966" t="str">
        <x:v>нет</x:v>
      </x:c>
      <x:c r="H2966" t="str">
        <x:v>нет</x:v>
      </x:c>
    </x:row>
    <x:row r="2967">
      <x:c r="A2967" t="str">
        <x:v>22448</x:v>
      </x:c>
      <x:c r="B2967" t="str">
        <x:v>Денис</x:v>
      </x:c>
      <x:c r="C2967" t="e">
        <x:f>HYPERLINK("https://belberrycrm.bitrix24.ru/crm/deal/details/22448/","https://belberrycrm.bitrix24.ru/crm/deal/details/22448/")</x:f>
      </x:c>
      <x:c r="D2967" t="str">
        <x:v>Реанимация</x:v>
      </x:c>
      <x:c r="E2967" t="str">
        <x:v>ЛИДЫ: Отвалы</x:v>
      </x:c>
      <x:c r="F2967" t="str">
        <x:v>Павел Фролов</x:v>
      </x:c>
      <x:c r="G2967" t="str">
        <x:v>нет</x:v>
      </x:c>
      <x:c r="H2967" t="str">
        <x:v>нет</x:v>
      </x:c>
    </x:row>
    <x:row r="2968">
      <x:c r="A2968" t="str">
        <x:v>22450</x:v>
      </x:c>
      <x:c r="B2968" t="str">
        <x:v>7 905 257-13-60 - Входящий звонок</x:v>
      </x:c>
      <x:c r="C2968" t="e">
        <x:f>HYPERLINK("https://belberrycrm.bitrix24.ru/crm/deal/details/22450/","https://belberrycrm.bitrix24.ru/crm/deal/details/22450/")</x:f>
      </x:c>
      <x:c r="D2968" t="str">
        <x:v>Реанимация</x:v>
      </x:c>
      <x:c r="E2968" t="str">
        <x:v>ЛИДЫ: Отвалы</x:v>
      </x:c>
      <x:c r="F2968" t="str">
        <x:v>Анна Гудинова</x:v>
      </x:c>
      <x:c r="G2968" t="str">
        <x:v>нет</x:v>
      </x:c>
      <x:c r="H2968" t="str">
        <x:v>нет</x:v>
      </x:c>
    </x:row>
    <x:row r="2969">
      <x:c r="A2969" t="str">
        <x:v>22452</x:v>
      </x:c>
      <x:c r="B2969" t="str">
        <x:v>Email | hello@acoola.team от businessotvet.ru hello@businessotvet.ru</x:v>
      </x:c>
      <x:c r="C2969" t="e">
        <x:f>HYPERLINK("https://belberrycrm.bitrix24.ru/crm/deal/details/22452/","https://belberrycrm.bitrix24.ru/crm/deal/details/22452/")</x:f>
      </x:c>
      <x:c r="D2969" t="str">
        <x:v>Реанимация</x:v>
      </x:c>
      <x:c r="E2969" t="str">
        <x:v>ЛИДЫ: Отвалы</x:v>
      </x:c>
      <x:c r="F2969" t="str">
        <x:v>Екатерина Кохтачева</x:v>
      </x:c>
      <x:c r="G2969" t="str">
        <x:v>нет</x:v>
      </x:c>
      <x:c r="H2969" t="str">
        <x:v>нет</x:v>
      </x:c>
    </x:row>
    <x:row r="2970">
      <x:c r="A2970" t="str">
        <x:v>22454</x:v>
      </x:c>
      <x:c r="B2970" t="str">
        <x:v>Звонок от 79110052505</x:v>
      </x:c>
      <x:c r="C2970" t="e">
        <x:f>HYPERLINK("https://belberrycrm.bitrix24.ru/crm/deal/details/22454/","https://belberrycrm.bitrix24.ru/crm/deal/details/22454/")</x:f>
      </x:c>
      <x:c r="D2970" t="str">
        <x:v>Реанимация</x:v>
      </x:c>
      <x:c r="E2970" t="str">
        <x:v>ЛИДЫ: Отвалы</x:v>
      </x:c>
      <x:c r="F2970" t="str">
        <x:v>Екатерина Кохтачева</x:v>
      </x:c>
      <x:c r="G2970" t="str">
        <x:v>нет</x:v>
      </x:c>
      <x:c r="H2970" t="str">
        <x:v>нет</x:v>
      </x:c>
    </x:row>
    <x:row r="2971">
      <x:c r="A2971" t="str">
        <x:v>22456</x:v>
      </x:c>
      <x:c r="B2971" t="str">
        <x:v>Мария</x:v>
      </x:c>
      <x:c r="C2971" t="e">
        <x:f>HYPERLINK("https://belberrycrm.bitrix24.ru/crm/deal/details/22456/","https://belberrycrm.bitrix24.ru/crm/deal/details/22456/")</x:f>
      </x:c>
      <x:c r="D2971" t="str">
        <x:v>Реанимация</x:v>
      </x:c>
      <x:c r="E2971" t="str">
        <x:v>ЛИДЫ: Отвалы</x:v>
      </x:c>
      <x:c r="F2971" t="str">
        <x:v>Павел Фролов</x:v>
      </x:c>
      <x:c r="G2971" t="str">
        <x:v>нет</x:v>
      </x:c>
      <x:c r="H2971" t="str">
        <x:v>нет</x:v>
      </x:c>
    </x:row>
    <x:row r="2972">
      <x:c r="A2972" t="str">
        <x:v>22458</x:v>
      </x:c>
      <x:c r="B2972" t="str">
        <x:v>7 966 076-83-78 - Входящий звонок</x:v>
      </x:c>
      <x:c r="C2972" t="e">
        <x:f>HYPERLINK("https://belberrycrm.bitrix24.ru/crm/deal/details/22458/","https://belberrycrm.bitrix24.ru/crm/deal/details/22458/")</x:f>
      </x:c>
      <x:c r="D2972" t="str">
        <x:v>Реанимация</x:v>
      </x:c>
      <x:c r="E2972" t="str">
        <x:v>ЛИДЫ: Отвалы</x:v>
      </x:c>
      <x:c r="F2972" t="str">
        <x:v>Екатерина Кохтачева</x:v>
      </x:c>
      <x:c r="G2972" t="str">
        <x:v>нет</x:v>
      </x:c>
      <x:c r="H2972" t="str">
        <x:v>нет</x:v>
      </x:c>
    </x:row>
    <x:row r="2973">
      <x:c r="A2973" t="str">
        <x:v>22460</x:v>
      </x:c>
      <x:c r="B2973" t="str">
        <x:v>Звонок от 79773704246</x:v>
      </x:c>
      <x:c r="C2973" t="e">
        <x:f>HYPERLINK("https://belberrycrm.bitrix24.ru/crm/deal/details/22460/","https://belberrycrm.bitrix24.ru/crm/deal/details/22460/")</x:f>
      </x:c>
      <x:c r="D2973" t="str">
        <x:v>Реанимация</x:v>
      </x:c>
      <x:c r="E2973" t="str">
        <x:v>ЛИДЫ: Отвалы</x:v>
      </x:c>
      <x:c r="F2973" t="str">
        <x:v>Евгения Гордиенко</x:v>
      </x:c>
      <x:c r="G2973" t="str">
        <x:v>нет</x:v>
      </x:c>
      <x:c r="H2973" t="str">
        <x:v>нет</x:v>
      </x:c>
    </x:row>
    <x:row r="2974">
      <x:c r="A2974" t="str">
        <x:v>22462</x:v>
      </x:c>
      <x:c r="B2974" t="str">
        <x:v>Email | hello@acoola.team от Алексей Митрофанов a.mitrofanov@mtg-biz.ru</x:v>
      </x:c>
      <x:c r="C2974" t="e">
        <x:f>HYPERLINK("https://belberrycrm.bitrix24.ru/crm/deal/details/22462/","https://belberrycrm.bitrix24.ru/crm/deal/details/22462/")</x:f>
      </x:c>
      <x:c r="D2974" t="str">
        <x:v>Реанимация</x:v>
      </x:c>
      <x:c r="E2974" t="str">
        <x:v>ЛИДЫ: Отвалы</x:v>
      </x:c>
      <x:c r="F2974" t="str">
        <x:v>Екатерина Кохтачева</x:v>
      </x:c>
      <x:c r="G2974" t="str">
        <x:v>нет</x:v>
      </x:c>
      <x:c r="H2974" t="str">
        <x:v>нет</x:v>
      </x:c>
    </x:row>
    <x:row r="2975">
      <x:c r="A2975" t="str">
        <x:v>22464</x:v>
      </x:c>
      <x:c r="B2975" t="str">
        <x:v>7 495 139-39-20 - Входящий звонок</x:v>
      </x:c>
      <x:c r="C2975" t="e">
        <x:f>HYPERLINK("https://belberrycrm.bitrix24.ru/crm/deal/details/22464/","https://belberrycrm.bitrix24.ru/crm/deal/details/22464/")</x:f>
      </x:c>
      <x:c r="D2975" t="str">
        <x:v>Реанимация</x:v>
      </x:c>
      <x:c r="E2975" t="str">
        <x:v>ЛИДЫ: Отвалы</x:v>
      </x:c>
      <x:c r="F2975" t="str">
        <x:v>Анна Гудинова</x:v>
      </x:c>
      <x:c r="G2975" t="str">
        <x:v>нет</x:v>
      </x:c>
      <x:c r="H2975" t="str">
        <x:v>нет</x:v>
      </x:c>
    </x:row>
    <x:row r="2976">
      <x:c r="A2976" t="str">
        <x:v>22466</x:v>
      </x:c>
      <x:c r="B2976" t="str">
        <x:v>Email | hello@belberry.net от Захар Макарчук zak-mk@bk.ru</x:v>
      </x:c>
      <x:c r="C2976" t="e">
        <x:f>HYPERLINK("https://belberrycrm.bitrix24.ru/crm/deal/details/22466/","https://belberrycrm.bitrix24.ru/crm/deal/details/22466/")</x:f>
      </x:c>
      <x:c r="D2976" t="str">
        <x:v>Реанимация</x:v>
      </x:c>
      <x:c r="E2976" t="str">
        <x:v>ЛИДЫ: Отвалы</x:v>
      </x:c>
      <x:c r="F2976" t="str">
        <x:v>Петр Дудин</x:v>
      </x:c>
      <x:c r="G2976" t="str">
        <x:v>нет</x:v>
      </x:c>
      <x:c r="H2976" t="str">
        <x:v>нет</x:v>
      </x:c>
    </x:row>
    <x:row r="2977">
      <x:c r="A2977" t="str">
        <x:v>22468</x:v>
      </x:c>
      <x:c r="B2977" t="str">
        <x:v>7 495 842-07-50 - Входящий звонок</x:v>
      </x:c>
      <x:c r="C2977" t="e">
        <x:f>HYPERLINK("https://belberrycrm.bitrix24.ru/crm/deal/details/22468/","https://belberrycrm.bitrix24.ru/crm/deal/details/22468/")</x:f>
      </x:c>
      <x:c r="D2977" t="str">
        <x:v>Реанимация</x:v>
      </x:c>
      <x:c r="E2977" t="str">
        <x:v>ЛИДЫ: Отвалы</x:v>
      </x:c>
      <x:c r="F2977" t="str">
        <x:v>Анна Гудинова</x:v>
      </x:c>
      <x:c r="G2977" t="str">
        <x:v>нет</x:v>
      </x:c>
      <x:c r="H2977" t="str">
        <x:v>нет</x:v>
      </x:c>
    </x:row>
    <x:row r="2978">
      <x:c r="A2978" t="str">
        <x:v>22470</x:v>
      </x:c>
      <x:c r="B2978" t="str">
        <x:v>7 962 704-33-26 - Входящий звонок</x:v>
      </x:c>
      <x:c r="C2978" t="e">
        <x:f>HYPERLINK("https://belberrycrm.bitrix24.ru/crm/deal/details/22470/","https://belberrycrm.bitrix24.ru/crm/deal/details/22470/")</x:f>
      </x:c>
      <x:c r="D2978" t="str">
        <x:v>Реанимация</x:v>
      </x:c>
      <x:c r="E2978" t="str">
        <x:v>ЛИДЫ: Отвалы</x:v>
      </x:c>
      <x:c r="F2978" t="str">
        <x:v>Анна Гудинова</x:v>
      </x:c>
      <x:c r="G2978" t="str">
        <x:v>нет</x:v>
      </x:c>
      <x:c r="H2978" t="str">
        <x:v>нет</x:v>
      </x:c>
    </x:row>
    <x:row r="2979">
      <x:c r="A2979" t="str">
        <x:v>22472</x:v>
      </x:c>
      <x:c r="B2979" t="str">
        <x:v>7 931 178-35-08 - Входящий звонок</x:v>
      </x:c>
      <x:c r="C2979" t="e">
        <x:f>HYPERLINK("https://belberrycrm.bitrix24.ru/crm/deal/details/22472/","https://belberrycrm.bitrix24.ru/crm/deal/details/22472/")</x:f>
      </x:c>
      <x:c r="D2979" t="str">
        <x:v>Реанимация</x:v>
      </x:c>
      <x:c r="E2979" t="str">
        <x:v>ЛИДЫ: Отвалы</x:v>
      </x:c>
      <x:c r="F2979" t="str">
        <x:v>Анна Гудинова</x:v>
      </x:c>
      <x:c r="G2979" t="str">
        <x:v>нет</x:v>
      </x:c>
      <x:c r="H2979" t="str">
        <x:v>нет</x:v>
      </x:c>
    </x:row>
    <x:row r="2980">
      <x:c r="A2980" t="str">
        <x:v>22474</x:v>
      </x:c>
      <x:c r="B2980" t="str">
        <x:v>7 964 504-11-27 - Входящий звонок</x:v>
      </x:c>
      <x:c r="C2980" t="e">
        <x:f>HYPERLINK("https://belberrycrm.bitrix24.ru/crm/deal/details/22474/","https://belberrycrm.bitrix24.ru/crm/deal/details/22474/")</x:f>
      </x:c>
      <x:c r="D2980" t="str">
        <x:v>Реанимация</x:v>
      </x:c>
      <x:c r="E2980" t="str">
        <x:v>ЛИДЫ: Отвалы</x:v>
      </x:c>
      <x:c r="F2980" t="str">
        <x:v>Анна Гудинова</x:v>
      </x:c>
      <x:c r="G2980" t="str">
        <x:v>нет</x:v>
      </x:c>
      <x:c r="H2980" t="str">
        <x:v>нет</x:v>
      </x:c>
    </x:row>
    <x:row r="2981">
      <x:c r="A2981" t="str">
        <x:v>22476</x:v>
      </x:c>
      <x:c r="B2981" t="str">
        <x:v>7 963 654-22-70 - Входящий звонок</x:v>
      </x:c>
      <x:c r="C2981" t="e">
        <x:f>HYPERLINK("https://belberrycrm.bitrix24.ru/crm/deal/details/22476/","https://belberrycrm.bitrix24.ru/crm/deal/details/22476/")</x:f>
      </x:c>
      <x:c r="D2981" t="str">
        <x:v>Реанимация</x:v>
      </x:c>
      <x:c r="E2981" t="str">
        <x:v>ЛИДЫ: Отвалы</x:v>
      </x:c>
      <x:c r="F2981" t="str">
        <x:v>Анна Гудинова</x:v>
      </x:c>
      <x:c r="G2981" t="str">
        <x:v>нет</x:v>
      </x:c>
      <x:c r="H2981" t="str">
        <x:v>нет</x:v>
      </x:c>
    </x:row>
    <x:row r="2982">
      <x:c r="A2982" t="str">
        <x:v>22478</x:v>
      </x:c>
      <x:c r="B2982" t="str">
        <x:v>Email | hello@acoola.team от Михаил Фролов mikhail.m.frolov@gmail.com</x:v>
      </x:c>
      <x:c r="C2982" t="e">
        <x:f>HYPERLINK("https://belberrycrm.bitrix24.ru/crm/deal/details/22478/","https://belberrycrm.bitrix24.ru/crm/deal/details/22478/")</x:f>
      </x:c>
      <x:c r="D2982" t="str">
        <x:v>Реанимация</x:v>
      </x:c>
      <x:c r="E2982" t="str">
        <x:v>ЛИДЫ: Отвалы</x:v>
      </x:c>
      <x:c r="F2982" t="str">
        <x:v>Екатерина Кохтачева</x:v>
      </x:c>
      <x:c r="G2982" t="str">
        <x:v>нет</x:v>
      </x:c>
      <x:c r="H2982" t="str">
        <x:v>нет</x:v>
      </x:c>
    </x:row>
    <x:row r="2983">
      <x:c r="A2983" t="str">
        <x:v>22480</x:v>
      </x:c>
      <x:c r="B2983" t="str">
        <x:v>Андрей</x:v>
      </x:c>
      <x:c r="C2983" t="e">
        <x:f>HYPERLINK("https://belberrycrm.bitrix24.ru/crm/deal/details/22480/","https://belberrycrm.bitrix24.ru/crm/deal/details/22480/")</x:f>
      </x:c>
      <x:c r="D2983" t="str">
        <x:v>Реанимация</x:v>
      </x:c>
      <x:c r="E2983" t="str">
        <x:v>ЛИДЫ: Отвалы</x:v>
      </x:c>
      <x:c r="F2983" t="str">
        <x:v>Павел Фролов</x:v>
      </x:c>
      <x:c r="G2983" t="str">
        <x:v>нет</x:v>
      </x:c>
      <x:c r="H2983" t="str">
        <x:v>нет</x:v>
      </x:c>
    </x:row>
    <x:row r="2984">
      <x:c r="A2984" t="str">
        <x:v>22482</x:v>
      </x:c>
      <x:c r="B2984" t="str">
        <x:v>Дарина Забирова</x:v>
      </x:c>
      <x:c r="C2984" t="e">
        <x:f>HYPERLINK("https://belberrycrm.bitrix24.ru/crm/deal/details/22482/","https://belberrycrm.bitrix24.ru/crm/deal/details/22482/")</x:f>
      </x:c>
      <x:c r="D2984" t="str">
        <x:v>Реанимация</x:v>
      </x:c>
      <x:c r="E2984" t="str">
        <x:v>ЛИДЫ: Отвалы</x:v>
      </x:c>
      <x:c r="F2984" t="str">
        <x:v>Павел Фролов</x:v>
      </x:c>
      <x:c r="G2984" t="str">
        <x:v>нет</x:v>
      </x:c>
      <x:c r="H2984" t="str">
        <x:v>нет</x:v>
      </x:c>
    </x:row>
    <x:row r="2985">
      <x:c r="A2985" t="str">
        <x:v>22484</x:v>
      </x:c>
      <x:c r="B2985" t="str">
        <x:v>Email | hello@acoola.team от Ulasik, Sofiya sofiya.ulasik@x5.ru</x:v>
      </x:c>
      <x:c r="C2985" t="e">
        <x:f>HYPERLINK("https://belberrycrm.bitrix24.ru/crm/deal/details/22484/","https://belberrycrm.bitrix24.ru/crm/deal/details/22484/")</x:f>
      </x:c>
      <x:c r="D2985" t="str">
        <x:v>Реанимация</x:v>
      </x:c>
      <x:c r="E2985" t="str">
        <x:v>ЛИДЫ: Отвалы</x:v>
      </x:c>
      <x:c r="F2985" t="str">
        <x:v>Екатерина Кохтачева</x:v>
      </x:c>
      <x:c r="G2985" t="str">
        <x:v>нет</x:v>
      </x:c>
      <x:c r="H2985" t="str">
        <x:v>нет</x:v>
      </x:c>
    </x:row>
    <x:row r="2986">
      <x:c r="A2986" t="str">
        <x:v>22486</x:v>
      </x:c>
      <x:c r="B2986" t="str">
        <x:v>Email | hello@acoola.team от OФИСМАГ Воронеж catalog@officemag.ru</x:v>
      </x:c>
      <x:c r="C2986" t="e">
        <x:f>HYPERLINK("https://belberrycrm.bitrix24.ru/crm/deal/details/22486/","https://belberrycrm.bitrix24.ru/crm/deal/details/22486/")</x:f>
      </x:c>
      <x:c r="D2986" t="str">
        <x:v>Реанимация</x:v>
      </x:c>
      <x:c r="E2986" t="str">
        <x:v>ЛИДЫ: Отвалы</x:v>
      </x:c>
      <x:c r="F2986" t="str">
        <x:v>Екатерина Кохтачева</x:v>
      </x:c>
      <x:c r="G2986" t="str">
        <x:v>нет</x:v>
      </x:c>
      <x:c r="H2986" t="str">
        <x:v>нет</x:v>
      </x:c>
    </x:row>
    <x:row r="2987">
      <x:c r="A2987" t="str">
        <x:v>22488</x:v>
      </x:c>
      <x:c r="B2987" t="str">
        <x:v>7 929 548-09-65 - Входящий звонок</x:v>
      </x:c>
      <x:c r="C2987" t="e">
        <x:f>HYPERLINK("https://belberrycrm.bitrix24.ru/crm/deal/details/22488/","https://belberrycrm.bitrix24.ru/crm/deal/details/22488/")</x:f>
      </x:c>
      <x:c r="D2987" t="str">
        <x:v>Реанимация</x:v>
      </x:c>
      <x:c r="E2987" t="str">
        <x:v>ЛИДЫ: Отвалы</x:v>
      </x:c>
      <x:c r="F2987" t="str">
        <x:v>Анна Гудинова</x:v>
      </x:c>
      <x:c r="G2987" t="str">
        <x:v>нет</x:v>
      </x:c>
      <x:c r="H2987" t="str">
        <x:v>нет</x:v>
      </x:c>
    </x:row>
    <x:row r="2988">
      <x:c r="A2988" t="str">
        <x:v>22490</x:v>
      </x:c>
      <x:c r="B2988" t="str">
        <x:v>7 343 300-91-15 - Входящий звонок</x:v>
      </x:c>
      <x:c r="C2988" t="e">
        <x:f>HYPERLINK("https://belberrycrm.bitrix24.ru/crm/deal/details/22490/","https://belberrycrm.bitrix24.ru/crm/deal/details/22490/")</x:f>
      </x:c>
      <x:c r="D2988" t="str">
        <x:v>Реанимация</x:v>
      </x:c>
      <x:c r="E2988" t="str">
        <x:v>ЛИДЫ: Отвалы</x:v>
      </x:c>
      <x:c r="F2988" t="str">
        <x:v>Анна Гудинова</x:v>
      </x:c>
      <x:c r="G2988" t="str">
        <x:v>нет</x:v>
      </x:c>
      <x:c r="H2988" t="str">
        <x:v>нет</x:v>
      </x:c>
    </x:row>
    <x:row r="2989">
      <x:c r="A2989" t="str">
        <x:v>22492</x:v>
      </x:c>
      <x:c r="B2989" t="str">
        <x:v>7 985 220-72-59 - Входящий звонок</x:v>
      </x:c>
      <x:c r="C2989" t="e">
        <x:f>HYPERLINK("https://belberrycrm.bitrix24.ru/crm/deal/details/22492/","https://belberrycrm.bitrix24.ru/crm/deal/details/22492/")</x:f>
      </x:c>
      <x:c r="D2989" t="str">
        <x:v>Реанимация</x:v>
      </x:c>
      <x:c r="E2989" t="str">
        <x:v>ЛИДЫ: Отвалы</x:v>
      </x:c>
      <x:c r="F2989" t="str">
        <x:v>Анна Гудинова</x:v>
      </x:c>
      <x:c r="G2989" t="str">
        <x:v>нет</x:v>
      </x:c>
      <x:c r="H2989" t="str">
        <x:v>нет</x:v>
      </x:c>
    </x:row>
    <x:row r="2990">
      <x:c r="A2990" t="str">
        <x:v>22494</x:v>
      </x:c>
      <x:c r="B2990" t="str">
        <x:v>thevit.ru</x:v>
      </x:c>
      <x:c r="C2990" t="e">
        <x:f>HYPERLINK("https://belberrycrm.bitrix24.ru/crm/deal/details/22494/","https://belberrycrm.bitrix24.ru/crm/deal/details/22494/")</x:f>
      </x:c>
      <x:c r="D2990" t="str">
        <x:v>Реанимация</x:v>
      </x:c>
      <x:c r="E2990" t="str">
        <x:v>ЛИДЫ: Отвалы</x:v>
      </x:c>
      <x:c r="F2990" t="str">
        <x:v>Павел Фролов</x:v>
      </x:c>
      <x:c r="G2990" t="str">
        <x:v>нет</x:v>
      </x:c>
      <x:c r="H2990" t="str">
        <x:v>нет</x:v>
      </x:c>
    </x:row>
    <x:row r="2991">
      <x:c r="A2991" t="str">
        <x:v>22496</x:v>
      </x:c>
      <x:c r="B2991" t="str">
        <x:v>7 921 873-96-45 - Входящий звонок</x:v>
      </x:c>
      <x:c r="C2991" t="e">
        <x:f>HYPERLINK("https://belberrycrm.bitrix24.ru/crm/deal/details/22496/","https://belberrycrm.bitrix24.ru/crm/deal/details/22496/")</x:f>
      </x:c>
      <x:c r="D2991" t="str">
        <x:v>Реанимация</x:v>
      </x:c>
      <x:c r="E2991" t="str">
        <x:v>ЛИДЫ: Отвалы</x:v>
      </x:c>
      <x:c r="F2991" t="str">
        <x:v>Анна Гудинова</x:v>
      </x:c>
      <x:c r="G2991" t="str">
        <x:v>нет</x:v>
      </x:c>
      <x:c r="H2991" t="str">
        <x:v>нет</x:v>
      </x:c>
    </x:row>
    <x:row r="2992">
      <x:c r="A2992" t="str">
        <x:v>22498</x:v>
      </x:c>
      <x:c r="B2992" t="str">
        <x:v>Email | hello@belberry.net от Гнеушева Ольга Александровна gneusheva.oa@inmed.ru</x:v>
      </x:c>
      <x:c r="C2992" t="e">
        <x:f>HYPERLINK("https://belberrycrm.bitrix24.ru/crm/deal/details/22498/","https://belberrycrm.bitrix24.ru/crm/deal/details/22498/")</x:f>
      </x:c>
      <x:c r="D2992" t="str">
        <x:v>Реанимация</x:v>
      </x:c>
      <x:c r="E2992" t="str">
        <x:v>ЛИДЫ: Отвалы</x:v>
      </x:c>
      <x:c r="F2992" t="str">
        <x:v>Анна Гудинова</x:v>
      </x:c>
      <x:c r="G2992" t="str">
        <x:v>нет</x:v>
      </x:c>
      <x:c r="H2992" t="str">
        <x:v>нет</x:v>
      </x:c>
    </x:row>
    <x:row r="2993">
      <x:c r="A2993" t="str">
        <x:v>22500</x:v>
      </x:c>
      <x:c r="B2993" t="str">
        <x:v>Email | hello@belberry.net от Иван Панькин pankin_01@inbox.ru</x:v>
      </x:c>
      <x:c r="C2993" t="e">
        <x:f>HYPERLINK("https://belberrycrm.bitrix24.ru/crm/deal/details/22500/","https://belberrycrm.bitrix24.ru/crm/deal/details/22500/")</x:f>
      </x:c>
      <x:c r="D2993" t="str">
        <x:v>Реанимация</x:v>
      </x:c>
      <x:c r="E2993" t="str">
        <x:v>ЛИДЫ: Отвалы</x:v>
      </x:c>
      <x:c r="F2993" t="str">
        <x:v>Анна Гудинова</x:v>
      </x:c>
      <x:c r="G2993" t="str">
        <x:v>нет</x:v>
      </x:c>
      <x:c r="H2993" t="str">
        <x:v>нет</x:v>
      </x:c>
    </x:row>
    <x:row r="2994">
      <x:c r="A2994" t="str">
        <x:v>22502</x:v>
      </x:c>
      <x:c r="B2994" t="str">
        <x:v>7 932 247-40-63 - Входящий звонок</x:v>
      </x:c>
      <x:c r="C2994" t="e">
        <x:f>HYPERLINK("https://belberrycrm.bitrix24.ru/crm/deal/details/22502/","https://belberrycrm.bitrix24.ru/crm/deal/details/22502/")</x:f>
      </x:c>
      <x:c r="D2994" t="str">
        <x:v>Реанимация</x:v>
      </x:c>
      <x:c r="E2994" t="str">
        <x:v>ЛИДЫ: Отвалы</x:v>
      </x:c>
      <x:c r="F2994" t="str">
        <x:v>Анна Гудинова</x:v>
      </x:c>
      <x:c r="G2994" t="str">
        <x:v>нет</x:v>
      </x:c>
      <x:c r="H2994" t="str">
        <x:v>нет</x:v>
      </x:c>
    </x:row>
    <x:row r="2995">
      <x:c r="A2995" t="str">
        <x:v>22504</x:v>
      </x:c>
      <x:c r="B2995" t="str">
        <x:v>7 929 258-17-69 - Входящий звонок</x:v>
      </x:c>
      <x:c r="C2995" t="e">
        <x:f>HYPERLINK("https://belberrycrm.bitrix24.ru/crm/deal/details/22504/","https://belberrycrm.bitrix24.ru/crm/deal/details/22504/")</x:f>
      </x:c>
      <x:c r="D2995" t="str">
        <x:v>Реанимация</x:v>
      </x:c>
      <x:c r="E2995" t="str">
        <x:v>ЛИДЫ: Отвалы</x:v>
      </x:c>
      <x:c r="F2995" t="str">
        <x:v>Анна Гудинова</x:v>
      </x:c>
      <x:c r="G2995" t="str">
        <x:v>нет</x:v>
      </x:c>
      <x:c r="H2995" t="str">
        <x:v>нет</x:v>
      </x:c>
    </x:row>
    <x:row r="2996">
      <x:c r="A2996" t="str">
        <x:v>22506</x:v>
      </x:c>
      <x:c r="B2996" t="str">
        <x:v>Звонок от 79011734122</x:v>
      </x:c>
      <x:c r="C2996" t="e">
        <x:f>HYPERLINK("https://belberrycrm.bitrix24.ru/crm/deal/details/22506/","https://belberrycrm.bitrix24.ru/crm/deal/details/22506/")</x:f>
      </x:c>
      <x:c r="D2996" t="str">
        <x:v>Реанимация</x:v>
      </x:c>
      <x:c r="E2996" t="str">
        <x:v>ЛИДЫ: Отвалы</x:v>
      </x:c>
      <x:c r="F2996" t="str">
        <x:v>Екатерина Кохтачева</x:v>
      </x:c>
      <x:c r="G2996" t="str">
        <x:v>нет</x:v>
      </x:c>
      <x:c r="H2996" t="str">
        <x:v>нет</x:v>
      </x:c>
    </x:row>
    <x:row r="2997">
      <x:c r="A2997" t="str">
        <x:v>22508</x:v>
      </x:c>
      <x:c r="B2997" t="str">
        <x:v>7 981 700-97-63 - Входящий звонок</x:v>
      </x:c>
      <x:c r="C2997" t="e">
        <x:f>HYPERLINK("https://belberrycrm.bitrix24.ru/crm/deal/details/22508/","https://belberrycrm.bitrix24.ru/crm/deal/details/22508/")</x:f>
      </x:c>
      <x:c r="D2997" t="str">
        <x:v>Реанимация</x:v>
      </x:c>
      <x:c r="E2997" t="str">
        <x:v>ЛИДЫ: Отвалы</x:v>
      </x:c>
      <x:c r="F2997" t="str">
        <x:v>Анна Гудинова</x:v>
      </x:c>
      <x:c r="G2997" t="str">
        <x:v>нет</x:v>
      </x:c>
      <x:c r="H2997" t="str">
        <x:v>нет</x:v>
      </x:c>
    </x:row>
    <x:row r="2998">
      <x:c r="A2998" t="str">
        <x:v>22510</x:v>
      </x:c>
      <x:c r="B2998" t="str">
        <x:v>Email | hello@belberry.net от Гневашева Мария firemanya@yandex.ru</x:v>
      </x:c>
      <x:c r="C2998" t="e">
        <x:f>HYPERLINK("https://belberrycrm.bitrix24.ru/crm/deal/details/22510/","https://belberrycrm.bitrix24.ru/crm/deal/details/22510/")</x:f>
      </x:c>
      <x:c r="D2998" t="str">
        <x:v>Реанимация</x:v>
      </x:c>
      <x:c r="E2998" t="str">
        <x:v>ЛИДЫ: Отвалы</x:v>
      </x:c>
      <x:c r="F2998" t="str">
        <x:v>Анна Гудинова</x:v>
      </x:c>
      <x:c r="G2998" t="str">
        <x:v>нет</x:v>
      </x:c>
      <x:c r="H2998" t="str">
        <x:v>нет</x:v>
      </x:c>
    </x:row>
    <x:row r="2999">
      <x:c r="A2999" t="str">
        <x:v>22512</x:v>
      </x:c>
      <x:c r="B2999" t="str">
        <x:v>7 933 909-31-89 - Входящий звонок</x:v>
      </x:c>
      <x:c r="C2999" t="e">
        <x:f>HYPERLINK("https://belberrycrm.bitrix24.ru/crm/deal/details/22512/","https://belberrycrm.bitrix24.ru/crm/deal/details/22512/")</x:f>
      </x:c>
      <x:c r="D2999" t="str">
        <x:v>Реанимация</x:v>
      </x:c>
      <x:c r="E2999" t="str">
        <x:v>ЛИДЫ: Отвалы</x:v>
      </x:c>
      <x:c r="F2999" t="str">
        <x:v>Анна Гудинова</x:v>
      </x:c>
      <x:c r="G2999" t="str">
        <x:v>нет</x:v>
      </x:c>
      <x:c r="H2999" t="str">
        <x:v>нет</x:v>
      </x:c>
    </x:row>
    <x:row r="3000">
      <x:c r="A3000" t="str">
        <x:v>22514</x:v>
      </x:c>
      <x:c r="B3000" t="str">
        <x:v>7 929 915-73-20 - Входящий звонок</x:v>
      </x:c>
      <x:c r="C3000" t="e">
        <x:f>HYPERLINK("https://belberrycrm.bitrix24.ru/crm/deal/details/22514/","https://belberrycrm.bitrix24.ru/crm/deal/details/22514/")</x:f>
      </x:c>
      <x:c r="D3000" t="str">
        <x:v>Реанимация</x:v>
      </x:c>
      <x:c r="E3000" t="str">
        <x:v>ЛИДЫ: Отвалы</x:v>
      </x:c>
      <x:c r="F3000" t="str">
        <x:v>Анна Гудинова</x:v>
      </x:c>
      <x:c r="G3000" t="str">
        <x:v>нет</x:v>
      </x:c>
      <x:c r="H3000" t="str">
        <x:v>нет</x:v>
      </x:c>
    </x:row>
    <x:row r="3001">
      <x:c r="A3001" t="str">
        <x:v>22516</x:v>
      </x:c>
      <x:c r="B3001" t="str">
        <x:v>7 922 036-24-89 - Входящий звонок</x:v>
      </x:c>
      <x:c r="C3001" t="e">
        <x:f>HYPERLINK("https://belberrycrm.bitrix24.ru/crm/deal/details/22516/","https://belberrycrm.bitrix24.ru/crm/deal/details/22516/")</x:f>
      </x:c>
      <x:c r="D3001" t="str">
        <x:v>Реанимация</x:v>
      </x:c>
      <x:c r="E3001" t="str">
        <x:v>ЛИДЫ: Отвалы</x:v>
      </x:c>
      <x:c r="F3001" t="str">
        <x:v>Анна Гудинова</x:v>
      </x:c>
      <x:c r="G3001" t="str">
        <x:v>нет</x:v>
      </x:c>
      <x:c r="H3001" t="str">
        <x:v>нет</x:v>
      </x:c>
    </x:row>
    <x:row r="3002">
      <x:c r="A3002" t="str">
        <x:v>22518</x:v>
      </x:c>
      <x:c r="B3002" t="str">
        <x:v>Email | hello@belberry.net от ActiveCloud marketing@activecloud.com</x:v>
      </x:c>
      <x:c r="C3002" t="e">
        <x:f>HYPERLINK("https://belberrycrm.bitrix24.ru/crm/deal/details/22518/","https://belberrycrm.bitrix24.ru/crm/deal/details/22518/")</x:f>
      </x:c>
      <x:c r="D3002" t="str">
        <x:v>Реанимация</x:v>
      </x:c>
      <x:c r="E3002" t="str">
        <x:v>ЛИДЫ: Отвалы</x:v>
      </x:c>
      <x:c r="F3002" t="str">
        <x:v>Петр Дудин</x:v>
      </x:c>
      <x:c r="G3002" t="str">
        <x:v>нет</x:v>
      </x:c>
      <x:c r="H3002" t="str">
        <x:v>нет</x:v>
      </x:c>
    </x:row>
    <x:row r="3003">
      <x:c r="A3003" t="str">
        <x:v>22520</x:v>
      </x:c>
      <x:c r="B3003" t="str">
        <x:v>7 968 636-97-03 - Входящий звонок</x:v>
      </x:c>
      <x:c r="C3003" t="e">
        <x:f>HYPERLINK("https://belberrycrm.bitrix24.ru/crm/deal/details/22520/","https://belberrycrm.bitrix24.ru/crm/deal/details/22520/")</x:f>
      </x:c>
      <x:c r="D3003" t="str">
        <x:v>Реанимация</x:v>
      </x:c>
      <x:c r="E3003" t="str">
        <x:v>ЛИДЫ: Отвалы</x:v>
      </x:c>
      <x:c r="F3003" t="str">
        <x:v>Петр Дудин</x:v>
      </x:c>
      <x:c r="G3003" t="str">
        <x:v>нет</x:v>
      </x:c>
      <x:c r="H3003" t="str">
        <x:v>нет</x:v>
      </x:c>
    </x:row>
    <x:row r="3004">
      <x:c r="A3004" t="str">
        <x:v>22524</x:v>
      </x:c>
      <x:c r="B3004" t="str">
        <x:v>7 932 491-49-25 - Входящий звонок</x:v>
      </x:c>
      <x:c r="C3004" t="e">
        <x:f>HYPERLINK("https://belberrycrm.bitrix24.ru/crm/deal/details/22524/","https://belberrycrm.bitrix24.ru/crm/deal/details/22524/")</x:f>
      </x:c>
      <x:c r="D3004" t="str">
        <x:v>Реанимация</x:v>
      </x:c>
      <x:c r="E3004" t="str">
        <x:v>ЛИДЫ: Отвалы</x:v>
      </x:c>
      <x:c r="F3004" t="str">
        <x:v>Анна Гудинова</x:v>
      </x:c>
      <x:c r="G3004" t="str">
        <x:v>нет</x:v>
      </x:c>
      <x:c r="H3004" t="str">
        <x:v>нет</x:v>
      </x:c>
    </x:row>
    <x:row r="3005">
      <x:c r="A3005" t="str">
        <x:v>22526</x:v>
      </x:c>
      <x:c r="B3005" t="str">
        <x:v>7 981 082-19-60 - Входящий звонок</x:v>
      </x:c>
      <x:c r="C3005" t="e">
        <x:f>HYPERLINK("https://belberrycrm.bitrix24.ru/crm/deal/details/22526/","https://belberrycrm.bitrix24.ru/crm/deal/details/22526/")</x:f>
      </x:c>
      <x:c r="D3005" t="str">
        <x:v>Реанимация</x:v>
      </x:c>
      <x:c r="E3005" t="str">
        <x:v>ЛИДЫ: Отвалы</x:v>
      </x:c>
      <x:c r="F3005" t="str">
        <x:v>Петр Дудин</x:v>
      </x:c>
      <x:c r="G3005" t="str">
        <x:v>нет</x:v>
      </x:c>
      <x:c r="H3005" t="str">
        <x:v>нет</x:v>
      </x:c>
    </x:row>
    <x:row r="3006">
      <x:c r="A3006" t="str">
        <x:v>22528</x:v>
      </x:c>
      <x:c r="B3006" t="str">
        <x:v>Email | hello@belberry.net от Яндекс Реклама yaconf@adv.yandex.ru</x:v>
      </x:c>
      <x:c r="C3006" t="e">
        <x:f>HYPERLINK("https://belberrycrm.bitrix24.ru/crm/deal/details/22528/","https://belberrycrm.bitrix24.ru/crm/deal/details/22528/")</x:f>
      </x:c>
      <x:c r="D3006" t="str">
        <x:v>Реанимация</x:v>
      </x:c>
      <x:c r="E3006" t="str">
        <x:v>ЛИДЫ: Отвалы</x:v>
      </x:c>
      <x:c r="F3006" t="str">
        <x:v>Анна Гудинова</x:v>
      </x:c>
      <x:c r="G3006" t="str">
        <x:v>нет</x:v>
      </x:c>
      <x:c r="H3006" t="str">
        <x:v>нет</x:v>
      </x:c>
    </x:row>
    <x:row r="3007">
      <x:c r="A3007" t="str">
        <x:v>22534</x:v>
      </x:c>
      <x:c r="B3007" t="str">
        <x:v>Email | hello@belberry.net от Ekaterina Silonova silonova56@yandex-team.ru</x:v>
      </x:c>
      <x:c r="C3007" t="e">
        <x:f>HYPERLINK("https://belberrycrm.bitrix24.ru/crm/deal/details/22534/","https://belberrycrm.bitrix24.ru/crm/deal/details/22534/")</x:f>
      </x:c>
      <x:c r="D3007" t="str">
        <x:v>Реанимация</x:v>
      </x:c>
      <x:c r="E3007" t="str">
        <x:v>ЛИДЫ: Отвалы</x:v>
      </x:c>
      <x:c r="F3007" t="str">
        <x:v>Анна Гудинова</x:v>
      </x:c>
      <x:c r="G3007" t="str">
        <x:v>нет</x:v>
      </x:c>
      <x:c r="H3007" t="str">
        <x:v>нет</x:v>
      </x:c>
    </x:row>
    <x:row r="3008">
      <x:c r="A3008" t="str">
        <x:v>22538</x:v>
      </x:c>
      <x:c r="B3008" t="str">
        <x:v>Александра</x:v>
      </x:c>
      <x:c r="C3008" t="e">
        <x:f>HYPERLINK("https://belberrycrm.bitrix24.ru/crm/deal/details/22538/","https://belberrycrm.bitrix24.ru/crm/deal/details/22538/")</x:f>
      </x:c>
      <x:c r="D3008" t="str">
        <x:v>Реанимация</x:v>
      </x:c>
      <x:c r="E3008" t="str">
        <x:v>ЛИДЫ: Отвалы</x:v>
      </x:c>
      <x:c r="F3008" t="str">
        <x:v>Павел Фролов</x:v>
      </x:c>
      <x:c r="G3008" t="str">
        <x:v>нет</x:v>
      </x:c>
      <x:c r="H3008" t="str">
        <x:v>нет</x:v>
      </x:c>
    </x:row>
    <x:row r="3009">
      <x:c r="A3009" t="str">
        <x:v>22540</x:v>
      </x:c>
      <x:c r="B3009" t="str">
        <x:v>Email | hello@belberry.net от Dmitriy Polyakov dmitrp2022@gmail.com</x:v>
      </x:c>
      <x:c r="C3009" t="e">
        <x:f>HYPERLINK("https://belberrycrm.bitrix24.ru/crm/deal/details/22540/","https://belberrycrm.bitrix24.ru/crm/deal/details/22540/")</x:f>
      </x:c>
      <x:c r="D3009" t="str">
        <x:v>Реанимация</x:v>
      </x:c>
      <x:c r="E3009" t="str">
        <x:v>ЛИДЫ: Отвалы</x:v>
      </x:c>
      <x:c r="F3009" t="str">
        <x:v>Петр Дудин</x:v>
      </x:c>
      <x:c r="G3009" t="str">
        <x:v>нет</x:v>
      </x:c>
      <x:c r="H3009" t="str">
        <x:v>нет</x:v>
      </x:c>
    </x:row>
    <x:row r="3010">
      <x:c r="A3010" t="str">
        <x:v>22542</x:v>
      </x:c>
      <x:c r="B3010" t="str">
        <x:v>7 495 236-74-01 - Входящий звонок</x:v>
      </x:c>
      <x:c r="C3010" t="e">
        <x:f>HYPERLINK("https://belberrycrm.bitrix24.ru/crm/deal/details/22542/","https://belberrycrm.bitrix24.ru/crm/deal/details/22542/")</x:f>
      </x:c>
      <x:c r="D3010" t="str">
        <x:v>Реанимация</x:v>
      </x:c>
      <x:c r="E3010" t="str">
        <x:v>ЛИДЫ: Отвалы</x:v>
      </x:c>
      <x:c r="F3010" t="str">
        <x:v>Анна Гудинова</x:v>
      </x:c>
      <x:c r="G3010" t="str">
        <x:v>нет</x:v>
      </x:c>
      <x:c r="H3010" t="str">
        <x:v>нет</x:v>
      </x:c>
    </x:row>
    <x:row r="3011">
      <x:c r="A3011" t="str">
        <x:v>22544</x:v>
      </x:c>
      <x:c r="B3011" t="str">
        <x:v>7 495 118-29-93 - Входящий звонок</x:v>
      </x:c>
      <x:c r="C3011" t="e">
        <x:f>HYPERLINK("https://belberrycrm.bitrix24.ru/crm/deal/details/22544/","https://belberrycrm.bitrix24.ru/crm/deal/details/22544/")</x:f>
      </x:c>
      <x:c r="D3011" t="str">
        <x:v>Реанимация</x:v>
      </x:c>
      <x:c r="E3011" t="str">
        <x:v>ЛИДЫ: Отвалы</x:v>
      </x:c>
      <x:c r="F3011" t="str">
        <x:v>Петр Дудин</x:v>
      </x:c>
      <x:c r="G3011" t="str">
        <x:v>нет</x:v>
      </x:c>
      <x:c r="H3011" t="str">
        <x:v>нет</x:v>
      </x:c>
    </x:row>
    <x:row r="3012">
      <x:c r="A3012" t="str">
        <x:v>22546</x:v>
      </x:c>
      <x:c r="B3012" t="str">
        <x:v>Email | hello@belberry.net от Инга Фефелова slvrmediag@mail.ru</x:v>
      </x:c>
      <x:c r="C3012" t="e">
        <x:f>HYPERLINK("https://belberrycrm.bitrix24.ru/crm/deal/details/22546/","https://belberrycrm.bitrix24.ru/crm/deal/details/22546/")</x:f>
      </x:c>
      <x:c r="D3012" t="str">
        <x:v>Реанимация</x:v>
      </x:c>
      <x:c r="E3012" t="str">
        <x:v>ЛИДЫ: Отвалы</x:v>
      </x:c>
      <x:c r="F3012" t="str">
        <x:v>Петр Дудин</x:v>
      </x:c>
      <x:c r="G3012" t="str">
        <x:v>нет</x:v>
      </x:c>
      <x:c r="H3012" t="str">
        <x:v>нет</x:v>
      </x:c>
    </x:row>
    <x:row r="3013">
      <x:c r="A3013" t="str">
        <x:v>22548</x:v>
      </x:c>
      <x:c r="B3013" t="str">
        <x:v>Дубль torgsp.ru</x:v>
      </x:c>
      <x:c r="C3013" t="e">
        <x:f>HYPERLINK("https://belberrycrm.bitrix24.ru/crm/deal/details/22548/","https://belberrycrm.bitrix24.ru/crm/deal/details/22548/")</x:f>
      </x:c>
      <x:c r="D3013" t="str">
        <x:v>Реанимация</x:v>
      </x:c>
      <x:c r="E3013" t="str">
        <x:v>ЛИДЫ: Отвалы</x:v>
      </x:c>
      <x:c r="F3013" t="str">
        <x:v>Анна Гудинова</x:v>
      </x:c>
      <x:c r="G3013" t="str">
        <x:v>нет</x:v>
      </x:c>
      <x:c r="H3013" t="str">
        <x:v>нет</x:v>
      </x:c>
    </x:row>
    <x:row r="3014">
      <x:c r="A3014" t="str">
        <x:v>22550</x:v>
      </x:c>
      <x:c r="B3014" t="str">
        <x:v>Заявка с сайта от нина 79616516217</x:v>
      </x:c>
      <x:c r="C3014" t="e">
        <x:f>HYPERLINK("https://belberrycrm.bitrix24.ru/crm/deal/details/22550/","https://belberrycrm.bitrix24.ru/crm/deal/details/22550/")</x:f>
      </x:c>
      <x:c r="D3014" t="str">
        <x:v>Реанимация</x:v>
      </x:c>
      <x:c r="E3014" t="str">
        <x:v>ЛИДЫ: Отвалы</x:v>
      </x:c>
      <x:c r="F3014" t="str">
        <x:v>Петр Дудин</x:v>
      </x:c>
      <x:c r="G3014" t="str">
        <x:v>нет</x:v>
      </x:c>
      <x:c r="H3014" t="str">
        <x:v>нет</x:v>
      </x:c>
    </x:row>
    <x:row r="3015">
      <x:c r="A3015" t="str">
        <x:v>22552</x:v>
      </x:c>
      <x:c r="B3015" t="str">
        <x:v>7 999 227-74-83 - Входящий звонок</x:v>
      </x:c>
      <x:c r="C3015" t="e">
        <x:f>HYPERLINK("https://belberrycrm.bitrix24.ru/crm/deal/details/22552/","https://belberrycrm.bitrix24.ru/crm/deal/details/22552/")</x:f>
      </x:c>
      <x:c r="D3015" t="str">
        <x:v>Реанимация</x:v>
      </x:c>
      <x:c r="E3015" t="str">
        <x:v>ЛИДЫ: Отвалы</x:v>
      </x:c>
      <x:c r="F3015" t="str">
        <x:v>Анна Гудинова</x:v>
      </x:c>
      <x:c r="G3015" t="str">
        <x:v>нет</x:v>
      </x:c>
      <x:c r="H3015" t="str">
        <x:v>нет</x:v>
      </x:c>
    </x:row>
    <x:row r="3016">
      <x:c r="A3016" t="str">
        <x:v>22554</x:v>
      </x:c>
      <x:c r="B3016" t="str">
        <x:v>7 932 430-76-61 - Входящий звонок</x:v>
      </x:c>
      <x:c r="C3016" t="e">
        <x:f>HYPERLINK("https://belberrycrm.bitrix24.ru/crm/deal/details/22554/","https://belberrycrm.bitrix24.ru/crm/deal/details/22554/")</x:f>
      </x:c>
      <x:c r="D3016" t="str">
        <x:v>Реанимация</x:v>
      </x:c>
      <x:c r="E3016" t="str">
        <x:v>ЛИДЫ: Отвалы</x:v>
      </x:c>
      <x:c r="F3016" t="str">
        <x:v>Анна Гудинова</x:v>
      </x:c>
      <x:c r="G3016" t="str">
        <x:v>нет</x:v>
      </x:c>
      <x:c r="H3016" t="str">
        <x:v>нет</x:v>
      </x:c>
    </x:row>
    <x:row r="3017">
      <x:c r="A3017" t="str">
        <x:v>22556</x:v>
      </x:c>
      <x:c r="B3017" t="str">
        <x:v>Заявка с сайта от Алексей 79055403980</x:v>
      </x:c>
      <x:c r="C3017" t="e">
        <x:f>HYPERLINK("https://belberrycrm.bitrix24.ru/crm/deal/details/22556/","https://belberrycrm.bitrix24.ru/crm/deal/details/22556/")</x:f>
      </x:c>
      <x:c r="D3017" t="str">
        <x:v>Реанимация</x:v>
      </x:c>
      <x:c r="E3017" t="str">
        <x:v>ЛИДЫ: Отвалы</x:v>
      </x:c>
      <x:c r="F3017" t="str">
        <x:v>Петр Дудин</x:v>
      </x:c>
      <x:c r="G3017" t="str">
        <x:v>нет</x:v>
      </x:c>
      <x:c r="H3017" t="str">
        <x:v>нет</x:v>
      </x:c>
    </x:row>
    <x:row r="3018">
      <x:c r="A3018" t="str">
        <x:v>22558</x:v>
      </x:c>
      <x:c r="B3018" t="str">
        <x:v>Email | hello@acoola.team от Виктория Никитина [DS] vn@ds-events.ru</x:v>
      </x:c>
      <x:c r="C3018" t="e">
        <x:f>HYPERLINK("https://belberrycrm.bitrix24.ru/crm/deal/details/22558/","https://belberrycrm.bitrix24.ru/crm/deal/details/22558/")</x:f>
      </x:c>
      <x:c r="D3018" t="str">
        <x:v>Реанимация</x:v>
      </x:c>
      <x:c r="E3018" t="str">
        <x:v>ЛИДЫ: Отвалы</x:v>
      </x:c>
      <x:c r="F3018" t="str">
        <x:v>Евгения Гордиенко</x:v>
      </x:c>
      <x:c r="G3018" t="str">
        <x:v>нет</x:v>
      </x:c>
      <x:c r="H3018" t="str">
        <x:v>нет</x:v>
      </x:c>
    </x:row>
    <x:row r="3019">
      <x:c r="A3019" t="str">
        <x:v>22560</x:v>
      </x:c>
      <x:c r="B3019" t="str">
        <x:v>Дубль bz-moscow.ru</x:v>
      </x:c>
      <x:c r="C3019" t="e">
        <x:f>HYPERLINK("https://belberrycrm.bitrix24.ru/crm/deal/details/22560/","https://belberrycrm.bitrix24.ru/crm/deal/details/22560/")</x:f>
      </x:c>
      <x:c r="D3019" t="str">
        <x:v>Реанимация</x:v>
      </x:c>
      <x:c r="E3019" t="str">
        <x:v>ЛИДЫ: Отвалы</x:v>
      </x:c>
      <x:c r="F3019" t="str">
        <x:v>Анна Гудинова</x:v>
      </x:c>
      <x:c r="G3019" t="str">
        <x:v>нет</x:v>
      </x:c>
      <x:c r="H3019" t="str">
        <x:v>нет</x:v>
      </x:c>
    </x:row>
    <x:row r="3020">
      <x:c r="A3020" t="str">
        <x:v>22562</x:v>
      </x:c>
      <x:c r="B3020" t="str">
        <x:v>Email | hello@acoola.team от  Юлия Касаткина y.kasatkina@smter.kz</x:v>
      </x:c>
      <x:c r="C3020" t="e">
        <x:f>HYPERLINK("https://belberrycrm.bitrix24.ru/crm/deal/details/22562/","https://belberrycrm.bitrix24.ru/crm/deal/details/22562/")</x:f>
      </x:c>
      <x:c r="D3020" t="str">
        <x:v>Реанимация</x:v>
      </x:c>
      <x:c r="E3020" t="str">
        <x:v>ЛИДЫ: Отвалы</x:v>
      </x:c>
      <x:c r="F3020" t="str">
        <x:v>Евгения Гордиенко</x:v>
      </x:c>
      <x:c r="G3020" t="str">
        <x:v>нет</x:v>
      </x:c>
      <x:c r="H3020" t="str">
        <x:v>нет</x:v>
      </x:c>
    </x:row>
    <x:row r="3021">
      <x:c r="A3021" t="str">
        <x:v>22568</x:v>
      </x:c>
      <x:c r="B3021" t="str">
        <x:v>7 383 390-01-68 - Входящий звонок</x:v>
      </x:c>
      <x:c r="C3021" t="e">
        <x:f>HYPERLINK("https://belberrycrm.bitrix24.ru/crm/deal/details/22568/","https://belberrycrm.bitrix24.ru/crm/deal/details/22568/")</x:f>
      </x:c>
      <x:c r="D3021" t="str">
        <x:v>Реанимация</x:v>
      </x:c>
      <x:c r="E3021" t="str">
        <x:v>ЛИДЫ: Отвалы</x:v>
      </x:c>
      <x:c r="F3021" t="str">
        <x:v>Анна Гудинова</x:v>
      </x:c>
      <x:c r="G3021" t="str">
        <x:v>нет</x:v>
      </x:c>
      <x:c r="H3021" t="str">
        <x:v>нет</x:v>
      </x:c>
    </x:row>
    <x:row r="3022">
      <x:c r="A3022" t="str">
        <x:v>22572</x:v>
      </x:c>
      <x:c r="B3022" t="str">
        <x:v>Звонок от 79264518003</x:v>
      </x:c>
      <x:c r="C3022" t="e">
        <x:f>HYPERLINK("https://belberrycrm.bitrix24.ru/crm/deal/details/22572/","https://belberrycrm.bitrix24.ru/crm/deal/details/22572/")</x:f>
      </x:c>
      <x:c r="D3022" t="str">
        <x:v>Реанимация</x:v>
      </x:c>
      <x:c r="E3022" t="str">
        <x:v>ЛИДЫ: Отвалы</x:v>
      </x:c>
      <x:c r="F3022" t="str">
        <x:v>Евгения Гордиенко</x:v>
      </x:c>
      <x:c r="G3022" t="str">
        <x:v>нет</x:v>
      </x:c>
      <x:c r="H3022" t="str">
        <x:v>нет</x:v>
      </x:c>
    </x:row>
    <x:row r="3023">
      <x:c r="A3023" t="str">
        <x:v>22574</x:v>
      </x:c>
      <x:c r="B3023" t="str">
        <x:v>Email | hello@belberry.net от  team-for-agencies@tm.yandex.ru</x:v>
      </x:c>
      <x:c r="C3023" t="e">
        <x:f>HYPERLINK("https://belberrycrm.bitrix24.ru/crm/deal/details/22574/","https://belberrycrm.bitrix24.ru/crm/deal/details/22574/")</x:f>
      </x:c>
      <x:c r="D3023" t="str">
        <x:v>Реанимация</x:v>
      </x:c>
      <x:c r="E3023" t="str">
        <x:v>ЛИДЫ: Отвалы</x:v>
      </x:c>
      <x:c r="F3023" t="str">
        <x:v>Анна Гудинова</x:v>
      </x:c>
      <x:c r="G3023" t="str">
        <x:v>нет</x:v>
      </x:c>
      <x:c r="H3023" t="str">
        <x:v>нет</x:v>
      </x:c>
    </x:row>
    <x:row r="3024">
      <x:c r="A3024" t="str">
        <x:v>22576</x:v>
      </x:c>
      <x:c r="B3024" t="str">
        <x:v>Заявка с сайта от Олег 79006004444</x:v>
      </x:c>
      <x:c r="C3024" t="e">
        <x:f>HYPERLINK("https://belberrycrm.bitrix24.ru/crm/deal/details/22576/","https://belberrycrm.bitrix24.ru/crm/deal/details/22576/")</x:f>
      </x:c>
      <x:c r="D3024" t="str">
        <x:v>Реанимация</x:v>
      </x:c>
      <x:c r="E3024" t="str">
        <x:v>ЛИДЫ: Отвалы</x:v>
      </x:c>
      <x:c r="F3024" t="str">
        <x:v>Анна Гудинова</x:v>
      </x:c>
      <x:c r="G3024" t="str">
        <x:v>нет</x:v>
      </x:c>
      <x:c r="H3024" t="str">
        <x:v>нет</x:v>
      </x:c>
    </x:row>
    <x:row r="3025">
      <x:c r="A3025" t="str">
        <x:v>22578</x:v>
      </x:c>
      <x:c r="B3025" t="str">
        <x:v>Звонок от 79615606951</x:v>
      </x:c>
      <x:c r="C3025" t="e">
        <x:f>HYPERLINK("https://belberrycrm.bitrix24.ru/crm/deal/details/22578/","https://belberrycrm.bitrix24.ru/crm/deal/details/22578/")</x:f>
      </x:c>
      <x:c r="D3025" t="str">
        <x:v>Реанимация</x:v>
      </x:c>
      <x:c r="E3025" t="str">
        <x:v>ЛИДЫ: Отвалы</x:v>
      </x:c>
      <x:c r="F3025" t="str">
        <x:v>Петр Дудин</x:v>
      </x:c>
      <x:c r="G3025" t="str">
        <x:v>нет</x:v>
      </x:c>
      <x:c r="H3025" t="str">
        <x:v>нет</x:v>
      </x:c>
    </x:row>
    <x:row r="3026">
      <x:c r="A3026" t="str">
        <x:v>22580</x:v>
      </x:c>
      <x:c r="B3026" t="str">
        <x:v>7 495 308-01-00 - Входящий звонок</x:v>
      </x:c>
      <x:c r="C3026" t="e">
        <x:f>HYPERLINK("https://belberrycrm.bitrix24.ru/crm/deal/details/22580/","https://belberrycrm.bitrix24.ru/crm/deal/details/22580/")</x:f>
      </x:c>
      <x:c r="D3026" t="str">
        <x:v>Реанимация</x:v>
      </x:c>
      <x:c r="E3026" t="str">
        <x:v>ЛИДЫ: Отвалы</x:v>
      </x:c>
      <x:c r="F3026" t="str">
        <x:v>Петр Дудин</x:v>
      </x:c>
      <x:c r="G3026" t="str">
        <x:v>нет</x:v>
      </x:c>
      <x:c r="H3026" t="str">
        <x:v>нет</x:v>
      </x:c>
    </x:row>
    <x:row r="3027">
      <x:c r="A3027" t="str">
        <x:v>22582</x:v>
      </x:c>
      <x:c r="B3027" t="str">
        <x:v>7 905 801-24-97 - Входящий звонок</x:v>
      </x:c>
      <x:c r="C3027" t="e">
        <x:f>HYPERLINK("https://belberrycrm.bitrix24.ru/crm/deal/details/22582/","https://belberrycrm.bitrix24.ru/crm/deal/details/22582/")</x:f>
      </x:c>
      <x:c r="D3027" t="str">
        <x:v>Реанимация</x:v>
      </x:c>
      <x:c r="E3027" t="str">
        <x:v>ЛИДЫ: Отвалы</x:v>
      </x:c>
      <x:c r="F3027" t="str">
        <x:v>Петр Дудин</x:v>
      </x:c>
      <x:c r="G3027" t="str">
        <x:v>нет</x:v>
      </x:c>
      <x:c r="H3027" t="str">
        <x:v>нет</x:v>
      </x:c>
    </x:row>
    <x:row r="3028">
      <x:c r="A3028" t="str">
        <x:v>22584</x:v>
      </x:c>
      <x:c r="B3028" t="str">
        <x:v>Заявка с сайта от Анна 79219401672</x:v>
      </x:c>
      <x:c r="C3028" t="e">
        <x:f>HYPERLINK("https://belberrycrm.bitrix24.ru/crm/deal/details/22584/","https://belberrycrm.bitrix24.ru/crm/deal/details/22584/")</x:f>
      </x:c>
      <x:c r="D3028" t="str">
        <x:v>Реанимация</x:v>
      </x:c>
      <x:c r="E3028" t="str">
        <x:v>ЛИДЫ: Отвалы</x:v>
      </x:c>
      <x:c r="F3028" t="str">
        <x:v>Евгения Гордиенко</x:v>
      </x:c>
      <x:c r="G3028" t="str">
        <x:v>нет</x:v>
      </x:c>
      <x:c r="H3028" t="str">
        <x:v>нет</x:v>
      </x:c>
    </x:row>
    <x:row r="3029">
      <x:c r="A3029" t="str">
        <x:v>22586</x:v>
      </x:c>
      <x:c r="B3029" t="str">
        <x:v>7 929 620-73-14 - Входящий звонок</x:v>
      </x:c>
      <x:c r="C3029" t="e">
        <x:f>HYPERLINK("https://belberrycrm.bitrix24.ru/crm/deal/details/22586/","https://belberrycrm.bitrix24.ru/crm/deal/details/22586/")</x:f>
      </x:c>
      <x:c r="D3029" t="str">
        <x:v>Реанимация</x:v>
      </x:c>
      <x:c r="E3029" t="str">
        <x:v>ЛИДЫ: Отвалы</x:v>
      </x:c>
      <x:c r="F3029" t="str">
        <x:v>Петр Дудин</x:v>
      </x:c>
      <x:c r="G3029" t="str">
        <x:v>нет</x:v>
      </x:c>
      <x:c r="H3029" t="str">
        <x:v>нет</x:v>
      </x:c>
    </x:row>
    <x:row r="3030">
      <x:c r="A3030" t="str">
        <x:v>22588</x:v>
      </x:c>
      <x:c r="B3030" t="str">
        <x:v>Звонок от 79097052176</x:v>
      </x:c>
      <x:c r="C3030" t="e">
        <x:f>HYPERLINK("https://belberrycrm.bitrix24.ru/crm/deal/details/22588/","https://belberrycrm.bitrix24.ru/crm/deal/details/22588/")</x:f>
      </x:c>
      <x:c r="D3030" t="str">
        <x:v>Реанимация</x:v>
      </x:c>
      <x:c r="E3030" t="str">
        <x:v>ЛИДЫ: Отвалы</x:v>
      </x:c>
      <x:c r="F3030" t="str">
        <x:v>Петр Дудин</x:v>
      </x:c>
      <x:c r="G3030" t="str">
        <x:v>нет</x:v>
      </x:c>
      <x:c r="H3030" t="str">
        <x:v>нет</x:v>
      </x:c>
    </x:row>
    <x:row r="3031">
      <x:c r="A3031" t="str">
        <x:v>22590</x:v>
      </x:c>
      <x:c r="B3031" t="str">
        <x:v>Звонок от 79655198354</x:v>
      </x:c>
      <x:c r="C3031" t="e">
        <x:f>HYPERLINK("https://belberrycrm.bitrix24.ru/crm/deal/details/22590/","https://belberrycrm.bitrix24.ru/crm/deal/details/22590/")</x:f>
      </x:c>
      <x:c r="D3031" t="str">
        <x:v>Реанимация</x:v>
      </x:c>
      <x:c r="E3031" t="str">
        <x:v>ЛИДЫ: Отвалы</x:v>
      </x:c>
      <x:c r="F3031" t="str">
        <x:v>Анна Гудинова</x:v>
      </x:c>
      <x:c r="G3031" t="str">
        <x:v>нет</x:v>
      </x:c>
      <x:c r="H3031" t="str">
        <x:v>нет</x:v>
      </x:c>
    </x:row>
    <x:row r="3032">
      <x:c r="A3032" t="str">
        <x:v>22592</x:v>
      </x:c>
      <x:c r="B3032" t="str">
        <x:v>Звонок от 79268536492</x:v>
      </x:c>
      <x:c r="C3032" t="e">
        <x:f>HYPERLINK("https://belberrycrm.bitrix24.ru/crm/deal/details/22592/","https://belberrycrm.bitrix24.ru/crm/deal/details/22592/")</x:f>
      </x:c>
      <x:c r="D3032" t="str">
        <x:v>Реанимация</x:v>
      </x:c>
      <x:c r="E3032" t="str">
        <x:v>ЛИДЫ: Отвалы</x:v>
      </x:c>
      <x:c r="F3032" t="str">
        <x:v>Анна Гудинова</x:v>
      </x:c>
      <x:c r="G3032" t="str">
        <x:v>нет</x:v>
      </x:c>
      <x:c r="H3032" t="str">
        <x:v>нет</x:v>
      </x:c>
    </x:row>
    <x:row r="3033">
      <x:c r="A3033" t="str">
        <x:v>22594</x:v>
      </x:c>
      <x:c r="B3033" t="str">
        <x:v>Звонок от 79615504653</x:v>
      </x:c>
      <x:c r="C3033" t="e">
        <x:f>HYPERLINK("https://belberrycrm.bitrix24.ru/crm/deal/details/22594/","https://belberrycrm.bitrix24.ru/crm/deal/details/22594/")</x:f>
      </x:c>
      <x:c r="D3033" t="str">
        <x:v>Реанимация</x:v>
      </x:c>
      <x:c r="E3033" t="str">
        <x:v>ЛИДЫ: Отвалы</x:v>
      </x:c>
      <x:c r="F3033" t="str">
        <x:v>Петр Дудин</x:v>
      </x:c>
      <x:c r="G3033" t="str">
        <x:v>нет</x:v>
      </x:c>
      <x:c r="H3033" t="str">
        <x:v>нет</x:v>
      </x:c>
    </x:row>
    <x:row r="3034">
      <x:c r="A3034" t="str">
        <x:v>22596</x:v>
      </x:c>
      <x:c r="B3034" t="str">
        <x:v>Звонок от 79615607135</x:v>
      </x:c>
      <x:c r="C3034" t="e">
        <x:f>HYPERLINK("https://belberrycrm.bitrix24.ru/crm/deal/details/22596/","https://belberrycrm.bitrix24.ru/crm/deal/details/22596/")</x:f>
      </x:c>
      <x:c r="D3034" t="str">
        <x:v>Реанимация</x:v>
      </x:c>
      <x:c r="E3034" t="str">
        <x:v>ЛИДЫ: Отвалы</x:v>
      </x:c>
      <x:c r="F3034" t="str">
        <x:v>Анна Гудинова</x:v>
      </x:c>
      <x:c r="G3034" t="str">
        <x:v>нет</x:v>
      </x:c>
      <x:c r="H3034" t="str">
        <x:v>нет</x:v>
      </x:c>
    </x:row>
    <x:row r="3035">
      <x:c r="A3035" t="str">
        <x:v>22600</x:v>
      </x:c>
      <x:c r="B3035" t="str">
        <x:v>Дарья</x:v>
      </x:c>
      <x:c r="C3035" t="e">
        <x:f>HYPERLINK("https://belberrycrm.bitrix24.ru/crm/deal/details/22600/","https://belberrycrm.bitrix24.ru/crm/deal/details/22600/")</x:f>
      </x:c>
      <x:c r="D3035" t="str">
        <x:v>Реанимация</x:v>
      </x:c>
      <x:c r="E3035" t="str">
        <x:v>ЛИДЫ: Отвалы</x:v>
      </x:c>
      <x:c r="F3035" t="str">
        <x:v>Евгения Гордиенко</x:v>
      </x:c>
      <x:c r="G3035" t="str">
        <x:v>нет</x:v>
      </x:c>
      <x:c r="H3035" t="str">
        <x:v>нет</x:v>
      </x:c>
    </x:row>
    <x:row r="3036">
      <x:c r="A3036" t="str">
        <x:v>22602</x:v>
      </x:c>
      <x:c r="B3036" t="str">
        <x:v>Е.В.</x:v>
      </x:c>
      <x:c r="C3036" t="e">
        <x:f>HYPERLINK("https://belberrycrm.bitrix24.ru/crm/deal/details/22602/","https://belberrycrm.bitrix24.ru/crm/deal/details/22602/")</x:f>
      </x:c>
      <x:c r="D3036" t="str">
        <x:v>Реанимация</x:v>
      </x:c>
      <x:c r="E3036" t="str">
        <x:v>ЛИДЫ: Отвалы</x:v>
      </x:c>
      <x:c r="F3036" t="str">
        <x:v>Евгения Гордиенко</x:v>
      </x:c>
      <x:c r="G3036" t="str">
        <x:v>нет</x:v>
      </x:c>
      <x:c r="H3036" t="str">
        <x:v>нет</x:v>
      </x:c>
    </x:row>
    <x:row r="3037">
      <x:c r="A3037" t="str">
        <x:v>22604</x:v>
      </x:c>
      <x:c r="B3037" t="str">
        <x:v>7 912 403-78-34 - Входящий звонок</x:v>
      </x:c>
      <x:c r="C3037" t="e">
        <x:f>HYPERLINK("https://belberrycrm.bitrix24.ru/crm/deal/details/22604/","https://belberrycrm.bitrix24.ru/crm/deal/details/22604/")</x:f>
      </x:c>
      <x:c r="D3037" t="str">
        <x:v>Реанимация</x:v>
      </x:c>
      <x:c r="E3037" t="str">
        <x:v>ЛИДЫ: Отвалы</x:v>
      </x:c>
      <x:c r="F3037" t="str">
        <x:v>Петр Дудин</x:v>
      </x:c>
      <x:c r="G3037" t="str">
        <x:v>нет</x:v>
      </x:c>
      <x:c r="H3037" t="str">
        <x:v>нет</x:v>
      </x:c>
    </x:row>
    <x:row r="3038">
      <x:c r="A3038" t="str">
        <x:v>22606</x:v>
      </x:c>
      <x:c r="B3038" t="str">
        <x:v>7 961 382-43-62 - Входящий звонок</x:v>
      </x:c>
      <x:c r="C3038" t="e">
        <x:f>HYPERLINK("https://belberrycrm.bitrix24.ru/crm/deal/details/22606/","https://belberrycrm.bitrix24.ru/crm/deal/details/22606/")</x:f>
      </x:c>
      <x:c r="D3038" t="str">
        <x:v>Реанимация</x:v>
      </x:c>
      <x:c r="E3038" t="str">
        <x:v>ЛИДЫ: Отвалы</x:v>
      </x:c>
      <x:c r="F3038" t="str">
        <x:v>Анна Гудинова</x:v>
      </x:c>
      <x:c r="G3038" t="str">
        <x:v>нет</x:v>
      </x:c>
      <x:c r="H3038" t="str">
        <x:v>нет</x:v>
      </x:c>
    </x:row>
    <x:row r="3039">
      <x:c r="A3039" t="str">
        <x:v>22608</x:v>
      </x:c>
      <x:c r="B3039" t="str">
        <x:v>Email | hello@acoola.team от Кристина Кичигина order@tekstil-promo.ru</x:v>
      </x:c>
      <x:c r="C3039" t="e">
        <x:f>HYPERLINK("https://belberrycrm.bitrix24.ru/crm/deal/details/22608/","https://belberrycrm.bitrix24.ru/crm/deal/details/22608/")</x:f>
      </x:c>
      <x:c r="D3039" t="str">
        <x:v>Реанимация</x:v>
      </x:c>
      <x:c r="E3039" t="str">
        <x:v>ЛИДЫ: Отвалы</x:v>
      </x:c>
      <x:c r="F3039" t="str">
        <x:v>Евгения Гордиенко</x:v>
      </x:c>
      <x:c r="G3039" t="str">
        <x:v>нет</x:v>
      </x:c>
      <x:c r="H3039" t="str">
        <x:v>нет</x:v>
      </x:c>
    </x:row>
    <x:row r="3040">
      <x:c r="A3040" t="str">
        <x:v>22610</x:v>
      </x:c>
      <x:c r="B3040" t="str">
        <x:v>Даша</x:v>
      </x:c>
      <x:c r="C3040" t="e">
        <x:f>HYPERLINK("https://belberrycrm.bitrix24.ru/crm/deal/details/22610/","https://belberrycrm.bitrix24.ru/crm/deal/details/22610/")</x:f>
      </x:c>
      <x:c r="D3040" t="str">
        <x:v>Реанимация</x:v>
      </x:c>
      <x:c r="E3040" t="str">
        <x:v>ЛИДЫ: Отвалы</x:v>
      </x:c>
      <x:c r="F3040" t="str">
        <x:v>Петр Дудин</x:v>
      </x:c>
      <x:c r="G3040" t="str">
        <x:v>нет</x:v>
      </x:c>
      <x:c r="H3040" t="str">
        <x:v>нет</x:v>
      </x:c>
    </x:row>
    <x:row r="3041">
      <x:c r="A3041" t="str">
        <x:v>22612</x:v>
      </x:c>
      <x:c r="B3041" t="str">
        <x:v>Sergey Samko</x:v>
      </x:c>
      <x:c r="C3041" t="e">
        <x:f>HYPERLINK("https://belberrycrm.bitrix24.ru/crm/deal/details/22612/","https://belberrycrm.bitrix24.ru/crm/deal/details/22612/")</x:f>
      </x:c>
      <x:c r="D3041" t="str">
        <x:v>Реанимация</x:v>
      </x:c>
      <x:c r="E3041" t="str">
        <x:v>ЛИДЫ: Отвалы</x:v>
      </x:c>
      <x:c r="F3041" t="str">
        <x:v>Евгения Гордиенко</x:v>
      </x:c>
      <x:c r="G3041" t="str">
        <x:v>нет</x:v>
      </x:c>
      <x:c r="H3041" t="str">
        <x:v>нет</x:v>
      </x:c>
    </x:row>
    <x:row r="3042">
      <x:c r="A3042" t="str">
        <x:v>22614</x:v>
      </x:c>
      <x:c r="B3042" t="str">
        <x:v>Email | hello@acoola.team от Ольга Батурина b.olga.mkt@osstem.ru</x:v>
      </x:c>
      <x:c r="C3042" t="e">
        <x:f>HYPERLINK("https://belberrycrm.bitrix24.ru/crm/deal/details/22614/","https://belberrycrm.bitrix24.ru/crm/deal/details/22614/")</x:f>
      </x:c>
      <x:c r="D3042" t="str">
        <x:v>Реанимация</x:v>
      </x:c>
      <x:c r="E3042" t="str">
        <x:v>ЛИДЫ: Отвалы</x:v>
      </x:c>
      <x:c r="F3042" t="str">
        <x:v>Евгения Гордиенко</x:v>
      </x:c>
      <x:c r="G3042" t="str">
        <x:v>нет</x:v>
      </x:c>
      <x:c r="H3042" t="str">
        <x:v>нет</x:v>
      </x:c>
    </x:row>
    <x:row r="3043">
      <x:c r="A3043" t="str">
        <x:v>22616</x:v>
      </x:c>
      <x:c r="B3043" t="str">
        <x:v>Звонок от 79336669477</x:v>
      </x:c>
      <x:c r="C3043" t="e">
        <x:f>HYPERLINK("https://belberrycrm.bitrix24.ru/crm/deal/details/22616/","https://belberrycrm.bitrix24.ru/crm/deal/details/22616/")</x:f>
      </x:c>
      <x:c r="D3043" t="str">
        <x:v>Реанимация</x:v>
      </x:c>
      <x:c r="E3043" t="str">
        <x:v>ЛИДЫ: Отвалы</x:v>
      </x:c>
      <x:c r="F3043" t="str">
        <x:v>Анна Гудинова</x:v>
      </x:c>
      <x:c r="G3043" t="str">
        <x:v>нет</x:v>
      </x:c>
      <x:c r="H3043" t="str">
        <x:v>нет</x:v>
      </x:c>
    </x:row>
    <x:row r="3044">
      <x:c r="A3044" t="str">
        <x:v>22618</x:v>
      </x:c>
      <x:c r="B3044" t="str">
        <x:v>Звонок от 79120900850</x:v>
      </x:c>
      <x:c r="C3044" t="e">
        <x:f>HYPERLINK("https://belberrycrm.bitrix24.ru/crm/deal/details/22618/","https://belberrycrm.bitrix24.ru/crm/deal/details/22618/")</x:f>
      </x:c>
      <x:c r="D3044" t="str">
        <x:v>Реанимация</x:v>
      </x:c>
      <x:c r="E3044" t="str">
        <x:v>ЛИДЫ: Отвалы</x:v>
      </x:c>
      <x:c r="F3044" t="str">
        <x:v>Анна Гудинова</x:v>
      </x:c>
      <x:c r="G3044" t="str">
        <x:v>нет</x:v>
      </x:c>
      <x:c r="H3044" t="str">
        <x:v>нет</x:v>
      </x:c>
    </x:row>
    <x:row r="3045">
      <x:c r="A3045" t="str">
        <x:v>22620</x:v>
      </x:c>
      <x:c r="B3045" t="str">
        <x:v>7 499 325-48-10 - Входящий звонок</x:v>
      </x:c>
      <x:c r="C3045" t="e">
        <x:f>HYPERLINK("https://belberrycrm.bitrix24.ru/crm/deal/details/22620/","https://belberrycrm.bitrix24.ru/crm/deal/details/22620/")</x:f>
      </x:c>
      <x:c r="D3045" t="str">
        <x:v>Реанимация</x:v>
      </x:c>
      <x:c r="E3045" t="str">
        <x:v>ЛИДЫ: Отвалы</x:v>
      </x:c>
      <x:c r="F3045" t="str">
        <x:v>Анна Гудинова</x:v>
      </x:c>
      <x:c r="G3045" t="str">
        <x:v>нет</x:v>
      </x:c>
      <x:c r="H3045" t="str">
        <x:v>нет</x:v>
      </x:c>
    </x:row>
    <x:row r="3046">
      <x:c r="A3046" t="str">
        <x:v>22624</x:v>
      </x:c>
      <x:c r="B3046" t="str">
        <x:v>7 958 100-01-37 - Входящий звонок</x:v>
      </x:c>
      <x:c r="C3046" t="e">
        <x:f>HYPERLINK("https://belberrycrm.bitrix24.ru/crm/deal/details/22624/","https://belberrycrm.bitrix24.ru/crm/deal/details/22624/")</x:f>
      </x:c>
      <x:c r="D3046" t="str">
        <x:v>Реанимация</x:v>
      </x:c>
      <x:c r="E3046" t="str">
        <x:v>ЛИДЫ: Отвалы</x:v>
      </x:c>
      <x:c r="F3046" t="str">
        <x:v>Петр Дудин</x:v>
      </x:c>
      <x:c r="G3046" t="str">
        <x:v>нет</x:v>
      </x:c>
      <x:c r="H3046" t="str">
        <x:v>нет</x:v>
      </x:c>
    </x:row>
    <x:row r="3047">
      <x:c r="A3047" t="str">
        <x:v>22626</x:v>
      </x:c>
      <x:c r="B3047" t="str">
        <x:v>7 812 237-59-29 - Входящий звонок</x:v>
      </x:c>
      <x:c r="C3047" t="e">
        <x:f>HYPERLINK("https://belberrycrm.bitrix24.ru/crm/deal/details/22626/","https://belberrycrm.bitrix24.ru/crm/deal/details/22626/")</x:f>
      </x:c>
      <x:c r="D3047" t="str">
        <x:v>Реанимация</x:v>
      </x:c>
      <x:c r="E3047" t="str">
        <x:v>ЛИДЫ: Отвалы</x:v>
      </x:c>
      <x:c r="F3047" t="str">
        <x:v>Петр Дудин</x:v>
      </x:c>
      <x:c r="G3047" t="str">
        <x:v>нет</x:v>
      </x:c>
      <x:c r="H3047" t="str">
        <x:v>нет</x:v>
      </x:c>
    </x:row>
    <x:row r="3048">
      <x:c r="A3048" t="str">
        <x:v>22628</x:v>
      </x:c>
      <x:c r="B3048" t="str">
        <x:v>7 906 140-36-64 - Входящий звонок</x:v>
      </x:c>
      <x:c r="C3048" t="e">
        <x:f>HYPERLINK("https://belberrycrm.bitrix24.ru/crm/deal/details/22628/","https://belberrycrm.bitrix24.ru/crm/deal/details/22628/")</x:f>
      </x:c>
      <x:c r="D3048" t="str">
        <x:v>Реанимация</x:v>
      </x:c>
      <x:c r="E3048" t="str">
        <x:v>ЛИДЫ: Отвалы</x:v>
      </x:c>
      <x:c r="F3048" t="str">
        <x:v>Петр Дудин</x:v>
      </x:c>
      <x:c r="G3048" t="str">
        <x:v>нет</x:v>
      </x:c>
      <x:c r="H3048" t="str">
        <x:v>нет</x:v>
      </x:c>
    </x:row>
    <x:row r="3049">
      <x:c r="A3049" t="str">
        <x:v>22630</x:v>
      </x:c>
      <x:c r="B3049" t="str">
        <x:v>7 905 183-79-18 - Входящий звонок</x:v>
      </x:c>
      <x:c r="C3049" t="e">
        <x:f>HYPERLINK("https://belberrycrm.bitrix24.ru/crm/deal/details/22630/","https://belberrycrm.bitrix24.ru/crm/deal/details/22630/")</x:f>
      </x:c>
      <x:c r="D3049" t="str">
        <x:v>Реанимация</x:v>
      </x:c>
      <x:c r="E3049" t="str">
        <x:v>ЛИДЫ: Отвалы</x:v>
      </x:c>
      <x:c r="F3049" t="str">
        <x:v>Петр Дудин</x:v>
      </x:c>
      <x:c r="G3049" t="str">
        <x:v>нет</x:v>
      </x:c>
      <x:c r="H3049" t="str">
        <x:v>нет</x:v>
      </x:c>
    </x:row>
    <x:row r="3050">
      <x:c r="A3050" t="str">
        <x:v>22632</x:v>
      </x:c>
      <x:c r="B3050" t="str">
        <x:v>7 931 109-25-75 - Входящий звонок</x:v>
      </x:c>
      <x:c r="C3050" t="e">
        <x:f>HYPERLINK("https://belberrycrm.bitrix24.ru/crm/deal/details/22632/","https://belberrycrm.bitrix24.ru/crm/deal/details/22632/")</x:f>
      </x:c>
      <x:c r="D3050" t="str">
        <x:v>Реанимация</x:v>
      </x:c>
      <x:c r="E3050" t="str">
        <x:v>ЛИДЫ: Отвалы</x:v>
      </x:c>
      <x:c r="F3050" t="str">
        <x:v>Петр Дудин</x:v>
      </x:c>
      <x:c r="G3050" t="str">
        <x:v>нет</x:v>
      </x:c>
      <x:c r="H3050" t="str">
        <x:v>нет</x:v>
      </x:c>
    </x:row>
    <x:row r="3051">
      <x:c r="A3051" t="str">
        <x:v>22634</x:v>
      </x:c>
      <x:c r="B3051" t="str">
        <x:v>Звонок от 79311092528</x:v>
      </x:c>
      <x:c r="C3051" t="e">
        <x:f>HYPERLINK("https://belberrycrm.bitrix24.ru/crm/deal/details/22634/","https://belberrycrm.bitrix24.ru/crm/deal/details/22634/")</x:f>
      </x:c>
      <x:c r="D3051" t="str">
        <x:v>Реанимация</x:v>
      </x:c>
      <x:c r="E3051" t="str">
        <x:v>ЛИДЫ: Отвалы</x:v>
      </x:c>
      <x:c r="F3051" t="str">
        <x:v>Петр Дудин</x:v>
      </x:c>
      <x:c r="G3051" t="str">
        <x:v>нет</x:v>
      </x:c>
      <x:c r="H3051" t="str">
        <x:v>нет</x:v>
      </x:c>
    </x:row>
    <x:row r="3052">
      <x:c r="A3052" t="str">
        <x:v>22636</x:v>
      </x:c>
      <x:c r="B3052" t="str">
        <x:v>7 931 109-25-66 - Входящий звонок</x:v>
      </x:c>
      <x:c r="C3052" t="e">
        <x:f>HYPERLINK("https://belberrycrm.bitrix24.ru/crm/deal/details/22636/","https://belberrycrm.bitrix24.ru/crm/deal/details/22636/")</x:f>
      </x:c>
      <x:c r="D3052" t="str">
        <x:v>Реанимация</x:v>
      </x:c>
      <x:c r="E3052" t="str">
        <x:v>ЛИДЫ: Отвалы</x:v>
      </x:c>
      <x:c r="F3052" t="str">
        <x:v>Петр Дудин</x:v>
      </x:c>
      <x:c r="G3052" t="str">
        <x:v>нет</x:v>
      </x:c>
      <x:c r="H3052" t="str">
        <x:v>нет</x:v>
      </x:c>
    </x:row>
    <x:row r="3053">
      <x:c r="A3053" t="str">
        <x:v>22638</x:v>
      </x:c>
      <x:c r="B3053" t="str">
        <x:v>7 931 109-25-13 - Входящий звонок</x:v>
      </x:c>
      <x:c r="C3053" t="e">
        <x:f>HYPERLINK("https://belberrycrm.bitrix24.ru/crm/deal/details/22638/","https://belberrycrm.bitrix24.ru/crm/deal/details/22638/")</x:f>
      </x:c>
      <x:c r="D3053" t="str">
        <x:v>Реанимация</x:v>
      </x:c>
      <x:c r="E3053" t="str">
        <x:v>ЛИДЫ: Отвалы</x:v>
      </x:c>
      <x:c r="F3053" t="str">
        <x:v>Петр Дудин</x:v>
      </x:c>
      <x:c r="G3053" t="str">
        <x:v>нет</x:v>
      </x:c>
      <x:c r="H3053" t="str">
        <x:v>нет</x:v>
      </x:c>
    </x:row>
    <x:row r="3054">
      <x:c r="A3054" t="str">
        <x:v>22640</x:v>
      </x:c>
      <x:c r="B3054" t="str">
        <x:v>Звонок от 74993257714</x:v>
      </x:c>
      <x:c r="C3054" t="e">
        <x:f>HYPERLINK("https://belberrycrm.bitrix24.ru/crm/deal/details/22640/","https://belberrycrm.bitrix24.ru/crm/deal/details/22640/")</x:f>
      </x:c>
      <x:c r="D3054" t="str">
        <x:v>Реанимация</x:v>
      </x:c>
      <x:c r="E3054" t="str">
        <x:v>ЛИДЫ: Отвалы</x:v>
      </x:c>
      <x:c r="F3054" t="str">
        <x:v>Евгения Гордиенко</x:v>
      </x:c>
      <x:c r="G3054" t="str">
        <x:v>нет</x:v>
      </x:c>
      <x:c r="H3054" t="str">
        <x:v>нет</x:v>
      </x:c>
    </x:row>
    <x:row r="3055">
      <x:c r="A3055" t="str">
        <x:v>22642</x:v>
      </x:c>
      <x:c r="B3055" t="str">
        <x:v>Звонок от 79333994511</x:v>
      </x:c>
      <x:c r="C3055" t="e">
        <x:f>HYPERLINK("https://belberrycrm.bitrix24.ru/crm/deal/details/22642/","https://belberrycrm.bitrix24.ru/crm/deal/details/22642/")</x:f>
      </x:c>
      <x:c r="D3055" t="str">
        <x:v>Реанимация</x:v>
      </x:c>
      <x:c r="E3055" t="str">
        <x:v>ЛИДЫ: Отвалы</x:v>
      </x:c>
      <x:c r="F3055" t="str">
        <x:v>Евгения Гордиенко</x:v>
      </x:c>
      <x:c r="G3055" t="str">
        <x:v>нет</x:v>
      </x:c>
      <x:c r="H3055" t="str">
        <x:v>нет</x:v>
      </x:c>
    </x:row>
    <x:row r="3056">
      <x:c r="A3056" t="str">
        <x:v>22644</x:v>
      </x:c>
      <x:c r="B3056" t="str">
        <x:v>Звонок от 79365202058</x:v>
      </x:c>
      <x:c r="C3056" t="e">
        <x:f>HYPERLINK("https://belberrycrm.bitrix24.ru/crm/deal/details/22644/","https://belberrycrm.bitrix24.ru/crm/deal/details/22644/")</x:f>
      </x:c>
      <x:c r="D3056" t="str">
        <x:v>Реанимация</x:v>
      </x:c>
      <x:c r="E3056" t="str">
        <x:v>ЛИДЫ: Отвалы</x:v>
      </x:c>
      <x:c r="F3056" t="str">
        <x:v>Петр Дудин</x:v>
      </x:c>
      <x:c r="G3056" t="str">
        <x:v>нет</x:v>
      </x:c>
      <x:c r="H3056" t="str">
        <x:v>нет</x:v>
      </x:c>
    </x:row>
    <x:row r="3057">
      <x:c r="A3057" t="str">
        <x:v>22646</x:v>
      </x:c>
      <x:c r="B3057" t="str">
        <x:v>Звонок от 74999430130</x:v>
      </x:c>
      <x:c r="C3057" t="e">
        <x:f>HYPERLINK("https://belberrycrm.bitrix24.ru/crm/deal/details/22646/","https://belberrycrm.bitrix24.ru/crm/deal/details/22646/")</x:f>
      </x:c>
      <x:c r="D3057" t="str">
        <x:v>Реанимация</x:v>
      </x:c>
      <x:c r="E3057" t="str">
        <x:v>ЛИДЫ: Отвалы</x:v>
      </x:c>
      <x:c r="F3057" t="str">
        <x:v>Анна Гудинова</x:v>
      </x:c>
      <x:c r="G3057" t="str">
        <x:v>нет</x:v>
      </x:c>
      <x:c r="H3057" t="str">
        <x:v>нет</x:v>
      </x:c>
    </x:row>
    <x:row r="3058">
      <x:c r="A3058" t="str">
        <x:v>22648</x:v>
      </x:c>
      <x:c r="B3058" t="str">
        <x:v>7 964 591-59-05 - Входящий звонок</x:v>
      </x:c>
      <x:c r="C3058" t="e">
        <x:f>HYPERLINK("https://belberrycrm.bitrix24.ru/crm/deal/details/22648/","https://belberrycrm.bitrix24.ru/crm/deal/details/22648/")</x:f>
      </x:c>
      <x:c r="D3058" t="str">
        <x:v>Реанимация</x:v>
      </x:c>
      <x:c r="E3058" t="str">
        <x:v>ЛИДЫ: Отвалы</x:v>
      </x:c>
      <x:c r="F3058" t="str">
        <x:v>Петр Дудин</x:v>
      </x:c>
      <x:c r="G3058" t="str">
        <x:v>нет</x:v>
      </x:c>
      <x:c r="H3058" t="str">
        <x:v>нет</x:v>
      </x:c>
    </x:row>
    <x:row r="3059">
      <x:c r="A3059" t="str">
        <x:v>22650</x:v>
      </x:c>
      <x:c r="B3059" t="str">
        <x:v>Email | hello@acoola.team от Соловьев Сергей Михайлович ssolovev@newsmedia.ru</x:v>
      </x:c>
      <x:c r="C3059" t="e">
        <x:f>HYPERLINK("https://belberrycrm.bitrix24.ru/crm/deal/details/22650/","https://belberrycrm.bitrix24.ru/crm/deal/details/22650/")</x:f>
      </x:c>
      <x:c r="D3059" t="str">
        <x:v>Реанимация</x:v>
      </x:c>
      <x:c r="E3059" t="str">
        <x:v>ЛИДЫ: Отвалы</x:v>
      </x:c>
      <x:c r="F3059" t="str">
        <x:v>Евгения Гордиенко</x:v>
      </x:c>
      <x:c r="G3059" t="str">
        <x:v>нет</x:v>
      </x:c>
      <x:c r="H3059" t="str">
        <x:v>нет</x:v>
      </x:c>
    </x:row>
    <x:row r="3060">
      <x:c r="A3060" t="str">
        <x:v>22652</x:v>
      </x:c>
      <x:c r="B3060" t="str">
        <x:v>Email | hello@belberry.net от Валерия Петрова v.petrova@logomachine.ru</x:v>
      </x:c>
      <x:c r="C3060" t="e">
        <x:f>HYPERLINK("https://belberrycrm.bitrix24.ru/crm/deal/details/22652/","https://belberrycrm.bitrix24.ru/crm/deal/details/22652/")</x:f>
      </x:c>
      <x:c r="D3060" t="str">
        <x:v>Реанимация</x:v>
      </x:c>
      <x:c r="E3060" t="str">
        <x:v>ЛИДЫ: Отвалы</x:v>
      </x:c>
      <x:c r="F3060" t="str">
        <x:v>Петр Дудин</x:v>
      </x:c>
      <x:c r="G3060" t="str">
        <x:v>нет</x:v>
      </x:c>
      <x:c r="H3060" t="str">
        <x:v>нет</x:v>
      </x:c>
    </x:row>
    <x:row r="3061">
      <x:c r="A3061" t="str">
        <x:v>22654</x:v>
      </x:c>
      <x:c r="B3061" t="str">
        <x:v>Spam Info Bot</x:v>
      </x:c>
      <x:c r="C3061" t="e">
        <x:f>HYPERLINK("https://belberrycrm.bitrix24.ru/crm/deal/details/22654/","https://belberrycrm.bitrix24.ru/crm/deal/details/22654/")</x:f>
      </x:c>
      <x:c r="D3061" t="str">
        <x:v>Реанимация</x:v>
      </x:c>
      <x:c r="E3061" t="str">
        <x:v>ЛИДЫ: Отвалы</x:v>
      </x:c>
      <x:c r="F3061" t="str">
        <x:v>Евгения Гордиенко</x:v>
      </x:c>
      <x:c r="G3061" t="str">
        <x:v>нет</x:v>
      </x:c>
      <x:c r="H3061" t="str">
        <x:v>нет</x:v>
      </x:c>
    </x:row>
    <x:row r="3062">
      <x:c r="A3062" t="str">
        <x:v>22656</x:v>
      </x:c>
      <x:c r="B3062" t="str">
        <x:v>Email | hello@belberry.net от Светлана Назарова nazarovasvetlana2@gmail.com</x:v>
      </x:c>
      <x:c r="C3062" t="e">
        <x:f>HYPERLINK("https://belberrycrm.bitrix24.ru/crm/deal/details/22656/","https://belberrycrm.bitrix24.ru/crm/deal/details/22656/")</x:f>
      </x:c>
      <x:c r="D3062" t="str">
        <x:v>Реанимация</x:v>
      </x:c>
      <x:c r="E3062" t="str">
        <x:v>ЛИДЫ: Отвалы</x:v>
      </x:c>
      <x:c r="F3062" t="str">
        <x:v>Петр Дудин</x:v>
      </x:c>
      <x:c r="G3062" t="str">
        <x:v>нет</x:v>
      </x:c>
      <x:c r="H3062" t="str">
        <x:v>нет</x:v>
      </x:c>
    </x:row>
    <x:row r="3063">
      <x:c r="A3063" t="str">
        <x:v>22660</x:v>
      </x:c>
      <x:c r="B3063" t="str">
        <x:v>Заявка с сайта от тптттппт 79221857485</x:v>
      </x:c>
      <x:c r="C3063" t="e">
        <x:f>HYPERLINK("https://belberrycrm.bitrix24.ru/crm/deal/details/22660/","https://belberrycrm.bitrix24.ru/crm/deal/details/22660/")</x:f>
      </x:c>
      <x:c r="D3063" t="str">
        <x:v>Реанимация</x:v>
      </x:c>
      <x:c r="E3063" t="str">
        <x:v>ЛИДЫ: Отвалы</x:v>
      </x:c>
      <x:c r="F3063" t="str">
        <x:v>Анна Гудинова</x:v>
      </x:c>
      <x:c r="G3063" t="str">
        <x:v>нет</x:v>
      </x:c>
      <x:c r="H3063" t="str">
        <x:v>нет</x:v>
      </x:c>
    </x:row>
    <x:row r="3064">
      <x:c r="A3064" t="str">
        <x:v>22662</x:v>
      </x:c>
      <x:c r="B3064" t="str">
        <x:v>Александра</x:v>
      </x:c>
      <x:c r="C3064" t="e">
        <x:f>HYPERLINK("https://belberrycrm.bitrix24.ru/crm/deal/details/22662/","https://belberrycrm.bitrix24.ru/crm/deal/details/22662/")</x:f>
      </x:c>
      <x:c r="D3064" t="str">
        <x:v>Реанимация</x:v>
      </x:c>
      <x:c r="E3064" t="str">
        <x:v>ЛИДЫ: Отвалы</x:v>
      </x:c>
      <x:c r="F3064" t="str">
        <x:v>Евгения Гордиенко</x:v>
      </x:c>
      <x:c r="G3064" t="str">
        <x:v>нет</x:v>
      </x:c>
      <x:c r="H3064" t="str">
        <x:v>нет</x:v>
      </x:c>
    </x:row>
    <x:row r="3065">
      <x:c r="A3065" t="str">
        <x:v>22664</x:v>
      </x:c>
      <x:c r="B3065" t="str">
        <x:v>Email | hello@belberry.net от Конструктор TOBIZ konstruktortobiz@yandex.ru</x:v>
      </x:c>
      <x:c r="C3065" t="e">
        <x:f>HYPERLINK("https://belberrycrm.bitrix24.ru/crm/deal/details/22664/","https://belberrycrm.bitrix24.ru/crm/deal/details/22664/")</x:f>
      </x:c>
      <x:c r="D3065" t="str">
        <x:v>Реанимация</x:v>
      </x:c>
      <x:c r="E3065" t="str">
        <x:v>ЛИДЫ: Отвалы</x:v>
      </x:c>
      <x:c r="F3065" t="str">
        <x:v>Петр Дудин</x:v>
      </x:c>
      <x:c r="G3065" t="str">
        <x:v>нет</x:v>
      </x:c>
      <x:c r="H3065" t="str">
        <x:v>нет</x:v>
      </x:c>
    </x:row>
    <x:row r="3066">
      <x:c r="A3066" t="str">
        <x:v>22666</x:v>
      </x:c>
      <x:c r="B3066" t="str">
        <x:v>Email | hello@belberry.net от Виктория Костоварова vakostovarova@yandex.ru</x:v>
      </x:c>
      <x:c r="C3066" t="e">
        <x:f>HYPERLINK("https://belberrycrm.bitrix24.ru/crm/deal/details/22666/","https://belberrycrm.bitrix24.ru/crm/deal/details/22666/")</x:f>
      </x:c>
      <x:c r="D3066" t="str">
        <x:v>Реанимация</x:v>
      </x:c>
      <x:c r="E3066" t="str">
        <x:v>ЛИДЫ: Отвалы</x:v>
      </x:c>
      <x:c r="F3066" t="str">
        <x:v>Петр Дудин</x:v>
      </x:c>
      <x:c r="G3066" t="str">
        <x:v>нет</x:v>
      </x:c>
      <x:c r="H3066" t="str">
        <x:v>нет</x:v>
      </x:c>
    </x:row>
    <x:row r="3067">
      <x:c r="A3067" t="str">
        <x:v>22670</x:v>
      </x:c>
      <x:c r="B3067" t="str">
        <x:v>Звонок от 79810355449</x:v>
      </x:c>
      <x:c r="C3067" t="e">
        <x:f>HYPERLINK("https://belberrycrm.bitrix24.ru/crm/deal/details/22670/","https://belberrycrm.bitrix24.ru/crm/deal/details/22670/")</x:f>
      </x:c>
      <x:c r="D3067" t="str">
        <x:v>Реанимация</x:v>
      </x:c>
      <x:c r="E3067" t="str">
        <x:v>ЛИДЫ: Отвалы</x:v>
      </x:c>
      <x:c r="F3067" t="str">
        <x:v>Петр Дудин</x:v>
      </x:c>
      <x:c r="G3067" t="str">
        <x:v>нет</x:v>
      </x:c>
      <x:c r="H3067" t="str">
        <x:v>нет</x:v>
      </x:c>
    </x:row>
    <x:row r="3068">
      <x:c r="A3068" t="str">
        <x:v>22672</x:v>
      </x:c>
      <x:c r="B3068" t="str">
        <x:v>Email | hello@acoola.team от Space Reputation spacereputation@yandex.ru</x:v>
      </x:c>
      <x:c r="C3068" t="e">
        <x:f>HYPERLINK("https://belberrycrm.bitrix24.ru/crm/deal/details/22672/","https://belberrycrm.bitrix24.ru/crm/deal/details/22672/")</x:f>
      </x:c>
      <x:c r="D3068" t="str">
        <x:v>Реанимация</x:v>
      </x:c>
      <x:c r="E3068" t="str">
        <x:v>ЛИДЫ: Отвалы</x:v>
      </x:c>
      <x:c r="F3068" t="str">
        <x:v>Анна Гудинова</x:v>
      </x:c>
      <x:c r="G3068" t="str">
        <x:v>нет</x:v>
      </x:c>
      <x:c r="H3068" t="str">
        <x:v>нет</x:v>
      </x:c>
    </x:row>
    <x:row r="3069">
      <x:c r="A3069" t="str">
        <x:v>22674</x:v>
      </x:c>
      <x:c r="B3069" t="str">
        <x:v>Email | hello@acoola.team от Блокнот Воронеж rk@bloknot.ru</x:v>
      </x:c>
      <x:c r="C3069" t="e">
        <x:f>HYPERLINK("https://belberrycrm.bitrix24.ru/crm/deal/details/22674/","https://belberrycrm.bitrix24.ru/crm/deal/details/22674/")</x:f>
      </x:c>
      <x:c r="D3069" t="str">
        <x:v>Реанимация</x:v>
      </x:c>
      <x:c r="E3069" t="str">
        <x:v>ЛИДЫ: Отвалы</x:v>
      </x:c>
      <x:c r="F3069" t="str">
        <x:v>Анна Гудинова</x:v>
      </x:c>
      <x:c r="G3069" t="str">
        <x:v>нет</x:v>
      </x:c>
      <x:c r="H3069" t="str">
        <x:v>нет</x:v>
      </x:c>
    </x:row>
    <x:row r="3070">
      <x:c r="A3070" t="str">
        <x:v>22676</x:v>
      </x:c>
      <x:c r="B3070" t="str">
        <x:v>Заявка с сайта от Светлана 79616516508</x:v>
      </x:c>
      <x:c r="C3070" t="e">
        <x:f>HYPERLINK("https://belberrycrm.bitrix24.ru/crm/deal/details/22676/","https://belberrycrm.bitrix24.ru/crm/deal/details/22676/")</x:f>
      </x:c>
      <x:c r="D3070" t="str">
        <x:v>Реанимация</x:v>
      </x:c>
      <x:c r="E3070" t="str">
        <x:v>ЛИДЫ: Отвалы</x:v>
      </x:c>
      <x:c r="F3070" t="str">
        <x:v>Анна Гудинова</x:v>
      </x:c>
      <x:c r="G3070" t="str">
        <x:v>нет</x:v>
      </x:c>
      <x:c r="H3070" t="str">
        <x:v>нет</x:v>
      </x:c>
    </x:row>
    <x:row r="3071">
      <x:c r="A3071" t="str">
        <x:v>22678</x:v>
      </x:c>
      <x:c r="B3071" t="str">
        <x:v>7 977 089-40-30 - Входящий звонок</x:v>
      </x:c>
      <x:c r="C3071" t="e">
        <x:f>HYPERLINK("https://belberrycrm.bitrix24.ru/crm/deal/details/22678/","https://belberrycrm.bitrix24.ru/crm/deal/details/22678/")</x:f>
      </x:c>
      <x:c r="D3071" t="str">
        <x:v>Реанимация</x:v>
      </x:c>
      <x:c r="E3071" t="str">
        <x:v>ЛИДЫ: Отвалы</x:v>
      </x:c>
      <x:c r="F3071" t="str">
        <x:v>Анна Гудинова</x:v>
      </x:c>
      <x:c r="G3071" t="str">
        <x:v>нет</x:v>
      </x:c>
      <x:c r="H3071" t="str">
        <x:v>нет</x:v>
      </x:c>
    </x:row>
    <x:row r="3072">
      <x:c r="A3072" t="str">
        <x:v>22680</x:v>
      </x:c>
      <x:c r="B3072" t="str">
        <x:v>Заявка с сайта от Елена 79154432561</x:v>
      </x:c>
      <x:c r="C3072" t="e">
        <x:f>HYPERLINK("https://belberrycrm.bitrix24.ru/crm/deal/details/22680/","https://belberrycrm.bitrix24.ru/crm/deal/details/22680/")</x:f>
      </x:c>
      <x:c r="D3072" t="str">
        <x:v>Реанимация</x:v>
      </x:c>
      <x:c r="E3072" t="str">
        <x:v>ЛИДЫ: Отвалы</x:v>
      </x:c>
      <x:c r="F3072" t="str">
        <x:v>Анна Гудинова</x:v>
      </x:c>
      <x:c r="G3072" t="str">
        <x:v>нет</x:v>
      </x:c>
      <x:c r="H3072" t="str">
        <x:v>нет</x:v>
      </x:c>
    </x:row>
    <x:row r="3073">
      <x:c r="A3073" t="str">
        <x:v>22682</x:v>
      </x:c>
      <x:c r="B3073" t="str">
        <x:v>7 967 245-68-59 - Входящий звонок</x:v>
      </x:c>
      <x:c r="C3073" t="e">
        <x:f>HYPERLINK("https://belberrycrm.bitrix24.ru/crm/deal/details/22682/","https://belberrycrm.bitrix24.ru/crm/deal/details/22682/")</x:f>
      </x:c>
      <x:c r="D3073" t="str">
        <x:v>Реанимация</x:v>
      </x:c>
      <x:c r="E3073" t="str">
        <x:v>ЛИДЫ: Отвалы</x:v>
      </x:c>
      <x:c r="F3073" t="str">
        <x:v>Анна Гудинова</x:v>
      </x:c>
      <x:c r="G3073" t="str">
        <x:v>нет</x:v>
      </x:c>
      <x:c r="H3073" t="str">
        <x:v>нет</x:v>
      </x:c>
    </x:row>
    <x:row r="3074">
      <x:c r="A3074" t="str">
        <x:v>22684</x:v>
      </x:c>
      <x:c r="B3074" t="str">
        <x:v>https://prostombiz.ru</x:v>
      </x:c>
      <x:c r="C3074" t="e">
        <x:f>HYPERLINK("https://belberrycrm.bitrix24.ru/crm/deal/details/22684/","https://belberrycrm.bitrix24.ru/crm/deal/details/22684/")</x:f>
      </x:c>
      <x:c r="D3074" t="str">
        <x:v>Реанимация</x:v>
      </x:c>
      <x:c r="E3074" t="str">
        <x:v>ЛИДЫ: Отвалы</x:v>
      </x:c>
      <x:c r="F3074" t="str">
        <x:v>Петр Дудин</x:v>
      </x:c>
      <x:c r="G3074" t="str">
        <x:v>нет</x:v>
      </x:c>
      <x:c r="H3074" t="str">
        <x:v>нет</x:v>
      </x:c>
    </x:row>
    <x:row r="3075">
      <x:c r="A3075" t="str">
        <x:v>22686</x:v>
      </x:c>
      <x:c r="B3075" t="str">
        <x:v>Email | hello@acoola.team от Elizaveta Goroshko e.goroshko@cp.ru</x:v>
      </x:c>
      <x:c r="C3075" t="e">
        <x:f>HYPERLINK("https://belberrycrm.bitrix24.ru/crm/deal/details/22686/","https://belberrycrm.bitrix24.ru/crm/deal/details/22686/")</x:f>
      </x:c>
      <x:c r="D3075" t="str">
        <x:v>Реанимация</x:v>
      </x:c>
      <x:c r="E3075" t="str">
        <x:v>ЛИДЫ: Отвалы</x:v>
      </x:c>
      <x:c r="F3075" t="str">
        <x:v>Анна Гудинова</x:v>
      </x:c>
      <x:c r="G3075" t="str">
        <x:v>нет</x:v>
      </x:c>
      <x:c r="H3075" t="str">
        <x:v>нет</x:v>
      </x:c>
    </x:row>
    <x:row r="3076">
      <x:c r="A3076" t="str">
        <x:v>22688</x:v>
      </x:c>
      <x:c r="B3076" t="str">
        <x:v>Заявка с сайта от Тимур 79616516527</x:v>
      </x:c>
      <x:c r="C3076" t="e">
        <x:f>HYPERLINK("https://belberrycrm.bitrix24.ru/crm/deal/details/22688/","https://belberrycrm.bitrix24.ru/crm/deal/details/22688/")</x:f>
      </x:c>
      <x:c r="D3076" t="str">
        <x:v>Реанимация</x:v>
      </x:c>
      <x:c r="E3076" t="str">
        <x:v>ЛИДЫ: Отвалы</x:v>
      </x:c>
      <x:c r="F3076" t="str">
        <x:v>Анна Гудинова</x:v>
      </x:c>
      <x:c r="G3076" t="str">
        <x:v>нет</x:v>
      </x:c>
      <x:c r="H3076" t="str">
        <x:v>нет</x:v>
      </x:c>
    </x:row>
    <x:row r="3077">
      <x:c r="A3077" t="str">
        <x:v>22690</x:v>
      </x:c>
      <x:c r="B3077" t="str">
        <x:v>Заявка с сайта от Артем 79098970447</x:v>
      </x:c>
      <x:c r="C3077" t="e">
        <x:f>HYPERLINK("https://belberrycrm.bitrix24.ru/crm/deal/details/22690/","https://belberrycrm.bitrix24.ru/crm/deal/details/22690/")</x:f>
      </x:c>
      <x:c r="D3077" t="str">
        <x:v>Реанимация</x:v>
      </x:c>
      <x:c r="E3077" t="str">
        <x:v>ЛИДЫ: Отвалы</x:v>
      </x:c>
      <x:c r="F3077" t="str">
        <x:v>Петр Дудин</x:v>
      </x:c>
      <x:c r="G3077" t="str">
        <x:v>нет</x:v>
      </x:c>
      <x:c r="H3077" t="str">
        <x:v>нет</x:v>
      </x:c>
    </x:row>
    <x:row r="3078">
      <x:c r="A3078" t="str">
        <x:v>22692</x:v>
      </x:c>
      <x:c r="B3078" t="str">
        <x:v>Email | hello@belberry.net от Seometry.ru seometry@yandex.ru</x:v>
      </x:c>
      <x:c r="C3078" t="e">
        <x:f>HYPERLINK("https://belberrycrm.bitrix24.ru/crm/deal/details/22692/","https://belberrycrm.bitrix24.ru/crm/deal/details/22692/")</x:f>
      </x:c>
      <x:c r="D3078" t="str">
        <x:v>Реанимация</x:v>
      </x:c>
      <x:c r="E3078" t="str">
        <x:v>ЛИДЫ: Отвалы</x:v>
      </x:c>
      <x:c r="F3078" t="str">
        <x:v>Петр Дудин</x:v>
      </x:c>
      <x:c r="G3078" t="str">
        <x:v>нет</x:v>
      </x:c>
      <x:c r="H3078" t="str">
        <x:v>нет</x:v>
      </x:c>
    </x:row>
    <x:row r="3079">
      <x:c r="A3079" t="str">
        <x:v>22694</x:v>
      </x:c>
      <x:c r="B3079" t="str">
        <x:v>Email | hello@acoola.team от Виктория Никитина vn@loyalty-forum.ru</x:v>
      </x:c>
      <x:c r="C3079" t="e">
        <x:f>HYPERLINK("https://belberrycrm.bitrix24.ru/crm/deal/details/22694/","https://belberrycrm.bitrix24.ru/crm/deal/details/22694/")</x:f>
      </x:c>
      <x:c r="D3079" t="str">
        <x:v>Реанимация</x:v>
      </x:c>
      <x:c r="E3079" t="str">
        <x:v>ЛИДЫ: Отвалы</x:v>
      </x:c>
      <x:c r="F3079" t="str">
        <x:v>Анна Гудинова</x:v>
      </x:c>
      <x:c r="G3079" t="str">
        <x:v>нет</x:v>
      </x:c>
      <x:c r="H3079" t="str">
        <x:v>нет</x:v>
      </x:c>
    </x:row>
    <x:row r="3080">
      <x:c r="A3080" t="str">
        <x:v>22696</x:v>
      </x:c>
      <x:c r="B3080" t="str">
        <x:v>Email | hello@acoola.team от Мамлеева Аделина Руслановна mamleevaar@culture.mos.ru</x:v>
      </x:c>
      <x:c r="C3080" t="e">
        <x:f>HYPERLINK("https://belberrycrm.bitrix24.ru/crm/deal/details/22696/","https://belberrycrm.bitrix24.ru/crm/deal/details/22696/")</x:f>
      </x:c>
      <x:c r="D3080" t="str">
        <x:v>Реанимация</x:v>
      </x:c>
      <x:c r="E3080" t="str">
        <x:v>ЛИДЫ: Отвалы</x:v>
      </x:c>
      <x:c r="F3080" t="str">
        <x:v>Анна Гудинова</x:v>
      </x:c>
      <x:c r="G3080" t="str">
        <x:v>нет</x:v>
      </x:c>
      <x:c r="H3080" t="str">
        <x:v>нет</x:v>
      </x:c>
    </x:row>
    <x:row r="3081">
      <x:c r="A3081" t="str">
        <x:v>22698</x:v>
      </x:c>
      <x:c r="B3081" t="str">
        <x:v>Email | hello@acoola.team от  design@omega-pr.ru</x:v>
      </x:c>
      <x:c r="C3081" t="e">
        <x:f>HYPERLINK("https://belberrycrm.bitrix24.ru/crm/deal/details/22698/","https://belberrycrm.bitrix24.ru/crm/deal/details/22698/")</x:f>
      </x:c>
      <x:c r="D3081" t="str">
        <x:v>Реанимация</x:v>
      </x:c>
      <x:c r="E3081" t="str">
        <x:v>ЛИДЫ: Отвалы</x:v>
      </x:c>
      <x:c r="F3081" t="str">
        <x:v>Анна Гудинова</x:v>
      </x:c>
      <x:c r="G3081" t="str">
        <x:v>нет</x:v>
      </x:c>
      <x:c r="H3081" t="str">
        <x:v>нет</x:v>
      </x:c>
    </x:row>
    <x:row r="3082">
      <x:c r="A3082" t="str">
        <x:v>22700</x:v>
      </x:c>
      <x:c r="B3082" t="str">
        <x:v>7 905 248-45-18 - Входящий звонок</x:v>
      </x:c>
      <x:c r="C3082" t="e">
        <x:f>HYPERLINK("https://belberrycrm.bitrix24.ru/crm/deal/details/22700/","https://belberrycrm.bitrix24.ru/crm/deal/details/22700/")</x:f>
      </x:c>
      <x:c r="D3082" t="str">
        <x:v>Реанимация</x:v>
      </x:c>
      <x:c r="E3082" t="str">
        <x:v>ЛИДЫ: Отвалы</x:v>
      </x:c>
      <x:c r="F3082" t="str">
        <x:v>Анна Гудинова</x:v>
      </x:c>
      <x:c r="G3082" t="str">
        <x:v>нет</x:v>
      </x:c>
      <x:c r="H3082" t="str">
        <x:v>нет</x:v>
      </x:c>
    </x:row>
    <x:row r="3083">
      <x:c r="A3083" t="str">
        <x:v>22702</x:v>
      </x:c>
      <x:c r="B3083" t="str">
        <x:v>Заявка с сайта от Round 1 78555555555</x:v>
      </x:c>
      <x:c r="C3083" t="e">
        <x:f>HYPERLINK("https://belberrycrm.bitrix24.ru/crm/deal/details/22702/","https://belberrycrm.bitrix24.ru/crm/deal/details/22702/")</x:f>
      </x:c>
      <x:c r="D3083" t="str">
        <x:v>Реанимация</x:v>
      </x:c>
      <x:c r="E3083" t="str">
        <x:v>ЛИДЫ: Отвалы</x:v>
      </x:c>
      <x:c r="F3083" t="str">
        <x:v>Анна Гудинова</x:v>
      </x:c>
      <x:c r="G3083" t="str">
        <x:v>нет</x:v>
      </x:c>
      <x:c r="H3083" t="str">
        <x:v>нет</x:v>
      </x:c>
    </x:row>
    <x:row r="3084">
      <x:c r="A3084" t="str">
        <x:v>22704</x:v>
      </x:c>
      <x:c r="B3084" t="str">
        <x:v>Email | hello@belberry.net от Екатерина Саватнеева vazhnye-chisla@yandex.ru</x:v>
      </x:c>
      <x:c r="C3084" t="e">
        <x:f>HYPERLINK("https://belberrycrm.bitrix24.ru/crm/deal/details/22704/","https://belberrycrm.bitrix24.ru/crm/deal/details/22704/")</x:f>
      </x:c>
      <x:c r="D3084" t="str">
        <x:v>Реанимация</x:v>
      </x:c>
      <x:c r="E3084" t="str">
        <x:v>ЛИДЫ: Отвалы</x:v>
      </x:c>
      <x:c r="F3084" t="str">
        <x:v>Петр Дудин</x:v>
      </x:c>
      <x:c r="G3084" t="str">
        <x:v>нет</x:v>
      </x:c>
      <x:c r="H3084" t="str">
        <x:v>нет</x:v>
      </x:c>
    </x:row>
    <x:row r="3085">
      <x:c r="A3085" t="str">
        <x:v>22706</x:v>
      </x:c>
      <x:c r="B3085" t="str">
        <x:v>7 968 058-32-55 - Входящий звонок</x:v>
      </x:c>
      <x:c r="C3085" t="e">
        <x:f>HYPERLINK("https://belberrycrm.bitrix24.ru/crm/deal/details/22706/","https://belberrycrm.bitrix24.ru/crm/deal/details/22706/")</x:f>
      </x:c>
      <x:c r="D3085" t="str">
        <x:v>Реанимация</x:v>
      </x:c>
      <x:c r="E3085" t="str">
        <x:v>ЛИДЫ: Отвалы</x:v>
      </x:c>
      <x:c r="F3085" t="str">
        <x:v>Петр Дудин</x:v>
      </x:c>
      <x:c r="G3085" t="str">
        <x:v>нет</x:v>
      </x:c>
      <x:c r="H3085" t="str">
        <x:v>нет</x:v>
      </x:c>
    </x:row>
    <x:row r="3086">
      <x:c r="A3086" t="str">
        <x:v>22708</x:v>
      </x:c>
      <x:c r="B3086" t="str">
        <x:v>Звонок от 79395551969</x:v>
      </x:c>
      <x:c r="C3086" t="e">
        <x:f>HYPERLINK("https://belberrycrm.bitrix24.ru/crm/deal/details/22708/","https://belberrycrm.bitrix24.ru/crm/deal/details/22708/")</x:f>
      </x:c>
      <x:c r="D3086" t="str">
        <x:v>Реанимация</x:v>
      </x:c>
      <x:c r="E3086" t="str">
        <x:v>ЛИДЫ: Отвалы</x:v>
      </x:c>
      <x:c r="F3086" t="str">
        <x:v>Анна Гудинова</x:v>
      </x:c>
      <x:c r="G3086" t="str">
        <x:v>нет</x:v>
      </x:c>
      <x:c r="H3086" t="str">
        <x:v>нет</x:v>
      </x:c>
    </x:row>
    <x:row r="3087">
      <x:c r="A3087" t="str">
        <x:v>22710</x:v>
      </x:c>
      <x:c r="B3087" t="str">
        <x:v>Заявка с сайта от Ирина 79374857398</x:v>
      </x:c>
      <x:c r="C3087" t="e">
        <x:f>HYPERLINK("https://belberrycrm.bitrix24.ru/crm/deal/details/22710/","https://belberrycrm.bitrix24.ru/crm/deal/details/22710/")</x:f>
      </x:c>
      <x:c r="D3087" t="str">
        <x:v>Реанимация</x:v>
      </x:c>
      <x:c r="E3087" t="str">
        <x:v>ЛИДЫ: Отвалы</x:v>
      </x:c>
      <x:c r="F3087" t="str">
        <x:v>Петр Дудин</x:v>
      </x:c>
      <x:c r="G3087" t="str">
        <x:v>нет</x:v>
      </x:c>
      <x:c r="H3087" t="str">
        <x:v>нет</x:v>
      </x:c>
    </x:row>
    <x:row r="3088">
      <x:c r="A3088" t="str">
        <x:v>22712</x:v>
      </x:c>
      <x:c r="B3088" t="str">
        <x:v>Email | hello@acoola.team от Шемякин Дизайн shop@chemiakin.ru</x:v>
      </x:c>
      <x:c r="C3088" t="e">
        <x:f>HYPERLINK("https://belberrycrm.bitrix24.ru/crm/deal/details/22712/","https://belberrycrm.bitrix24.ru/crm/deal/details/22712/")</x:f>
      </x:c>
      <x:c r="D3088" t="str">
        <x:v>Реанимация</x:v>
      </x:c>
      <x:c r="E3088" t="str">
        <x:v>ЛИДЫ: Отвалы</x:v>
      </x:c>
      <x:c r="F3088" t="str">
        <x:v>Анна Гудинова</x:v>
      </x:c>
      <x:c r="G3088" t="str">
        <x:v>нет</x:v>
      </x:c>
      <x:c r="H3088" t="str">
        <x:v>нет</x:v>
      </x:c>
    </x:row>
    <x:row r="3089">
      <x:c r="A3089" t="str">
        <x:v>22714</x:v>
      </x:c>
      <x:c r="B3089" t="str">
        <x:v>Звонок от 79801904625</x:v>
      </x:c>
      <x:c r="C3089" t="e">
        <x:f>HYPERLINK("https://belberrycrm.bitrix24.ru/crm/deal/details/22714/","https://belberrycrm.bitrix24.ru/crm/deal/details/22714/")</x:f>
      </x:c>
      <x:c r="D3089" t="str">
        <x:v>Реанимация</x:v>
      </x:c>
      <x:c r="E3089" t="str">
        <x:v>ЛИДЫ: Отвалы</x:v>
      </x:c>
      <x:c r="F3089" t="str">
        <x:v>Петр Дудин</x:v>
      </x:c>
      <x:c r="G3089" t="str">
        <x:v>нет</x:v>
      </x:c>
      <x:c r="H3089" t="str">
        <x:v>нет</x:v>
      </x:c>
    </x:row>
    <x:row r="3090">
      <x:c r="A3090" t="str">
        <x:v>22716</x:v>
      </x:c>
      <x:c r="B3090" t="str">
        <x:v>Звонок от 79616516543</x:v>
      </x:c>
      <x:c r="C3090" t="e">
        <x:f>HYPERLINK("https://belberrycrm.bitrix24.ru/crm/deal/details/22716/","https://belberrycrm.bitrix24.ru/crm/deal/details/22716/")</x:f>
      </x:c>
      <x:c r="D3090" t="str">
        <x:v>Реанимация</x:v>
      </x:c>
      <x:c r="E3090" t="str">
        <x:v>ЛИДЫ: Отвалы</x:v>
      </x:c>
      <x:c r="F3090" t="str">
        <x:v>Анна Гудинова</x:v>
      </x:c>
      <x:c r="G3090" t="str">
        <x:v>нет</x:v>
      </x:c>
      <x:c r="H3090" t="str">
        <x:v>нет</x:v>
      </x:c>
    </x:row>
    <x:row r="3091">
      <x:c r="A3091" t="str">
        <x:v>22718</x:v>
      </x:c>
      <x:c r="B3091" t="str">
        <x:v>Email | hello@acoola.team от Tatyana Ivanova ivanova.t.v.work@gmail.com</x:v>
      </x:c>
      <x:c r="C3091" t="e">
        <x:f>HYPERLINK("https://belberrycrm.bitrix24.ru/crm/deal/details/22718/","https://belberrycrm.bitrix24.ru/crm/deal/details/22718/")</x:f>
      </x:c>
      <x:c r="D3091" t="str">
        <x:v>Реанимация</x:v>
      </x:c>
      <x:c r="E3091" t="str">
        <x:v>ЛИДЫ: Отвалы</x:v>
      </x:c>
      <x:c r="F3091" t="str">
        <x:v>Анна Гудинова</x:v>
      </x:c>
      <x:c r="G3091" t="str">
        <x:v>нет</x:v>
      </x:c>
      <x:c r="H3091" t="str">
        <x:v>нет</x:v>
      </x:c>
    </x:row>
    <x:row r="3092">
      <x:c r="A3092" t="str">
        <x:v>22720</x:v>
      </x:c>
      <x:c r="B3092" t="str">
        <x:v>Заявка с сайта от Мария Шатунова 79497939839</x:v>
      </x:c>
      <x:c r="C3092" t="e">
        <x:f>HYPERLINK("https://belberrycrm.bitrix24.ru/crm/deal/details/22720/","https://belberrycrm.bitrix24.ru/crm/deal/details/22720/")</x:f>
      </x:c>
      <x:c r="D3092" t="str">
        <x:v>Реанимация</x:v>
      </x:c>
      <x:c r="E3092" t="str">
        <x:v>ЛИДЫ: Отвалы</x:v>
      </x:c>
      <x:c r="F3092" t="str">
        <x:v>Петр Дудин</x:v>
      </x:c>
      <x:c r="G3092" t="str">
        <x:v>нет</x:v>
      </x:c>
      <x:c r="H3092" t="str">
        <x:v>нет</x:v>
      </x:c>
    </x:row>
    <x:row r="3093">
      <x:c r="A3093" t="str">
        <x:v>22722</x:v>
      </x:c>
      <x:c r="B3093" t="str">
        <x:v>Email | hello@belberry.net от Александра Бегунова nellian-85@yandex.ru</x:v>
      </x:c>
      <x:c r="C3093" t="e">
        <x:f>HYPERLINK("https://belberrycrm.bitrix24.ru/crm/deal/details/22722/","https://belberrycrm.bitrix24.ru/crm/deal/details/22722/")</x:f>
      </x:c>
      <x:c r="D3093" t="str">
        <x:v>Реанимация</x:v>
      </x:c>
      <x:c r="E3093" t="str">
        <x:v>ЛИДЫ: Отвалы</x:v>
      </x:c>
      <x:c r="F3093" t="str">
        <x:v>Петр Дудин</x:v>
      </x:c>
      <x:c r="G3093" t="str">
        <x:v>нет</x:v>
      </x:c>
      <x:c r="H3093" t="str">
        <x:v>нет</x:v>
      </x:c>
    </x:row>
    <x:row r="3094">
      <x:c r="A3094" t="str">
        <x:v>22724</x:v>
      </x:c>
      <x:c r="B3094" t="str">
        <x:v>Звонок от 79058291098</x:v>
      </x:c>
      <x:c r="C3094" t="e">
        <x:f>HYPERLINK("https://belberrycrm.bitrix24.ru/crm/deal/details/22724/","https://belberrycrm.bitrix24.ru/crm/deal/details/22724/")</x:f>
      </x:c>
      <x:c r="D3094" t="str">
        <x:v>Реанимация</x:v>
      </x:c>
      <x:c r="E3094" t="str">
        <x:v>ЛИДЫ: Отвалы</x:v>
      </x:c>
      <x:c r="F3094" t="str">
        <x:v>Анна Гудинова</x:v>
      </x:c>
      <x:c r="G3094" t="str">
        <x:v>нет</x:v>
      </x:c>
      <x:c r="H3094" t="str">
        <x:v>нет</x:v>
      </x:c>
    </x:row>
    <x:row r="3095">
      <x:c r="A3095" t="str">
        <x:v>22726</x:v>
      </x:c>
      <x:c r="B3095" t="str">
        <x:v>7 969 124-71-28 - Входящий звонок</x:v>
      </x:c>
      <x:c r="C3095" t="e">
        <x:f>HYPERLINK("https://belberrycrm.bitrix24.ru/crm/deal/details/22726/","https://belberrycrm.bitrix24.ru/crm/deal/details/22726/")</x:f>
      </x:c>
      <x:c r="D3095" t="str">
        <x:v>Реанимация</x:v>
      </x:c>
      <x:c r="E3095" t="str">
        <x:v>ЛИДЫ: Отвалы</x:v>
      </x:c>
      <x:c r="F3095" t="str">
        <x:v>Петр Дудин</x:v>
      </x:c>
      <x:c r="G3095" t="str">
        <x:v>нет</x:v>
      </x:c>
      <x:c r="H3095" t="str">
        <x:v>нет</x:v>
      </x:c>
    </x:row>
    <x:row r="3096">
      <x:c r="A3096" t="str">
        <x:v>22728</x:v>
      </x:c>
      <x:c r="B3096" t="str">
        <x:v>7 967 211-56-24 - Входящий звонок</x:v>
      </x:c>
      <x:c r="C3096" t="e">
        <x:f>HYPERLINK("https://belberrycrm.bitrix24.ru/crm/deal/details/22728/","https://belberrycrm.bitrix24.ru/crm/deal/details/22728/")</x:f>
      </x:c>
      <x:c r="D3096" t="str">
        <x:v>Реанимация</x:v>
      </x:c>
      <x:c r="E3096" t="str">
        <x:v>ЛИДЫ: Отвалы</x:v>
      </x:c>
      <x:c r="F3096" t="str">
        <x:v>Петр Дудин</x:v>
      </x:c>
      <x:c r="G3096" t="str">
        <x:v>нет</x:v>
      </x:c>
      <x:c r="H3096" t="str">
        <x:v>нет</x:v>
      </x:c>
    </x:row>
    <x:row r="3097">
      <x:c r="A3097" t="str">
        <x:v>22734</x:v>
      </x:c>
      <x:c r="B3097" t="str">
        <x:v>Email | hello@acoola.team от VALKYRIA AGENCY hello@valkyria-agency.ru</x:v>
      </x:c>
      <x:c r="C3097" t="e">
        <x:f>HYPERLINK("https://belberrycrm.bitrix24.ru/crm/deal/details/22734/","https://belberrycrm.bitrix24.ru/crm/deal/details/22734/")</x:f>
      </x:c>
      <x:c r="D3097" t="str">
        <x:v>Реанимация</x:v>
      </x:c>
      <x:c r="E3097" t="str">
        <x:v>ЛИДЫ: Отвалы</x:v>
      </x:c>
      <x:c r="F3097" t="str">
        <x:v>Анна Гудинова</x:v>
      </x:c>
      <x:c r="G3097" t="str">
        <x:v>нет</x:v>
      </x:c>
      <x:c r="H3097" t="str">
        <x:v>нет</x:v>
      </x:c>
    </x:row>
    <x:row r="3098">
      <x:c r="A3098" t="str">
        <x:v>22736</x:v>
      </x:c>
      <x:c r="B3098" t="str">
        <x:v>Заявка с сайта от марк 79374860520</x:v>
      </x:c>
      <x:c r="C3098" t="e">
        <x:f>HYPERLINK("https://belberrycrm.bitrix24.ru/crm/deal/details/22736/","https://belberrycrm.bitrix24.ru/crm/deal/details/22736/")</x:f>
      </x:c>
      <x:c r="D3098" t="str">
        <x:v>Реанимация</x:v>
      </x:c>
      <x:c r="E3098" t="str">
        <x:v>ЛИДЫ: Отвалы</x:v>
      </x:c>
      <x:c r="F3098" t="str">
        <x:v>Петр Дудин</x:v>
      </x:c>
      <x:c r="G3098" t="str">
        <x:v>нет</x:v>
      </x:c>
      <x:c r="H3098" t="str">
        <x:v>нет</x:v>
      </x:c>
    </x:row>
    <x:row r="3099">
      <x:c r="A3099" t="str">
        <x:v>22738</x:v>
      </x:c>
      <x:c r="B3099" t="str">
        <x:v>Заявка с сайта от Автотест Belberry 79997654321</x:v>
      </x:c>
      <x:c r="C3099" t="e">
        <x:f>HYPERLINK("https://belberrycrm.bitrix24.ru/crm/deal/details/22738/","https://belberrycrm.bitrix24.ru/crm/deal/details/22738/")</x:f>
      </x:c>
      <x:c r="D3099" t="str">
        <x:v>Реанимация</x:v>
      </x:c>
      <x:c r="E3099" t="str">
        <x:v>ЛИДЫ: Отвалы</x:v>
      </x:c>
      <x:c r="F3099" t="str">
        <x:v>Петр Дудин</x:v>
      </x:c>
      <x:c r="G3099" t="str">
        <x:v>нет</x:v>
      </x:c>
      <x:c r="H3099" t="str">
        <x:v>нет</x:v>
      </x:c>
    </x:row>
    <x:row r="3100">
      <x:c r="A3100" t="str">
        <x:v>22740</x:v>
      </x:c>
      <x:c r="B3100" t="str">
        <x:v>Заявка с сайта от Автотест Имя 79991234567</x:v>
      </x:c>
      <x:c r="C3100" t="e">
        <x:f>HYPERLINK("https://belberrycrm.bitrix24.ru/crm/deal/details/22740/","https://belberrycrm.bitrix24.ru/crm/deal/details/22740/")</x:f>
      </x:c>
      <x:c r="D3100" t="str">
        <x:v>Реанимация</x:v>
      </x:c>
      <x:c r="E3100" t="str">
        <x:v>ЛИДЫ: Отвалы</x:v>
      </x:c>
      <x:c r="F3100" t="str">
        <x:v>Анна Гудинова</x:v>
      </x:c>
      <x:c r="G3100" t="str">
        <x:v>нет</x:v>
      </x:c>
      <x:c r="H3100" t="str">
        <x:v>нет</x:v>
      </x:c>
    </x:row>
    <x:row r="3101">
      <x:c r="A3101" t="str">
        <x:v>22742</x:v>
      </x:c>
      <x:c r="B3101" t="str">
        <x:v>Email | hello@acoola.team от Денис Рябов denpower8@gmail.com</x:v>
      </x:c>
      <x:c r="C3101" t="e">
        <x:f>HYPERLINK("https://belberrycrm.bitrix24.ru/crm/deal/details/22742/","https://belberrycrm.bitrix24.ru/crm/deal/details/22742/")</x:f>
      </x:c>
      <x:c r="D3101" t="str">
        <x:v>Реанимация</x:v>
      </x:c>
      <x:c r="E3101" t="str">
        <x:v>ЛИДЫ: Отвалы</x:v>
      </x:c>
      <x:c r="F3101" t="str">
        <x:v>Анна Гудинова</x:v>
      </x:c>
      <x:c r="G3101" t="str">
        <x:v>нет</x:v>
      </x:c>
      <x:c r="H3101" t="str">
        <x:v>нет</x:v>
      </x:c>
    </x:row>
    <x:row r="3102">
      <x:c r="A3102" t="str">
        <x:v>22744</x:v>
      </x:c>
      <x:c r="B3102" t="str">
        <x:v>Email | hello@acoola.team от Анжелика Мельникова lika.melnikova.83@internet.ru</x:v>
      </x:c>
      <x:c r="C3102" t="e">
        <x:f>HYPERLINK("https://belberrycrm.bitrix24.ru/crm/deal/details/22744/","https://belberrycrm.bitrix24.ru/crm/deal/details/22744/")</x:f>
      </x:c>
      <x:c r="D3102" t="str">
        <x:v>Реанимация</x:v>
      </x:c>
      <x:c r="E3102" t="str">
        <x:v>ЛИДЫ: Отвалы</x:v>
      </x:c>
      <x:c r="F3102" t="str">
        <x:v>Анна Гудинова</x:v>
      </x:c>
      <x:c r="G3102" t="str">
        <x:v>нет</x:v>
      </x:c>
      <x:c r="H3102" t="str">
        <x:v>нет</x:v>
      </x:c>
    </x:row>
    <x:row r="3103">
      <x:c r="A3103" t="str">
        <x:v>22748</x:v>
      </x:c>
      <x:c r="B3103" t="str">
        <x:v>Заявка с сайта от Тест 77777777777</x:v>
      </x:c>
      <x:c r="C3103" t="e">
        <x:f>HYPERLINK("https://belberrycrm.bitrix24.ru/crm/deal/details/22748/","https://belberrycrm.bitrix24.ru/crm/deal/details/22748/")</x:f>
      </x:c>
      <x:c r="D3103" t="str">
        <x:v>Реанимация</x:v>
      </x:c>
      <x:c r="E3103" t="str">
        <x:v>ЛИДЫ: Отвалы</x:v>
      </x:c>
      <x:c r="F3103" t="str">
        <x:v>Анна Гудинова</x:v>
      </x:c>
      <x:c r="G3103" t="str">
        <x:v>нет</x:v>
      </x:c>
      <x:c r="H3103" t="str">
        <x:v>нет</x:v>
      </x:c>
    </x:row>
    <x:row r="3104">
      <x:c r="A3104" t="str">
        <x:v>22750</x:v>
      </x:c>
      <x:c r="B3104" t="str">
        <x:v>Email | hello@belberry.net от Константин kd70@mail.ru</x:v>
      </x:c>
      <x:c r="C3104" t="e">
        <x:f>HYPERLINK("https://belberrycrm.bitrix24.ru/crm/deal/details/22750/","https://belberrycrm.bitrix24.ru/crm/deal/details/22750/")</x:f>
      </x:c>
      <x:c r="D3104" t="str">
        <x:v>Реанимация</x:v>
      </x:c>
      <x:c r="E3104" t="str">
        <x:v>ЛИДЫ: Отвалы</x:v>
      </x:c>
      <x:c r="F3104" t="str">
        <x:v>Петр Дудин</x:v>
      </x:c>
      <x:c r="G3104" t="str">
        <x:v>нет</x:v>
      </x:c>
      <x:c r="H3104" t="str">
        <x:v>нет</x:v>
      </x:c>
    </x:row>
    <x:row r="3105">
      <x:c r="A3105" t="str">
        <x:v>22752</x:v>
      </x:c>
      <x:c r="B3105" t="str">
        <x:v>7 495 229-14-41 - Входящий звонок</x:v>
      </x:c>
      <x:c r="C3105" t="e">
        <x:f>HYPERLINK("https://belberrycrm.bitrix24.ru/crm/deal/details/22752/","https://belberrycrm.bitrix24.ru/crm/deal/details/22752/")</x:f>
      </x:c>
      <x:c r="D3105" t="str">
        <x:v>Реанимация</x:v>
      </x:c>
      <x:c r="E3105" t="str">
        <x:v>ЛИДЫ: Отвалы</x:v>
      </x:c>
      <x:c r="F3105" t="str">
        <x:v>Петр Дудин</x:v>
      </x:c>
      <x:c r="G3105" t="str">
        <x:v>нет</x:v>
      </x:c>
      <x:c r="H3105" t="str">
        <x:v>нет</x:v>
      </x:c>
    </x:row>
    <x:row r="3106">
      <x:c r="A3106" t="str">
        <x:v>22754</x:v>
      </x:c>
      <x:c r="B3106" t="str">
        <x:v>Заявка с сайта от Даниил  78613382715</x:v>
      </x:c>
      <x:c r="C3106" t="e">
        <x:f>HYPERLINK("https://belberrycrm.bitrix24.ru/crm/deal/details/22754/","https://belberrycrm.bitrix24.ru/crm/deal/details/22754/")</x:f>
      </x:c>
      <x:c r="D3106" t="str">
        <x:v>Реанимация</x:v>
      </x:c>
      <x:c r="E3106" t="str">
        <x:v>ЛИДЫ: Отвалы</x:v>
      </x:c>
      <x:c r="F3106" t="str">
        <x:v>Анна Гудинова</x:v>
      </x:c>
      <x:c r="G3106" t="str">
        <x:v>нет</x:v>
      </x:c>
      <x:c r="H3106" t="str">
        <x:v>нет</x:v>
      </x:c>
    </x:row>
    <x:row r="3107">
      <x:c r="A3107" t="str">
        <x:v>22756</x:v>
      </x:c>
      <x:c r="B3107" t="str">
        <x:v>Email | hello@acoola.team от partners@befactor.ru partners@befactor.ru</x:v>
      </x:c>
      <x:c r="C3107" t="e">
        <x:f>HYPERLINK("https://belberrycrm.bitrix24.ru/crm/deal/details/22756/","https://belberrycrm.bitrix24.ru/crm/deal/details/22756/")</x:f>
      </x:c>
      <x:c r="D3107" t="str">
        <x:v>Реанимация</x:v>
      </x:c>
      <x:c r="E3107" t="str">
        <x:v>ЛИДЫ: Отвалы</x:v>
      </x:c>
      <x:c r="F3107" t="str">
        <x:v>Анна Гудинова</x:v>
      </x:c>
      <x:c r="G3107" t="str">
        <x:v>нет</x:v>
      </x:c>
      <x:c r="H3107" t="str">
        <x:v>нет</x:v>
      </x:c>
    </x:row>
    <x:row r="3108">
      <x:c r="A3108" t="str">
        <x:v>22758</x:v>
      </x:c>
      <x:c r="B3108" t="str">
        <x:v>Звонок от 79262249942</x:v>
      </x:c>
      <x:c r="C3108" t="e">
        <x:f>HYPERLINK("https://belberrycrm.bitrix24.ru/crm/deal/details/22758/","https://belberrycrm.bitrix24.ru/crm/deal/details/22758/")</x:f>
      </x:c>
      <x:c r="D3108" t="str">
        <x:v>Реанимация</x:v>
      </x:c>
      <x:c r="E3108" t="str">
        <x:v>ЛИДЫ: Отвалы</x:v>
      </x:c>
      <x:c r="F3108" t="str">
        <x:v>Петр Дудин</x:v>
      </x:c>
      <x:c r="G3108" t="str">
        <x:v>нет</x:v>
      </x:c>
      <x:c r="H3108" t="str">
        <x:v>нет</x:v>
      </x:c>
    </x:row>
    <x:row r="3109">
      <x:c r="A3109" t="str">
        <x:v>22760</x:v>
      </x:c>
      <x:c r="B3109" t="str">
        <x:v>7 930 035-24-91 - Входящий звонок</x:v>
      </x:c>
      <x:c r="C3109" t="e">
        <x:f>HYPERLINK("https://belberrycrm.bitrix24.ru/crm/deal/details/22760/","https://belberrycrm.bitrix24.ru/crm/deal/details/22760/")</x:f>
      </x:c>
      <x:c r="D3109" t="str">
        <x:v>Реанимация</x:v>
      </x:c>
      <x:c r="E3109" t="str">
        <x:v>ЛИДЫ: Отвалы</x:v>
      </x:c>
      <x:c r="F3109" t="str">
        <x:v>Петр Дудин</x:v>
      </x:c>
      <x:c r="G3109" t="str">
        <x:v>нет</x:v>
      </x:c>
      <x:c r="H3109" t="str">
        <x:v>нет</x:v>
      </x:c>
    </x:row>
    <x:row r="3110">
      <x:c r="A3110" t="str">
        <x:v>22764</x:v>
      </x:c>
      <x:c r="B3110" t="str">
        <x:v>Лид от Дмитрий Богус, +70000000000 (E-mail Outreach)</x:v>
      </x:c>
      <x:c r="C3110" t="e">
        <x:f>HYPERLINK("https://belberrycrm.bitrix24.ru/crm/deal/details/22764/","https://belberrycrm.bitrix24.ru/crm/deal/details/22764/")</x:f>
      </x:c>
      <x:c r="D3110" t="str">
        <x:v>Реанимация</x:v>
      </x:c>
      <x:c r="E3110" t="str">
        <x:v>ЛИДЫ: Отвалы</x:v>
      </x:c>
      <x:c r="F3110" t="str">
        <x:v>Анна Гудинова</x:v>
      </x:c>
      <x:c r="G3110" t="str">
        <x:v>нет</x:v>
      </x:c>
      <x:c r="H3110" t="str">
        <x:v>нет</x:v>
      </x:c>
    </x:row>
    <x:row r="3111">
      <x:c r="A3111" t="str">
        <x:v>22766</x:v>
      </x:c>
      <x:c r="B3111" t="str">
        <x:v>zimclinic.ru</x:v>
      </x:c>
      <x:c r="C3111" t="e">
        <x:f>HYPERLINK("https://belberrycrm.bitrix24.ru/crm/deal/details/22766/","https://belberrycrm.bitrix24.ru/crm/deal/details/22766/")</x:f>
      </x:c>
      <x:c r="D3111" t="str">
        <x:v>Реанимация</x:v>
      </x:c>
      <x:c r="E3111" t="str">
        <x:v>ЛИДЫ: Отвалы</x:v>
      </x:c>
      <x:c r="F3111" t="str">
        <x:v>Анна Гудинова</x:v>
      </x:c>
      <x:c r="G3111" t="str">
        <x:v>нет</x:v>
      </x:c>
      <x:c r="H3111" t="str">
        <x:v>нет</x:v>
      </x:c>
    </x:row>
    <x:row r="3112">
      <x:c r="A3112" t="str">
        <x:v>22768</x:v>
      </x:c>
      <x:c r="B3112" t="str">
        <x:v>Новое сообщение Whatsapp от Игорь 79912455094</x:v>
      </x:c>
      <x:c r="C3112" t="e">
        <x:f>HYPERLINK("https://belberrycrm.bitrix24.ru/crm/deal/details/22768/","https://belberrycrm.bitrix24.ru/crm/deal/details/22768/")</x:f>
      </x:c>
      <x:c r="D3112" t="str">
        <x:v>Реанимация</x:v>
      </x:c>
      <x:c r="E3112" t="str">
        <x:v>ЛИДЫ: Отвалы</x:v>
      </x:c>
      <x:c r="F3112" t="str">
        <x:v>Евгения Гордиенко</x:v>
      </x:c>
      <x:c r="G3112" t="str">
        <x:v>нет</x:v>
      </x:c>
      <x:c r="H3112" t="str">
        <x:v>нет</x:v>
      </x:c>
    </x:row>
    <x:row r="3113">
      <x:c r="A3113" t="str">
        <x:v>22770</x:v>
      </x:c>
      <x:c r="B3113" t="str">
        <x:v>Дубль pvlgroup.ru</x:v>
      </x:c>
      <x:c r="C3113" t="e">
        <x:f>HYPERLINK("https://belberrycrm.bitrix24.ru/crm/deal/details/22770/","https://belberrycrm.bitrix24.ru/crm/deal/details/22770/")</x:f>
      </x:c>
      <x:c r="D3113" t="str">
        <x:v>Реанимация</x:v>
      </x:c>
      <x:c r="E3113" t="str">
        <x:v>ЛИДЫ: Отвалы</x:v>
      </x:c>
      <x:c r="F3113" t="str">
        <x:v>Евгения Гордиенко</x:v>
      </x:c>
      <x:c r="G3113" t="str">
        <x:v>нет</x:v>
      </x:c>
      <x:c r="H3113" t="str">
        <x:v>нет</x:v>
      </x:c>
    </x:row>
    <x:row r="3114">
      <x:c r="A3114" t="str">
        <x:v>22774</x:v>
      </x:c>
      <x:c r="B3114" t="str">
        <x:v>Новое сообщение Whatsapp от Сергей Жмаков 79887620241</x:v>
      </x:c>
      <x:c r="C3114" t="e">
        <x:f>HYPERLINK("https://belberrycrm.bitrix24.ru/crm/deal/details/22774/","https://belberrycrm.bitrix24.ru/crm/deal/details/22774/")</x:f>
      </x:c>
      <x:c r="D3114" t="str">
        <x:v>Реанимация</x:v>
      </x:c>
      <x:c r="E3114" t="str">
        <x:v>ЛИДЫ: Отвалы</x:v>
      </x:c>
      <x:c r="F3114" t="str">
        <x:v>Павел Фролов</x:v>
      </x:c>
      <x:c r="G3114" t="str">
        <x:v>нет</x:v>
      </x:c>
      <x:c r="H3114" t="str">
        <x:v>нет</x:v>
      </x:c>
    </x:row>
    <x:row r="3115">
      <x:c r="A3115" t="str">
        <x:v>22776</x:v>
      </x:c>
      <x:c r="B3115" t="str">
        <x:v>Новое сообщение Whatsapp от Чантилов Алимагомед Алиевич 79995297999</x:v>
      </x:c>
      <x:c r="C3115" t="e">
        <x:f>HYPERLINK("https://belberrycrm.bitrix24.ru/crm/deal/details/22776/","https://belberrycrm.bitrix24.ru/crm/deal/details/22776/")</x:f>
      </x:c>
      <x:c r="D3115" t="str">
        <x:v>Реанимация</x:v>
      </x:c>
      <x:c r="E3115" t="str">
        <x:v>ЛИДЫ: Отвалы</x:v>
      </x:c>
      <x:c r="F3115" t="str">
        <x:v>Петр Дудин</x:v>
      </x:c>
      <x:c r="G3115" t="str">
        <x:v>нет</x:v>
      </x:c>
      <x:c r="H3115" t="str">
        <x:v>нет</x:v>
      </x:c>
    </x:row>
    <x:row r="3116">
      <x:c r="A3116" t="str">
        <x:v>22778</x:v>
      </x:c>
      <x:c r="B3116" t="str">
        <x:v>Дубль smileofthesun.su</x:v>
      </x:c>
      <x:c r="C3116" t="e">
        <x:f>HYPERLINK("https://belberrycrm.bitrix24.ru/crm/deal/details/22778/","https://belberrycrm.bitrix24.ru/crm/deal/details/22778/")</x:f>
      </x:c>
      <x:c r="D3116" t="str">
        <x:v>Реанимация</x:v>
      </x:c>
      <x:c r="E3116" t="str">
        <x:v>ЛИДЫ: Отвалы</x:v>
      </x:c>
      <x:c r="F3116" t="str">
        <x:v>Петр Дудин</x:v>
      </x:c>
      <x:c r="G3116" t="str">
        <x:v>нет</x:v>
      </x:c>
      <x:c r="H3116" t="str">
        <x:v>нет</x:v>
      </x:c>
    </x:row>
    <x:row r="3117">
      <x:c r="A3117" t="str">
        <x:v>22780</x:v>
      </x:c>
      <x:c r="B3117" t="str">
        <x:v>7 903 204-94-66 - Входящий звонок</x:v>
      </x:c>
      <x:c r="C3117" t="e">
        <x:f>HYPERLINK("https://belberrycrm.bitrix24.ru/crm/deal/details/22780/","https://belberrycrm.bitrix24.ru/crm/deal/details/22780/")</x:f>
      </x:c>
      <x:c r="D3117" t="str">
        <x:v>Реанимация</x:v>
      </x:c>
      <x:c r="E3117" t="str">
        <x:v>ЛИДЫ: Отвалы</x:v>
      </x:c>
      <x:c r="F3117" t="str">
        <x:v>Анна Гудинова</x:v>
      </x:c>
      <x:c r="G3117" t="str">
        <x:v>нет</x:v>
      </x:c>
      <x:c r="H3117" t="str">
        <x:v>нет</x:v>
      </x:c>
    </x:row>
    <x:row r="3118">
      <x:c r="A3118" t="str">
        <x:v>22784</x:v>
      </x:c>
      <x:c r="B3118" t="str">
        <x:v>7 495 135-00-73 - Входящий звонок</x:v>
      </x:c>
      <x:c r="C3118" t="e">
        <x:f>HYPERLINK("https://belberrycrm.bitrix24.ru/crm/deal/details/22784/","https://belberrycrm.bitrix24.ru/crm/deal/details/22784/")</x:f>
      </x:c>
      <x:c r="D3118" t="str">
        <x:v>Реанимация</x:v>
      </x:c>
      <x:c r="E3118" t="str">
        <x:v>ЛИДЫ: Отвалы</x:v>
      </x:c>
      <x:c r="F3118" t="str">
        <x:v>Анна Гудинова</x:v>
      </x:c>
      <x:c r="G3118" t="str">
        <x:v>нет</x:v>
      </x:c>
      <x:c r="H3118" t="str">
        <x:v>нет</x:v>
      </x:c>
    </x:row>
    <x:row r="3119">
      <x:c r="A3119" t="str">
        <x:v>22796</x:v>
      </x:c>
      <x:c r="B3119" t="str">
        <x:v>bioniq.ru</x:v>
      </x:c>
      <x:c r="C3119" t="e">
        <x:f>HYPERLINK("https://belberrycrm.bitrix24.ru/crm/deal/details/22796/","https://belberrycrm.bitrix24.ru/crm/deal/details/22796/")</x:f>
      </x:c>
      <x:c r="D3119" t="str">
        <x:v>Реанимация</x:v>
      </x:c>
      <x:c r="E3119" t="str">
        <x:v>ЛИДЫ: Действующий клиент</x:v>
      </x:c>
      <x:c r="F3119" t="str">
        <x:v>Анна Гудинова</x:v>
      </x:c>
      <x:c r="G3119" t="str">
        <x:v>нет</x:v>
      </x:c>
      <x:c r="H3119" t="str">
        <x:v>нет</x:v>
      </x:c>
    </x:row>
    <x:row r="3120">
      <x:c r="A3120" t="str">
        <x:v>22804</x:v>
      </x:c>
      <x:c r="B3120" t="str">
        <x:v>https://wa.me/79258082121</x:v>
      </x:c>
      <x:c r="C3120" t="e">
        <x:f>HYPERLINK("https://belberrycrm.bitrix24.ru/crm/deal/details/22804/","https://belberrycrm.bitrix24.ru/crm/deal/details/22804/")</x:f>
      </x:c>
      <x:c r="D3120" t="str">
        <x:v>Реанимация</x:v>
      </x:c>
      <x:c r="E3120" t="str">
        <x:v>ЛИДЫ: Действующий клиент</x:v>
      </x:c>
      <x:c r="F3120" t="str">
        <x:v>Евгения Гордиенко</x:v>
      </x:c>
      <x:c r="G3120" t="str">
        <x:v>да</x:v>
      </x:c>
      <x:c r="H3120" t="str">
        <x:v>нет</x:v>
      </x:c>
    </x:row>
    <x:row r="3121">
      <x:c r="A3121" t="str">
        <x:v>22806</x:v>
      </x:c>
      <x:c r="B3121" t="str">
        <x:v>trnsoft.ru</x:v>
      </x:c>
      <x:c r="C3121" t="e">
        <x:f>HYPERLINK("https://belberrycrm.bitrix24.ru/crm/deal/details/22806/","https://belberrycrm.bitrix24.ru/crm/deal/details/22806/")</x:f>
      </x:c>
      <x:c r="D3121" t="str">
        <x:v>Реанимация</x:v>
      </x:c>
      <x:c r="E3121" t="str">
        <x:v>ЛИДЫ: Действующий клиент</x:v>
      </x:c>
      <x:c r="F3121" t="str">
        <x:v>Евгения Гордиенко</x:v>
      </x:c>
      <x:c r="G3121" t="str">
        <x:v>да</x:v>
      </x:c>
      <x:c r="H3121" t="str">
        <x:v>нет</x:v>
      </x:c>
    </x:row>
    <x:row r="3122">
      <x:c r="A3122" t="str">
        <x:v>22818</x:v>
      </x:c>
      <x:c r="B3122" t="str">
        <x:v>Абаев Алан</x:v>
      </x:c>
      <x:c r="C3122" t="e">
        <x:f>HYPERLINK("https://belberrycrm.bitrix24.ru/crm/deal/details/22818/","https://belberrycrm.bitrix24.ru/crm/deal/details/22818/")</x:f>
      </x:c>
      <x:c r="D3122" t="str">
        <x:v>Реанимация</x:v>
      </x:c>
      <x:c r="E3122" t="str">
        <x:v>ЛИДЫ: Действующий клиент</x:v>
      </x:c>
      <x:c r="F3122" t="str">
        <x:v>Павел Фролов</x:v>
      </x:c>
      <x:c r="G3122" t="str">
        <x:v>нет</x:v>
      </x:c>
      <x:c r="H3122" t="str">
        <x:v>нет</x:v>
      </x:c>
    </x:row>
    <x:row r="3123">
      <x:c r="A3123" t="str">
        <x:v>22824</x:v>
      </x:c>
      <x:c r="B3123" t="str">
        <x:v>Садыкова Линана врач-онколог</x:v>
      </x:c>
      <x:c r="C3123" t="e">
        <x:f>HYPERLINK("https://belberrycrm.bitrix24.ru/crm/deal/details/22824/","https://belberrycrm.bitrix24.ru/crm/deal/details/22824/")</x:f>
      </x:c>
      <x:c r="D3123" t="str">
        <x:v>Реанимация</x:v>
      </x:c>
      <x:c r="E3123" t="str">
        <x:v>ЛИДЫ: Действующий клиент</x:v>
      </x:c>
      <x:c r="F3123" t="str">
        <x:v>Павел Фролов</x:v>
      </x:c>
      <x:c r="G3123" t="str">
        <x:v>нет</x:v>
      </x:c>
      <x:c r="H3123" t="str">
        <x:v>нет</x:v>
      </x:c>
    </x:row>
    <x:row r="3124">
      <x:c r="A3124" t="str">
        <x:v>22834</x:v>
      </x:c>
      <x:c r="B3124" t="str">
        <x:v>воспитайтрезвостьуребёнка.рф</x:v>
      </x:c>
      <x:c r="C3124" t="e">
        <x:f>HYPERLINK("https://belberrycrm.bitrix24.ru/crm/deal/details/22834/","https://belberrycrm.bitrix24.ru/crm/deal/details/22834/")</x:f>
      </x:c>
      <x:c r="D3124" t="str">
        <x:v>Реанимация</x:v>
      </x:c>
      <x:c r="E3124" t="str">
        <x:v>ЛИДЫ: Действующий клиент</x:v>
      </x:c>
      <x:c r="F3124" t="str">
        <x:v>Александр Голядкин</x:v>
      </x:c>
      <x:c r="G3124" t="str">
        <x:v>да</x:v>
      </x:c>
      <x:c r="H3124" t="str">
        <x:v>нет</x:v>
      </x:c>
    </x:row>
    <x:row r="3125">
      <x:c r="A3125" t="str">
        <x:v>22846</x:v>
      </x:c>
      <x:c r="B3125" t="str">
        <x:v>Прикосновение монолизы</x:v>
      </x:c>
      <x:c r="C3125" t="e">
        <x:f>HYPERLINK("https://belberrycrm.bitrix24.ru/crm/deal/details/22846/","https://belberrycrm.bitrix24.ru/crm/deal/details/22846/")</x:f>
      </x:c>
      <x:c r="D3125" t="str">
        <x:v>Реанимация</x:v>
      </x:c>
      <x:c r="E3125" t="str">
        <x:v>ЛИДЫ: Действующий клиент</x:v>
      </x:c>
      <x:c r="F3125" t="str">
        <x:v>Александр Голядкин</x:v>
      </x:c>
      <x:c r="G3125" t="str">
        <x:v>нет</x:v>
      </x:c>
      <x:c r="H3125" t="str">
        <x:v>нет</x:v>
      </x:c>
    </x:row>
    <x:row r="3126">
      <x:c r="A3126" t="str">
        <x:v>22850</x:v>
      </x:c>
      <x:c r="B3126" t="str">
        <x:v>jeterini.ru</x:v>
      </x:c>
      <x:c r="C3126" t="e">
        <x:f>HYPERLINK("https://belberrycrm.bitrix24.ru/crm/deal/details/22850/","https://belberrycrm.bitrix24.ru/crm/deal/details/22850/")</x:f>
      </x:c>
      <x:c r="D3126" t="str">
        <x:v>Реанимация</x:v>
      </x:c>
      <x:c r="E3126" t="str">
        <x:v>ЛИДЫ: Действующий клиент</x:v>
      </x:c>
      <x:c r="F3126" t="str">
        <x:v>Александр Голядкин</x:v>
      </x:c>
      <x:c r="G3126" t="str">
        <x:v>нет</x:v>
      </x:c>
      <x:c r="H3126" t="str">
        <x:v>нет</x:v>
      </x:c>
    </x:row>
    <x:row r="3127">
      <x:c r="A3127" t="str">
        <x:v>22854</x:v>
      </x:c>
      <x:c r="B3127" t="str">
        <x:v>volvo-tushino.ulcraft.com</x:v>
      </x:c>
      <x:c r="C3127" t="e">
        <x:f>HYPERLINK("https://belberrycrm.bitrix24.ru/crm/deal/details/22854/","https://belberrycrm.bitrix24.ru/crm/deal/details/22854/")</x:f>
      </x:c>
      <x:c r="D3127" t="str">
        <x:v>Реанимация</x:v>
      </x:c>
      <x:c r="E3127" t="str">
        <x:v>ЛИДЫ: Действующий клиент</x:v>
      </x:c>
      <x:c r="F3127" t="str">
        <x:v>Александр Голядкин</x:v>
      </x:c>
      <x:c r="G3127" t="str">
        <x:v>да</x:v>
      </x:c>
      <x:c r="H3127" t="str">
        <x:v>нет</x:v>
      </x:c>
    </x:row>
    <x:row r="3128">
      <x:c r="A3128" t="str">
        <x:v>22856</x:v>
      </x:c>
      <x:c r="B3128" t="str">
        <x:v>transstroybank.ru</x:v>
      </x:c>
      <x:c r="C3128" t="e">
        <x:f>HYPERLINK("https://belberrycrm.bitrix24.ru/crm/deal/details/22856/","https://belberrycrm.bitrix24.ru/crm/deal/details/22856/")</x:f>
      </x:c>
      <x:c r="D3128" t="str">
        <x:v>Реанимация</x:v>
      </x:c>
      <x:c r="E3128" t="str">
        <x:v>ЛИДЫ: Действующий клиент</x:v>
      </x:c>
      <x:c r="F3128" t="str">
        <x:v>Мария Ус</x:v>
      </x:c>
      <x:c r="G3128" t="str">
        <x:v>да</x:v>
      </x:c>
      <x:c r="H3128" t="str">
        <x:v>нет</x:v>
      </x:c>
    </x:row>
    <x:row r="3129">
      <x:c r="A3129" t="str">
        <x:v>22858</x:v>
      </x:c>
      <x:c r="B3129" t="str">
        <x:v>cazarina.com</x:v>
      </x:c>
      <x:c r="C3129" t="e">
        <x:f>HYPERLINK("https://belberrycrm.bitrix24.ru/crm/deal/details/22858/","https://belberrycrm.bitrix24.ru/crm/deal/details/22858/")</x:f>
      </x:c>
      <x:c r="D3129" t="str">
        <x:v>Реанимация</x:v>
      </x:c>
      <x:c r="E3129" t="str">
        <x:v>ЛИДЫ: Действующий клиент</x:v>
      </x:c>
      <x:c r="F3129" t="str">
        <x:v>Мария Ус</x:v>
      </x:c>
      <x:c r="G3129" t="str">
        <x:v>нет</x:v>
      </x:c>
      <x:c r="H3129" t="str">
        <x:v>нет</x:v>
      </x:c>
    </x:row>
    <x:row r="3130">
      <x:c r="A3130" t="str">
        <x:v>22860</x:v>
      </x:c>
      <x:c r="B3130" t="str">
        <x:v>Prizma Hair</x:v>
      </x:c>
      <x:c r="C3130" t="e">
        <x:f>HYPERLINK("https://belberrycrm.bitrix24.ru/crm/deal/details/22860/","https://belberrycrm.bitrix24.ru/crm/deal/details/22860/")</x:f>
      </x:c>
      <x:c r="D3130" t="str">
        <x:v>Реанимация</x:v>
      </x:c>
      <x:c r="E3130" t="str">
        <x:v>ЛИДЫ: Действующий клиент</x:v>
      </x:c>
      <x:c r="F3130" t="str">
        <x:v>Мария Ус</x:v>
      </x:c>
      <x:c r="G3130" t="str">
        <x:v>да</x:v>
      </x:c>
      <x:c r="H3130" t="str">
        <x:v>нет</x:v>
      </x:c>
    </x:row>
    <x:row r="3131">
      <x:c r="A3131" t="str">
        <x:v>22862</x:v>
      </x:c>
      <x:c r="B3131" t="str">
        <x:v>megaclinicbeauty.ru</x:v>
      </x:c>
      <x:c r="C3131" t="e">
        <x:f>HYPERLINK("https://belberrycrm.bitrix24.ru/crm/deal/details/22862/","https://belberrycrm.bitrix24.ru/crm/deal/details/22862/")</x:f>
      </x:c>
      <x:c r="D3131" t="str">
        <x:v>Реанимация</x:v>
      </x:c>
      <x:c r="E3131" t="str">
        <x:v>ЛИДЫ: Действующий клиент</x:v>
      </x:c>
      <x:c r="F3131" t="str">
        <x:v>Петр Дудин</x:v>
      </x:c>
      <x:c r="G3131" t="str">
        <x:v>нет</x:v>
      </x:c>
      <x:c r="H3131" t="str">
        <x:v>нет</x:v>
      </x:c>
    </x:row>
    <x:row r="3132">
      <x:c r="A3132" t="str">
        <x:v>22864</x:v>
      </x:c>
      <x:c r="B3132" t="str">
        <x:v>Звонок от 79036290222</x:v>
      </x:c>
      <x:c r="C3132" t="e">
        <x:f>HYPERLINK("https://belberrycrm.bitrix24.ru/crm/deal/details/22864/","https://belberrycrm.bitrix24.ru/crm/deal/details/22864/")</x:f>
      </x:c>
      <x:c r="D3132" t="str">
        <x:v>Реанимация</x:v>
      </x:c>
      <x:c r="E3132" t="str">
        <x:v>ЛИДЫ: Действующий клиент</x:v>
      </x:c>
      <x:c r="F3132" t="str">
        <x:v>Петр Дудин</x:v>
      </x:c>
      <x:c r="G3132" t="str">
        <x:v>нет</x:v>
      </x:c>
      <x:c r="H3132" t="str">
        <x:v>нет</x:v>
      </x:c>
    </x:row>
    <x:row r="3133">
      <x:c r="A3133" t="str">
        <x:v>22866</x:v>
      </x:c>
      <x:c r="B3133" t="str">
        <x:v>Заявка с сайта от Гаяна 79032440706</x:v>
      </x:c>
      <x:c r="C3133" t="e">
        <x:f>HYPERLINK("https://belberrycrm.bitrix24.ru/crm/deal/details/22866/","https://belberrycrm.bitrix24.ru/crm/deal/details/22866/")</x:f>
      </x:c>
      <x:c r="D3133" t="str">
        <x:v>Реанимация</x:v>
      </x:c>
      <x:c r="E3133" t="str">
        <x:v>ЛИДЫ: Действующий клиент</x:v>
      </x:c>
      <x:c r="F3133" t="str">
        <x:v>Петр Дудин</x:v>
      </x:c>
      <x:c r="G3133" t="str">
        <x:v>нет</x:v>
      </x:c>
      <x:c r="H3133" t="str">
        <x:v>нет</x:v>
      </x:c>
    </x:row>
    <x:row r="3134">
      <x:c r="A3134" t="str">
        <x:v>22870</x:v>
      </x:c>
      <x:c r="B3134" t="str">
        <x:v>kidneyclinic.ru</x:v>
      </x:c>
      <x:c r="C3134" t="e">
        <x:f>HYPERLINK("https://belberrycrm.bitrix24.ru/crm/deal/details/22870/","https://belberrycrm.bitrix24.ru/crm/deal/details/22870/")</x:f>
      </x:c>
      <x:c r="D3134" t="str">
        <x:v>Реанимация</x:v>
      </x:c>
      <x:c r="E3134" t="str">
        <x:v>ЛИДЫ: Действующий клиент</x:v>
      </x:c>
      <x:c r="F3134" t="str">
        <x:v>Петр Дудин</x:v>
      </x:c>
      <x:c r="G3134" t="str">
        <x:v>нет</x:v>
      </x:c>
      <x:c r="H3134" t="str">
        <x:v>нет</x:v>
      </x:c>
    </x:row>
    <x:row r="3135">
      <x:c r="A3135" t="str">
        <x:v>22872</x:v>
      </x:c>
      <x:c r="B3135" t="str">
        <x:v>mknvek.ru</x:v>
      </x:c>
      <x:c r="C3135" t="e">
        <x:f>HYPERLINK("https://belberrycrm.bitrix24.ru/crm/deal/details/22872/","https://belberrycrm.bitrix24.ru/crm/deal/details/22872/")</x:f>
      </x:c>
      <x:c r="D3135" t="str">
        <x:v>Реанимация</x:v>
      </x:c>
      <x:c r="E3135" t="str">
        <x:v>ЛИДЫ: Действующий клиент</x:v>
      </x:c>
      <x:c r="F3135" t="str">
        <x:v>Петр Дудин</x:v>
      </x:c>
      <x:c r="G3135" t="str">
        <x:v>нет</x:v>
      </x:c>
      <x:c r="H3135" t="str">
        <x:v>нет</x:v>
      </x:c>
    </x:row>
    <x:row r="3136">
      <x:c r="A3136" t="str">
        <x:v>22874</x:v>
      </x:c>
      <x:c r="B3136" t="str">
        <x:v>https://nazaraliev.com</x:v>
      </x:c>
      <x:c r="C3136" t="e">
        <x:f>HYPERLINK("https://belberrycrm.bitrix24.ru/crm/deal/details/22874/","https://belberrycrm.bitrix24.ru/crm/deal/details/22874/")</x:f>
      </x:c>
      <x:c r="D3136" t="str">
        <x:v>Реанимация</x:v>
      </x:c>
      <x:c r="E3136" t="str">
        <x:v>ЛИДЫ: Действующий клиент</x:v>
      </x:c>
      <x:c r="F3136" t="str">
        <x:v>Петр Дудин</x:v>
      </x:c>
      <x:c r="G3136" t="str">
        <x:v>нет</x:v>
      </x:c>
      <x:c r="H3136" t="str">
        <x:v>нет</x:v>
      </x:c>
    </x:row>
    <x:row r="3137">
      <x:c r="A3137" t="str">
        <x:v>22878</x:v>
      </x:c>
      <x:c r="B3137" t="str">
        <x:v>implantgood.ru</x:v>
      </x:c>
      <x:c r="C3137" t="e">
        <x:f>HYPERLINK("https://belberrycrm.bitrix24.ru/crm/deal/details/22878/","https://belberrycrm.bitrix24.ru/crm/deal/details/22878/")</x:f>
      </x:c>
      <x:c r="D3137" t="str">
        <x:v>Реанимация</x:v>
      </x:c>
      <x:c r="E3137" t="str">
        <x:v>ЛИДЫ: Действующий клиент</x:v>
      </x:c>
      <x:c r="F3137" t="str">
        <x:v>Петр Дудин</x:v>
      </x:c>
      <x:c r="G3137" t="str">
        <x:v>да</x:v>
      </x:c>
      <x:c r="H3137" t="str">
        <x:v>нет</x:v>
      </x:c>
    </x:row>
    <x:row r="3138">
      <x:c r="A3138" t="str">
        <x:v>22890</x:v>
      </x:c>
      <x:c r="B3138" t="str">
        <x:v>textback.ru</x:v>
      </x:c>
      <x:c r="C3138" t="e">
        <x:f>HYPERLINK("https://belberrycrm.bitrix24.ru/crm/deal/details/22890/","https://belberrycrm.bitrix24.ru/crm/deal/details/22890/")</x:f>
      </x:c>
      <x:c r="D3138" t="str">
        <x:v>Реанимация</x:v>
      </x:c>
      <x:c r="E3138" t="str">
        <x:v>ЛИДЫ: Действующий клиент</x:v>
      </x:c>
      <x:c r="F3138" t="str">
        <x:v>Петр Дудин</x:v>
      </x:c>
      <x:c r="G3138" t="str">
        <x:v>нет</x:v>
      </x:c>
      <x:c r="H3138" t="str">
        <x:v>нет</x:v>
      </x:c>
    </x:row>
    <x:row r="3139">
      <x:c r="A3139" t="str">
        <x:v>22892</x:v>
      </x:c>
      <x:c r="B3139" t="str">
        <x:v>cniis.ru</x:v>
      </x:c>
      <x:c r="C3139" t="e">
        <x:f>HYPERLINK("https://belberrycrm.bitrix24.ru/crm/deal/details/22892/","https://belberrycrm.bitrix24.ru/crm/deal/details/22892/")</x:f>
      </x:c>
      <x:c r="D3139" t="str">
        <x:v>Реанимация</x:v>
      </x:c>
      <x:c r="E3139" t="str">
        <x:v>ЛИДЫ: Действующий клиент</x:v>
      </x:c>
      <x:c r="F3139" t="str">
        <x:v>Петр Дудин</x:v>
      </x:c>
      <x:c r="G3139" t="str">
        <x:v>да</x:v>
      </x:c>
      <x:c r="H3139" t="str">
        <x:v>нет</x:v>
      </x:c>
    </x:row>
    <x:row r="3140">
      <x:c r="A3140" t="str">
        <x:v>22894</x:v>
      </x:c>
      <x:c r="B3140" t="str">
        <x:v>lit-fond.ru (санаторий)</x:v>
      </x:c>
      <x:c r="C3140" t="e">
        <x:f>HYPERLINK("https://belberrycrm.bitrix24.ru/crm/deal/details/22894/","https://belberrycrm.bitrix24.ru/crm/deal/details/22894/")</x:f>
      </x:c>
      <x:c r="D3140" t="str">
        <x:v>Реанимация</x:v>
      </x:c>
      <x:c r="E3140" t="str">
        <x:v>ЛИДЫ: Действующий клиент</x:v>
      </x:c>
      <x:c r="F3140" t="str">
        <x:v>Петр Дудин</x:v>
      </x:c>
      <x:c r="G3140" t="str">
        <x:v>да</x:v>
      </x:c>
      <x:c r="H3140" t="str">
        <x:v>нет</x:v>
      </x:c>
    </x:row>
    <x:row r="3141">
      <x:c r="A3141" t="str">
        <x:v>22906</x:v>
      </x:c>
      <x:c r="B3141" t="str">
        <x:v>polza.diet</x:v>
      </x:c>
      <x:c r="C3141" t="e">
        <x:f>HYPERLINK("https://belberrycrm.bitrix24.ru/crm/deal/details/22906/","https://belberrycrm.bitrix24.ru/crm/deal/details/22906/")</x:f>
      </x:c>
      <x:c r="D3141" t="str">
        <x:v>Реанимация</x:v>
      </x:c>
      <x:c r="E3141" t="str">
        <x:v>ЛИДЫ: Действующий клиент</x:v>
      </x:c>
      <x:c r="F3141" t="str">
        <x:v>Петр Дудин</x:v>
      </x:c>
      <x:c r="G3141" t="str">
        <x:v>да</x:v>
      </x:c>
      <x:c r="H3141" t="str">
        <x:v>нет</x:v>
      </x:c>
    </x:row>
    <x:row r="3142">
      <x:c r="A3142" t="str">
        <x:v>22916</x:v>
      </x:c>
      <x:c r="B3142" t="str">
        <x:v>spine-restore.ru</x:v>
      </x:c>
      <x:c r="C3142" t="e">
        <x:f>HYPERLINK("https://belberrycrm.bitrix24.ru/crm/deal/details/22916/","https://belberrycrm.bitrix24.ru/crm/deal/details/22916/")</x:f>
      </x:c>
      <x:c r="D3142" t="str">
        <x:v>Реанимация</x:v>
      </x:c>
      <x:c r="E3142" t="str">
        <x:v>ЛИДЫ: Действующий клиент</x:v>
      </x:c>
      <x:c r="F3142" t="str">
        <x:v>Петр Дудин</x:v>
      </x:c>
      <x:c r="G3142" t="str">
        <x:v>нет</x:v>
      </x:c>
      <x:c r="H3142" t="str">
        <x:v>нет</x:v>
      </x:c>
    </x:row>
    <x:row r="3143">
      <x:c r="A3143" t="str">
        <x:v>22918</x:v>
      </x:c>
      <x:c r="B3143" t="str">
        <x:v>osstem.ru</x:v>
      </x:c>
      <x:c r="C3143" t="e">
        <x:f>HYPERLINK("https://belberrycrm.bitrix24.ru/crm/deal/details/22918/","https://belberrycrm.bitrix24.ru/crm/deal/details/22918/")</x:f>
      </x:c>
      <x:c r="D3143" t="str">
        <x:v>Реанимация</x:v>
      </x:c>
      <x:c r="E3143" t="str">
        <x:v>ЛИДЫ: Действующий клиент</x:v>
      </x:c>
      <x:c r="F3143" t="str">
        <x:v>Петр Дудин</x:v>
      </x:c>
      <x:c r="G3143" t="str">
        <x:v>нет</x:v>
      </x:c>
      <x:c r="H3143" t="str">
        <x:v>нет</x:v>
      </x:c>
    </x:row>
    <x:row r="3144">
      <x:c r="A3144" t="str">
        <x:v>22924</x:v>
      </x:c>
      <x:c r="B3144" t="str">
        <x:v>denteyaclinic.ru</x:v>
      </x:c>
      <x:c r="C3144" t="e">
        <x:f>HYPERLINK("https://belberrycrm.bitrix24.ru/crm/deal/details/22924/","https://belberrycrm.bitrix24.ru/crm/deal/details/22924/")</x:f>
      </x:c>
      <x:c r="D3144" t="str">
        <x:v>Реанимация</x:v>
      </x:c>
      <x:c r="E3144" t="str">
        <x:v>ЛИДЫ: Действующий клиент</x:v>
      </x:c>
      <x:c r="F3144" t="str">
        <x:v>Данила Василенко</x:v>
      </x:c>
      <x:c r="G3144" t="str">
        <x:v>да</x:v>
      </x:c>
      <x:c r="H3144" t="str">
        <x:v>нет</x:v>
      </x:c>
    </x:row>
    <x:row r="3145">
      <x:c r="A3145" t="str">
        <x:v>22930</x:v>
      </x:c>
      <x:c r="B3145" t="str">
        <x:v>sinergiainvest.ru WD</x:v>
      </x:c>
      <x:c r="C3145" t="e">
        <x:f>HYPERLINK("https://belberrycrm.bitrix24.ru/crm/deal/details/22930/","https://belberrycrm.bitrix24.ru/crm/deal/details/22930/")</x:f>
      </x:c>
      <x:c r="D3145" t="str">
        <x:v>Реанимация</x:v>
      </x:c>
      <x:c r="E3145" t="str">
        <x:v>ЛИДЫ: Действующий клиент</x:v>
      </x:c>
      <x:c r="F3145" t="str">
        <x:v>Данила Василенко</x:v>
      </x:c>
      <x:c r="G3145" t="str">
        <x:v>да</x:v>
      </x:c>
      <x:c r="H3145" t="str">
        <x:v>нет</x:v>
      </x:c>
    </x:row>
    <x:row r="3146">
      <x:c r="A3146" t="str">
        <x:v>22934</x:v>
      </x:c>
      <x:c r="B3146" t="str">
        <x:v>nanodent.ru</x:v>
      </x:c>
      <x:c r="C3146" t="e">
        <x:f>HYPERLINK("https://belberrycrm.bitrix24.ru/crm/deal/details/22934/","https://belberrycrm.bitrix24.ru/crm/deal/details/22934/")</x:f>
      </x:c>
      <x:c r="D3146" t="str">
        <x:v>Реанимация</x:v>
      </x:c>
      <x:c r="E3146" t="str">
        <x:v>ЛИДЫ: Действующий клиент</x:v>
      </x:c>
      <x:c r="F3146" t="str">
        <x:v>Данила Василенко</x:v>
      </x:c>
      <x:c r="G3146" t="str">
        <x:v>да</x:v>
      </x:c>
      <x:c r="H3146" t="str">
        <x:v>нет</x:v>
      </x:c>
    </x:row>
    <x:row r="3147">
      <x:c r="A3147" t="str">
        <x:v>22948</x:v>
      </x:c>
      <x:c r="B3147" t="str">
        <x:v>crystal-pr.agency</x:v>
      </x:c>
      <x:c r="C3147" t="e">
        <x:f>HYPERLINK("https://belberrycrm.bitrix24.ru/crm/deal/details/22948/","https://belberrycrm.bitrix24.ru/crm/deal/details/22948/")</x:f>
      </x:c>
      <x:c r="D3147" t="str">
        <x:v>Реанимация</x:v>
      </x:c>
      <x:c r="E3147" t="str">
        <x:v>ЛИДЫ: Действующий клиент</x:v>
      </x:c>
      <x:c r="F3147" t="str">
        <x:v>Мария Лопатина</x:v>
      </x:c>
      <x:c r="G3147" t="str">
        <x:v>да</x:v>
      </x:c>
      <x:c r="H3147" t="str">
        <x:v>нет</x:v>
      </x:c>
    </x:row>
    <x:row r="3148">
      <x:c r="A3148" t="str">
        <x:v>22964</x:v>
      </x:c>
      <x:c r="B3148" t="str">
        <x:v>medicosm.ru</x:v>
      </x:c>
      <x:c r="C3148" t="e">
        <x:f>HYPERLINK("https://belberrycrm.bitrix24.ru/crm/deal/details/22964/","https://belberrycrm.bitrix24.ru/crm/deal/details/22964/")</x:f>
      </x:c>
      <x:c r="D3148" t="str">
        <x:v>Реанимация</x:v>
      </x:c>
      <x:c r="E3148" t="str">
        <x:v>ЛИДЫ: Действующий клиент</x:v>
      </x:c>
      <x:c r="F3148" t="str">
        <x:v>Тим Акула</x:v>
      </x:c>
      <x:c r="G3148" t="str">
        <x:v>нет</x:v>
      </x:c>
      <x:c r="H3148" t="str">
        <x:v>нет</x:v>
      </x:c>
    </x:row>
    <x:row r="3149">
      <x:c r="A3149" t="str">
        <x:v>22968</x:v>
      </x:c>
      <x:c r="B3149" t="str">
        <x:v>kuznetsky12.ru</x:v>
      </x:c>
      <x:c r="C3149" t="e">
        <x:f>HYPERLINK("https://belberrycrm.bitrix24.ru/crm/deal/details/22968/","https://belberrycrm.bitrix24.ru/crm/deal/details/22968/")</x:f>
      </x:c>
      <x:c r="D3149" t="str">
        <x:v>Реанимация</x:v>
      </x:c>
      <x:c r="E3149" t="str">
        <x:v>ЛИДЫ: Действующий клиент</x:v>
      </x:c>
      <x:c r="F3149" t="str">
        <x:v>Евгений Щемелёв</x:v>
      </x:c>
      <x:c r="G3149" t="str">
        <x:v>да</x:v>
      </x:c>
      <x:c r="H3149" t="str">
        <x:v>нет</x:v>
      </x:c>
    </x:row>
    <x:row r="3150">
      <x:c r="A3150" t="str">
        <x:v>22972</x:v>
      </x:c>
      <x:c r="B3150" t="str">
        <x:v>gifts-bar.ru</x:v>
      </x:c>
      <x:c r="C3150" t="e">
        <x:f>HYPERLINK("https://belberrycrm.bitrix24.ru/crm/deal/details/22972/","https://belberrycrm.bitrix24.ru/crm/deal/details/22972/")</x:f>
      </x:c>
      <x:c r="D3150" t="str">
        <x:v>Реанимация</x:v>
      </x:c>
      <x:c r="E3150" t="str">
        <x:v>ЛИДЫ: Действующий клиент</x:v>
      </x:c>
      <x:c r="F3150" t="str">
        <x:v>Евгений Щемелёв</x:v>
      </x:c>
      <x:c r="G3150" t="str">
        <x:v>нет</x:v>
      </x:c>
      <x:c r="H3150" t="str">
        <x:v>нет</x:v>
      </x:c>
    </x:row>
    <x:row r="3151">
      <x:c r="A3151" t="str">
        <x:v>22976</x:v>
      </x:c>
      <x:c r="B3151" t="str">
        <x:v>protraffic.com</x:v>
      </x:c>
      <x:c r="C3151" t="e">
        <x:f>HYPERLINK("https://belberrycrm.bitrix24.ru/crm/deal/details/22976/","https://belberrycrm.bitrix24.ru/crm/deal/details/22976/")</x:f>
      </x:c>
      <x:c r="D3151" t="str">
        <x:v>Реанимация</x:v>
      </x:c>
      <x:c r="E3151" t="str">
        <x:v>ЛИДЫ: Действующий клиент</x:v>
      </x:c>
      <x:c r="F3151" t="str">
        <x:v>Евгений Щемелёв</x:v>
      </x:c>
      <x:c r="G3151" t="str">
        <x:v>нет</x:v>
      </x:c>
      <x:c r="H3151" t="str">
        <x:v>да</x:v>
      </x:c>
    </x:row>
    <x:row r="3152">
      <x:c r="A3152" t="str">
        <x:v>22980</x:v>
      </x:c>
      <x:c r="B3152" t="str">
        <x:v>podshipnik.ru</x:v>
      </x:c>
      <x:c r="C3152" t="e">
        <x:f>HYPERLINK("https://belberrycrm.bitrix24.ru/crm/deal/details/22980/","https://belberrycrm.bitrix24.ru/crm/deal/details/22980/")</x:f>
      </x:c>
      <x:c r="D3152" t="str">
        <x:v>Реанимация</x:v>
      </x:c>
      <x:c r="E3152" t="str">
        <x:v>ЛИДЫ: Действующий клиент</x:v>
      </x:c>
      <x:c r="F3152" t="str">
        <x:v>Евгений Щемелёв</x:v>
      </x:c>
      <x:c r="G3152" t="str">
        <x:v>нет</x:v>
      </x:c>
      <x:c r="H3152" t="str">
        <x:v>нет</x:v>
      </x:c>
    </x:row>
    <x:row r="3153">
      <x:c r="A3153" t="str">
        <x:v>22986</x:v>
      </x:c>
      <x:c r="B3153" t="str">
        <x:v>bystrobank.ru</x:v>
      </x:c>
      <x:c r="C3153" t="e">
        <x:f>HYPERLINK("https://belberrycrm.bitrix24.ru/crm/deal/details/22986/","https://belberrycrm.bitrix24.ru/crm/deal/details/22986/")</x:f>
      </x:c>
      <x:c r="D3153" t="str">
        <x:v>Реанимация</x:v>
      </x:c>
      <x:c r="E3153" t="str">
        <x:v>ЛИДЫ: Действующий клиент</x:v>
      </x:c>
      <x:c r="F3153" t="str">
        <x:v>Евгений Щемелёв</x:v>
      </x:c>
      <x:c r="G3153" t="str">
        <x:v>да</x:v>
      </x:c>
      <x:c r="H3153" t="str">
        <x:v>нет</x:v>
      </x:c>
    </x:row>
    <x:row r="3154">
      <x:c r="A3154" t="str">
        <x:v>22988</x:v>
      </x:c>
      <x:c r="B3154" t="str">
        <x:v>mckvt.ru</x:v>
      </x:c>
      <x:c r="C3154" t="e">
        <x:f>HYPERLINK("https://belberrycrm.bitrix24.ru/crm/deal/details/22988/","https://belberrycrm.bitrix24.ru/crm/deal/details/22988/")</x:f>
      </x:c>
      <x:c r="D3154" t="str">
        <x:v>Реанимация</x:v>
      </x:c>
      <x:c r="E3154" t="str">
        <x:v>ЛИДЫ: Действующий клиент</x:v>
      </x:c>
      <x:c r="F3154" t="str">
        <x:v>Евгений Щемелёв</x:v>
      </x:c>
      <x:c r="G3154" t="str">
        <x:v>нет</x:v>
      </x:c>
      <x:c r="H3154" t="str">
        <x:v>нет</x:v>
      </x:c>
    </x:row>
    <x:row r="3155">
      <x:c r="A3155" t="str">
        <x:v>22994</x:v>
      </x:c>
      <x:c r="B3155" t="str">
        <x:v>diamed.ru</x:v>
      </x:c>
      <x:c r="C3155" t="e">
        <x:f>HYPERLINK("https://belberrycrm.bitrix24.ru/crm/deal/details/22994/","https://belberrycrm.bitrix24.ru/crm/deal/details/22994/")</x:f>
      </x:c>
      <x:c r="D3155" t="str">
        <x:v>Реанимация</x:v>
      </x:c>
      <x:c r="E3155" t="str">
        <x:v>ЛИДЫ: Действующий клиент</x:v>
      </x:c>
      <x:c r="F3155" t="str">
        <x:v>Евгений Щемелёв</x:v>
      </x:c>
      <x:c r="G3155" t="str">
        <x:v>нет</x:v>
      </x:c>
      <x:c r="H3155" t="str">
        <x:v>нет</x:v>
      </x:c>
    </x:row>
    <x:row r="3156">
      <x:c r="A3156" t="str">
        <x:v>22996</x:v>
      </x:c>
      <x:c r="B3156" t="str">
        <x:v>martinka.ru</x:v>
      </x:c>
      <x:c r="C3156" t="e">
        <x:f>HYPERLINK("https://belberrycrm.bitrix24.ru/crm/deal/details/22996/","https://belberrycrm.bitrix24.ru/crm/deal/details/22996/")</x:f>
      </x:c>
      <x:c r="D3156" t="str">
        <x:v>Реанимация</x:v>
      </x:c>
      <x:c r="E3156" t="str">
        <x:v>ЛИДЫ: Действующий клиент</x:v>
      </x:c>
      <x:c r="F3156" t="str">
        <x:v>Евгений Щемелёв</x:v>
      </x:c>
      <x:c r="G3156" t="str">
        <x:v>нет</x:v>
      </x:c>
      <x:c r="H3156" t="str">
        <x:v>нет</x:v>
      </x:c>
    </x:row>
    <x:row r="3157">
      <x:c r="A3157" t="str">
        <x:v>23000</x:v>
      </x:c>
      <x:c r="B3157" t="str">
        <x:v>koleno.su</x:v>
      </x:c>
      <x:c r="C3157" t="e">
        <x:f>HYPERLINK("https://belberrycrm.bitrix24.ru/crm/deal/details/23000/","https://belberrycrm.bitrix24.ru/crm/deal/details/23000/")</x:f>
      </x:c>
      <x:c r="D3157" t="str">
        <x:v>Реанимация</x:v>
      </x:c>
      <x:c r="E3157" t="str">
        <x:v>ЛИДЫ: Действующий клиент</x:v>
      </x:c>
      <x:c r="F3157" t="str">
        <x:v>Евгений Щемелёв</x:v>
      </x:c>
      <x:c r="G3157" t="str">
        <x:v>нет</x:v>
      </x:c>
      <x:c r="H3157" t="str">
        <x:v>нет</x:v>
      </x:c>
    </x:row>
    <x:row r="3158">
      <x:c r="A3158" t="str">
        <x:v>23006</x:v>
      </x:c>
      <x:c r="B3158" t="str">
        <x:v>dr-martin.ru</x:v>
      </x:c>
      <x:c r="C3158" t="e">
        <x:f>HYPERLINK("https://belberrycrm.bitrix24.ru/crm/deal/details/23006/","https://belberrycrm.bitrix24.ru/crm/deal/details/23006/")</x:f>
      </x:c>
      <x:c r="D3158" t="str">
        <x:v>Реанимация</x:v>
      </x:c>
      <x:c r="E3158" t="str">
        <x:v>ЛИДЫ: Действующий клиент</x:v>
      </x:c>
      <x:c r="F3158" t="str">
        <x:v>Евгений Щемелёв</x:v>
      </x:c>
      <x:c r="G3158" t="str">
        <x:v>да</x:v>
      </x:c>
      <x:c r="H3158" t="str">
        <x:v>нет</x:v>
      </x:c>
    </x:row>
    <x:row r="3159">
      <x:c r="A3159" t="str">
        <x:v>23010</x:v>
      </x:c>
      <x:c r="B3159" t="str">
        <x:v>arcadis-mg.com</x:v>
      </x:c>
      <x:c r="C3159" t="e">
        <x:f>HYPERLINK("https://belberrycrm.bitrix24.ru/crm/deal/details/23010/","https://belberrycrm.bitrix24.ru/crm/deal/details/23010/")</x:f>
      </x:c>
      <x:c r="D3159" t="str">
        <x:v>Реанимация</x:v>
      </x:c>
      <x:c r="E3159" t="str">
        <x:v>ЛИДЫ: Действующий клиент</x:v>
      </x:c>
      <x:c r="F3159" t="str">
        <x:v>Евгений Щемелёв</x:v>
      </x:c>
      <x:c r="G3159" t="str">
        <x:v>нет</x:v>
      </x:c>
      <x:c r="H3159" t="str">
        <x:v>нет</x:v>
      </x:c>
    </x:row>
    <x:row r="3160">
      <x:c r="A3160" t="str">
        <x:v>23012</x:v>
      </x:c>
      <x:c r="B3160" t="str">
        <x:v>denta-smile.net</x:v>
      </x:c>
      <x:c r="C3160" t="e">
        <x:f>HYPERLINK("https://belberrycrm.bitrix24.ru/crm/deal/details/23012/","https://belberrycrm.bitrix24.ru/crm/deal/details/23012/")</x:f>
      </x:c>
      <x:c r="D3160" t="str">
        <x:v>Реанимация</x:v>
      </x:c>
      <x:c r="E3160" t="str">
        <x:v>ЛИДЫ: Действующий клиент</x:v>
      </x:c>
      <x:c r="F3160" t="str">
        <x:v>Евгений Щемелёв</x:v>
      </x:c>
      <x:c r="G3160" t="str">
        <x:v>нет</x:v>
      </x:c>
      <x:c r="H3160" t="str">
        <x:v>нет</x:v>
      </x:c>
    </x:row>
    <x:row r="3161">
      <x:c r="A3161" t="str">
        <x:v>23014</x:v>
      </x:c>
      <x:c r="B3161" t="str">
        <x:v>dinstom.ru</x:v>
      </x:c>
      <x:c r="C3161" t="e">
        <x:f>HYPERLINK("https://belberrycrm.bitrix24.ru/crm/deal/details/23014/","https://belberrycrm.bitrix24.ru/crm/deal/details/23014/")</x:f>
      </x:c>
      <x:c r="D3161" t="str">
        <x:v>Реанимация</x:v>
      </x:c>
      <x:c r="E3161" t="str">
        <x:v>ЛИДЫ: Действующий клиент</x:v>
      </x:c>
      <x:c r="F3161" t="str">
        <x:v>Евгений Щемелёв</x:v>
      </x:c>
      <x:c r="G3161" t="str">
        <x:v>нет</x:v>
      </x:c>
      <x:c r="H3161" t="str">
        <x:v>нет</x:v>
      </x:c>
    </x:row>
    <x:row r="3162">
      <x:c r="A3162" t="str">
        <x:v>23016</x:v>
      </x:c>
      <x:c r="B3162" t="str">
        <x:v>kink.ru</x:v>
      </x:c>
      <x:c r="C3162" t="e">
        <x:f>HYPERLINK("https://belberrycrm.bitrix24.ru/crm/deal/details/23016/","https://belberrycrm.bitrix24.ru/crm/deal/details/23016/")</x:f>
      </x:c>
      <x:c r="D3162" t="str">
        <x:v>Реанимация</x:v>
      </x:c>
      <x:c r="E3162" t="str">
        <x:v>ЛИДЫ: Действующий клиент</x:v>
      </x:c>
      <x:c r="F3162" t="str">
        <x:v>Евгений Щемелёв</x:v>
      </x:c>
      <x:c r="G3162" t="str">
        <x:v>нет</x:v>
      </x:c>
      <x:c r="H3162" t="str">
        <x:v>нет</x:v>
      </x:c>
    </x:row>
    <x:row r="3163">
      <x:c r="A3163" t="str">
        <x:v>23024</x:v>
      </x:c>
      <x:c r="B3163" t="str">
        <x:v>newskinclinic.ru</x:v>
      </x:c>
      <x:c r="C3163" t="e">
        <x:f>HYPERLINK("https://belberrycrm.bitrix24.ru/crm/deal/details/23024/","https://belberrycrm.bitrix24.ru/crm/deal/details/23024/")</x:f>
      </x:c>
      <x:c r="D3163" t="str">
        <x:v>Реанимация</x:v>
      </x:c>
      <x:c r="E3163" t="str">
        <x:v>ЛИДЫ: Действующий клиент</x:v>
      </x:c>
      <x:c r="F3163" t="str">
        <x:v>Евгений Щемелёв</x:v>
      </x:c>
      <x:c r="G3163" t="str">
        <x:v>нет</x:v>
      </x:c>
      <x:c r="H3163" t="str">
        <x:v>нет</x:v>
      </x:c>
    </x:row>
    <x:row r="3164">
      <x:c r="A3164" t="str">
        <x:v>23026</x:v>
      </x:c>
      <x:c r="B3164" t="str">
        <x:v>rusvisc.ru</x:v>
      </x:c>
      <x:c r="C3164" t="e">
        <x:f>HYPERLINK("https://belberrycrm.bitrix24.ru/crm/deal/details/23026/","https://belberrycrm.bitrix24.ru/crm/deal/details/23026/")</x:f>
      </x:c>
      <x:c r="D3164" t="str">
        <x:v>Реанимация</x:v>
      </x:c>
      <x:c r="E3164" t="str">
        <x:v>ЛИДЫ: Действующий клиент</x:v>
      </x:c>
      <x:c r="F3164" t="str">
        <x:v>Евгений Щемелёв</x:v>
      </x:c>
      <x:c r="G3164" t="str">
        <x:v>нет</x:v>
      </x:c>
      <x:c r="H3164" t="str">
        <x:v>нет</x:v>
      </x:c>
    </x:row>
    <x:row r="3165">
      <x:c r="A3165" t="str">
        <x:v>23028</x:v>
      </x:c>
      <x:c r="B3165" t="str">
        <x:v>schag.ru</x:v>
      </x:c>
      <x:c r="C3165" t="e">
        <x:f>HYPERLINK("https://belberrycrm.bitrix24.ru/crm/deal/details/23028/","https://belberrycrm.bitrix24.ru/crm/deal/details/23028/")</x:f>
      </x:c>
      <x:c r="D3165" t="str">
        <x:v>Реанимация</x:v>
      </x:c>
      <x:c r="E3165" t="str">
        <x:v>ЛИДЫ: Действующий клиент</x:v>
      </x:c>
      <x:c r="F3165" t="str">
        <x:v>Евгений Щемелёв</x:v>
      </x:c>
      <x:c r="G3165" t="str">
        <x:v>нет</x:v>
      </x:c>
      <x:c r="H3165" t="str">
        <x:v>нет</x:v>
      </x:c>
    </x:row>
    <x:row r="3166">
      <x:c r="A3166" t="str">
        <x:v>23030</x:v>
      </x:c>
      <x:c r="B3166" t="str">
        <x:v>tropicanaspa.ru</x:v>
      </x:c>
      <x:c r="C3166" t="e">
        <x:f>HYPERLINK("https://belberrycrm.bitrix24.ru/crm/deal/details/23030/","https://belberrycrm.bitrix24.ru/crm/deal/details/23030/")</x:f>
      </x:c>
      <x:c r="D3166" t="str">
        <x:v>Реанимация</x:v>
      </x:c>
      <x:c r="E3166" t="str">
        <x:v>ЛИДЫ: Действующий клиент</x:v>
      </x:c>
      <x:c r="F3166" t="str">
        <x:v>Евгений Щемелёв</x:v>
      </x:c>
      <x:c r="G3166" t="str">
        <x:v>нет</x:v>
      </x:c>
      <x:c r="H3166" t="str">
        <x:v>нет</x:v>
      </x:c>
    </x:row>
    <x:row r="3167">
      <x:c r="A3167" t="str">
        <x:v>23038</x:v>
      </x:c>
      <x:c r="B3167" t="str">
        <x:v>periostom.ru</x:v>
      </x:c>
      <x:c r="C3167" t="e">
        <x:f>HYPERLINK("https://belberrycrm.bitrix24.ru/crm/deal/details/23038/","https://belberrycrm.bitrix24.ru/crm/deal/details/23038/")</x:f>
      </x:c>
      <x:c r="D3167" t="str">
        <x:v>Реанимация</x:v>
      </x:c>
      <x:c r="E3167" t="str">
        <x:v>ЛИДЫ: Действующий клиент</x:v>
      </x:c>
      <x:c r="F3167" t="str">
        <x:v>Евгений Щемелёв</x:v>
      </x:c>
      <x:c r="G3167" t="str">
        <x:v>нет</x:v>
      </x:c>
      <x:c r="H3167" t="str">
        <x:v>нет</x:v>
      </x:c>
    </x:row>
    <x:row r="3168">
      <x:c r="A3168" t="str">
        <x:v>23042</x:v>
      </x:c>
      <x:c r="B3168" t="str">
        <x:v>dlclinics.ru</x:v>
      </x:c>
      <x:c r="C3168" t="e">
        <x:f>HYPERLINK("https://belberrycrm.bitrix24.ru/crm/deal/details/23042/","https://belberrycrm.bitrix24.ru/crm/deal/details/23042/")</x:f>
      </x:c>
      <x:c r="D3168" t="str">
        <x:v>Реанимация</x:v>
      </x:c>
      <x:c r="E3168" t="str">
        <x:v>ЛИДЫ: Действующий клиент</x:v>
      </x:c>
      <x:c r="F3168" t="str">
        <x:v>Евгений Щемелёв</x:v>
      </x:c>
      <x:c r="G3168" t="str">
        <x:v>нет</x:v>
      </x:c>
      <x:c r="H3168" t="str">
        <x:v>нет</x:v>
      </x:c>
    </x:row>
    <x:row r="3169">
      <x:c r="A3169" t="str">
        <x:v>23046</x:v>
      </x:c>
      <x:c r="B3169" t="str">
        <x:v>hemonc.ru</x:v>
      </x:c>
      <x:c r="C3169" t="e">
        <x:f>HYPERLINK("https://belberrycrm.bitrix24.ru/crm/deal/details/23046/","https://belberrycrm.bitrix24.ru/crm/deal/details/23046/")</x:f>
      </x:c>
      <x:c r="D3169" t="str">
        <x:v>Реанимация</x:v>
      </x:c>
      <x:c r="E3169" t="str">
        <x:v>ЛИДЫ: Действующий клиент</x:v>
      </x:c>
      <x:c r="F3169" t="str">
        <x:v>Евгений Щемелёв</x:v>
      </x:c>
      <x:c r="G3169" t="str">
        <x:v>да</x:v>
      </x:c>
      <x:c r="H3169" t="str">
        <x:v>нет</x:v>
      </x:c>
    </x:row>
    <x:row r="3170">
      <x:c r="A3170" t="str">
        <x:v>23048</x:v>
      </x:c>
      <x:c r="B3170" t="str">
        <x:v>k-medica.ru</x:v>
      </x:c>
      <x:c r="C3170" t="e">
        <x:f>HYPERLINK("https://belberrycrm.bitrix24.ru/crm/deal/details/23048/","https://belberrycrm.bitrix24.ru/crm/deal/details/23048/")</x:f>
      </x:c>
      <x:c r="D3170" t="str">
        <x:v>Реанимация</x:v>
      </x:c>
      <x:c r="E3170" t="str">
        <x:v>ЛИДЫ: Действующий клиент</x:v>
      </x:c>
      <x:c r="F3170" t="str">
        <x:v>Анна Гудинова</x:v>
      </x:c>
      <x:c r="G3170" t="str">
        <x:v>нет</x:v>
      </x:c>
      <x:c r="H3170" t="str">
        <x:v>нет</x:v>
      </x:c>
    </x:row>
    <x:row r="3171">
      <x:c r="A3171" t="str">
        <x:v>23050</x:v>
      </x:c>
      <x:c r="B3171" t="str">
        <x:v>полныйпорядок.рф</x:v>
      </x:c>
      <x:c r="C3171" t="e">
        <x:f>HYPERLINK("https://belberrycrm.bitrix24.ru/crm/deal/details/23050/","https://belberrycrm.bitrix24.ru/crm/deal/details/23050/")</x:f>
      </x:c>
      <x:c r="D3171" t="str">
        <x:v>Реанимация</x:v>
      </x:c>
      <x:c r="E3171" t="str">
        <x:v>ЛИДЫ: Действующий клиент</x:v>
      </x:c>
      <x:c r="F3171" t="str">
        <x:v>Админ всея Belberry</x:v>
      </x:c>
      <x:c r="G3171" t="str">
        <x:v>да</x:v>
      </x:c>
      <x:c r="H3171" t="str">
        <x:v>нет</x:v>
      </x:c>
    </x:row>
    <x:row r="3172">
      <x:c r="A3172" t="str">
        <x:v>23052</x:v>
      </x:c>
      <x:c r="B3172" t="str">
        <x:v>1laboratory.ru</x:v>
      </x:c>
      <x:c r="C3172" t="e">
        <x:f>HYPERLINK("https://belberrycrm.bitrix24.ru/crm/deal/details/23052/","https://belberrycrm.bitrix24.ru/crm/deal/details/23052/")</x:f>
      </x:c>
      <x:c r="D3172" t="str">
        <x:v>Реанимация</x:v>
      </x:c>
      <x:c r="E3172" t="str">
        <x:v>ЛИДЫ: Действующий клиент</x:v>
      </x:c>
      <x:c r="F3172" t="str">
        <x:v>Евгений Щемелёв</x:v>
      </x:c>
      <x:c r="G3172" t="str">
        <x:v>да</x:v>
      </x:c>
      <x:c r="H3172" t="str">
        <x:v>нет</x:v>
      </x:c>
    </x:row>
    <x:row r="3173">
      <x:c r="A3173" t="str">
        <x:v>23056</x:v>
      </x:c>
      <x:c r="B3173" t="str">
        <x:v>furnitura-titan.ru</x:v>
      </x:c>
      <x:c r="C3173" t="e">
        <x:f>HYPERLINK("https://belberrycrm.bitrix24.ru/crm/deal/details/23056/","https://belberrycrm.bitrix24.ru/crm/deal/details/23056/")</x:f>
      </x:c>
      <x:c r="D3173" t="str">
        <x:v>Реанимация</x:v>
      </x:c>
      <x:c r="E3173" t="str">
        <x:v>ЛИДЫ: Действующий клиент</x:v>
      </x:c>
      <x:c r="F3173" t="str">
        <x:v>Евгений Щемелёв</x:v>
      </x:c>
      <x:c r="G3173" t="str">
        <x:v>нет</x:v>
      </x:c>
      <x:c r="H3173" t="str">
        <x:v>нет</x:v>
      </x:c>
    </x:row>
    <x:row r="3174">
      <x:c r="A3174" t="str">
        <x:v>23058</x:v>
      </x:c>
      <x:c r="B3174" t="str">
        <x:v>skyview.ru</x:v>
      </x:c>
      <x:c r="C3174" t="e">
        <x:f>HYPERLINK("https://belberrycrm.bitrix24.ru/crm/deal/details/23058/","https://belberrycrm.bitrix24.ru/crm/deal/details/23058/")</x:f>
      </x:c>
      <x:c r="D3174" t="str">
        <x:v>Реанимация</x:v>
      </x:c>
      <x:c r="E3174" t="str">
        <x:v>ЛИДЫ: Действующий клиент</x:v>
      </x:c>
      <x:c r="F3174" t="str">
        <x:v>Евгений Щемелёв</x:v>
      </x:c>
      <x:c r="G3174" t="str">
        <x:v>нет</x:v>
      </x:c>
      <x:c r="H3174" t="str">
        <x:v>нет</x:v>
      </x:c>
    </x:row>
    <x:row r="3175">
      <x:c r="A3175" t="str">
        <x:v>23062</x:v>
      </x:c>
      <x:c r="B3175" t="str">
        <x:v>sdsclinic.spb.ru</x:v>
      </x:c>
      <x:c r="C3175" t="e">
        <x:f>HYPERLINK("https://belberrycrm.bitrix24.ru/crm/deal/details/23062/","https://belberrycrm.bitrix24.ru/crm/deal/details/23062/")</x:f>
      </x:c>
      <x:c r="D3175" t="str">
        <x:v>Реанимация</x:v>
      </x:c>
      <x:c r="E3175" t="str">
        <x:v>ЛИДЫ: Действующий клиент</x:v>
      </x:c>
      <x:c r="F3175" t="str">
        <x:v>Евгений Щемелёв</x:v>
      </x:c>
      <x:c r="G3175" t="str">
        <x:v>нет</x:v>
      </x:c>
      <x:c r="H3175" t="str">
        <x:v>нет</x:v>
      </x:c>
    </x:row>
    <x:row r="3176">
      <x:c r="A3176" t="str">
        <x:v>23070</x:v>
      </x:c>
      <x:c r="B3176" t="str">
        <x:v>benovy-company.ru</x:v>
      </x:c>
      <x:c r="C3176" t="e">
        <x:f>HYPERLINK("https://belberrycrm.bitrix24.ru/crm/deal/details/23070/","https://belberrycrm.bitrix24.ru/crm/deal/details/23070/")</x:f>
      </x:c>
      <x:c r="D3176" t="str">
        <x:v>Реанимация</x:v>
      </x:c>
      <x:c r="E3176" t="str">
        <x:v>ЛИДЫ: Действующий клиент</x:v>
      </x:c>
      <x:c r="F3176" t="str">
        <x:v>Админ всея Belberry</x:v>
      </x:c>
      <x:c r="G3176" t="str">
        <x:v>нет</x:v>
      </x:c>
      <x:c r="H3176" t="str">
        <x:v>нет</x:v>
      </x:c>
    </x:row>
    <x:row r="3177">
      <x:c r="A3177" t="str">
        <x:v>23072</x:v>
      </x:c>
      <x:c r="B3177" t="str">
        <x:v>dr-nesterenko.ru</x:v>
      </x:c>
      <x:c r="C3177" t="e">
        <x:f>HYPERLINK("https://belberrycrm.bitrix24.ru/crm/deal/details/23072/","https://belberrycrm.bitrix24.ru/crm/deal/details/23072/")</x:f>
      </x:c>
      <x:c r="D3177" t="str">
        <x:v>Реанимация</x:v>
      </x:c>
      <x:c r="E3177" t="str">
        <x:v>ЛИДЫ: Действующий клиент</x:v>
      </x:c>
      <x:c r="F3177" t="str">
        <x:v>Евгений Щемелёв</x:v>
      </x:c>
      <x:c r="G3177" t="str">
        <x:v>да</x:v>
      </x:c>
      <x:c r="H3177" t="str">
        <x:v>нет</x:v>
      </x:c>
    </x:row>
    <x:row r="3178">
      <x:c r="A3178" t="str">
        <x:v>23074</x:v>
      </x:c>
      <x:c r="B3178" t="str">
        <x:v>scf-tp.ru</x:v>
      </x:c>
      <x:c r="C3178" t="e">
        <x:f>HYPERLINK("https://belberrycrm.bitrix24.ru/crm/deal/details/23074/","https://belberrycrm.bitrix24.ru/crm/deal/details/23074/")</x:f>
      </x:c>
      <x:c r="D3178" t="str">
        <x:v>Реанимация</x:v>
      </x:c>
      <x:c r="E3178" t="str">
        <x:v>ЛИДЫ: Действующий клиент</x:v>
      </x:c>
      <x:c r="F3178" t="str">
        <x:v>Евгений Щемелёв</x:v>
      </x:c>
      <x:c r="G3178" t="str">
        <x:v>нет</x:v>
      </x:c>
      <x:c r="H3178" t="str">
        <x:v>нет</x:v>
      </x:c>
    </x:row>
    <x:row r="3179">
      <x:c r="A3179" t="str">
        <x:v>23076</x:v>
      </x:c>
      <x:c r="B3179" t="str">
        <x:v>karta-zdorovia.ru</x:v>
      </x:c>
      <x:c r="C3179" t="e">
        <x:f>HYPERLINK("https://belberrycrm.bitrix24.ru/crm/deal/details/23076/","https://belberrycrm.bitrix24.ru/crm/deal/details/23076/")</x:f>
      </x:c>
      <x:c r="D3179" t="str">
        <x:v>Реанимация</x:v>
      </x:c>
      <x:c r="E3179" t="str">
        <x:v>ЛИДЫ: Действующий клиент</x:v>
      </x:c>
      <x:c r="F3179" t="str">
        <x:v>Евгений Щемелёв</x:v>
      </x:c>
      <x:c r="G3179" t="str">
        <x:v>нет</x:v>
      </x:c>
      <x:c r="H3179" t="str">
        <x:v>нет</x:v>
      </x:c>
    </x:row>
    <x:row r="3180">
      <x:c r="A3180" t="str">
        <x:v>23078</x:v>
      </x:c>
      <x:c r="B3180" t="str">
        <x:v>flebogroup.ru</x:v>
      </x:c>
      <x:c r="C3180" t="e">
        <x:f>HYPERLINK("https://belberrycrm.bitrix24.ru/crm/deal/details/23078/","https://belberrycrm.bitrix24.ru/crm/deal/details/23078/")</x:f>
      </x:c>
      <x:c r="D3180" t="str">
        <x:v>Реанимация</x:v>
      </x:c>
      <x:c r="E3180" t="str">
        <x:v>ЛИДЫ: Действующий клиент</x:v>
      </x:c>
      <x:c r="F3180" t="str">
        <x:v>Евгений Щемелёв</x:v>
      </x:c>
      <x:c r="G3180" t="str">
        <x:v>нет</x:v>
      </x:c>
      <x:c r="H3180" t="str">
        <x:v>нет</x:v>
      </x:c>
    </x:row>
    <x:row r="3181">
      <x:c r="A3181" t="str">
        <x:v>23100</x:v>
      </x:c>
      <x:c r="B3181" t="str">
        <x:v>Сайт психологической помощи</x:v>
      </x:c>
      <x:c r="C3181" t="e">
        <x:f>HYPERLINK("https://belberrycrm.bitrix24.ru/crm/deal/details/23100/","https://belberrycrm.bitrix24.ru/crm/deal/details/23100/")</x:f>
      </x:c>
      <x:c r="D3181" t="str">
        <x:v>Реанимация</x:v>
      </x:c>
      <x:c r="E3181" t="str">
        <x:v>ЛИДЫ: Действующий клиент</x:v>
      </x:c>
      <x:c r="F3181" t="str">
        <x:v>Админ всея Belberry</x:v>
      </x:c>
      <x:c r="G3181" t="str">
        <x:v>нет</x:v>
      </x:c>
      <x:c r="H3181" t="str">
        <x:v>нет</x:v>
      </x:c>
    </x:row>
    <x:row r="3182">
      <x:c r="A3182" t="str">
        <x:v>23102</x:v>
      </x:c>
      <x:c r="B3182" t="str">
        <x:v>logisticvm.ru</x:v>
      </x:c>
      <x:c r="C3182" t="e">
        <x:f>HYPERLINK("https://belberrycrm.bitrix24.ru/crm/deal/details/23102/","https://belberrycrm.bitrix24.ru/crm/deal/details/23102/")</x:f>
      </x:c>
      <x:c r="D3182" t="str">
        <x:v>Реанимация</x:v>
      </x:c>
      <x:c r="E3182" t="str">
        <x:v>ЛИДЫ: Действующий клиент</x:v>
      </x:c>
      <x:c r="F3182" t="str">
        <x:v>Админ всея Belberry</x:v>
      </x:c>
      <x:c r="G3182" t="str">
        <x:v>нет</x:v>
      </x:c>
      <x:c r="H3182" t="str">
        <x:v>нет</x:v>
      </x:c>
    </x:row>
    <x:row r="3183">
      <x:c r="A3183" t="str">
        <x:v>23122</x:v>
      </x:c>
      <x:c r="B3183" t="str">
        <x:v>Заказ интернет-магазина №196</x:v>
      </x:c>
      <x:c r="C3183" t="e">
        <x:f>HYPERLINK("https://belberrycrm.bitrix24.ru/crm/deal/details/23122/","https://belberrycrm.bitrix24.ru/crm/deal/details/23122/")</x:f>
      </x:c>
      <x:c r="D3183" t="str">
        <x:v>Реанимация</x:v>
      </x:c>
      <x:c r="E3183" t="str">
        <x:v>АРХИВ Общая</x:v>
      </x:c>
      <x:c r="F3183" t="str">
        <x:v>Анна Гудинова</x:v>
      </x:c>
      <x:c r="G3183" t="str">
        <x:v>нет</x:v>
      </x:c>
      <x:c r="H3183" t="str">
        <x:v>нет</x:v>
      </x:c>
    </x:row>
    <x:row r="3184">
      <x:c r="A3184" t="str">
        <x:v>23176</x:v>
      </x:c>
      <x:c r="B3184" t="str">
        <x:v>Заказ интернет-магазина №198</x:v>
      </x:c>
      <x:c r="C3184" t="e">
        <x:f>HYPERLINK("https://belberrycrm.bitrix24.ru/crm/deal/details/23176/","https://belberrycrm.bitrix24.ru/crm/deal/details/23176/")</x:f>
      </x:c>
      <x:c r="D3184" t="str">
        <x:v>Реанимация</x:v>
      </x:c>
      <x:c r="E3184" t="str">
        <x:v>АРХИВ Общая</x:v>
      </x:c>
      <x:c r="F3184" t="str">
        <x:v>Анна Гудинова</x:v>
      </x:c>
      <x:c r="G3184" t="str">
        <x:v>нет</x:v>
      </x:c>
      <x:c r="H3184" t="str">
        <x:v>нет</x:v>
      </x:c>
    </x:row>
    <x:row r="3185">
      <x:c r="A3185" t="str">
        <x:v>23180</x:v>
      </x:c>
      <x:c r="B3185" t="str">
        <x:v>Заказ интернет-магазина №200</x:v>
      </x:c>
      <x:c r="C3185" t="e">
        <x:f>HYPERLINK("https://belberrycrm.bitrix24.ru/crm/deal/details/23180/","https://belberrycrm.bitrix24.ru/crm/deal/details/23180/")</x:f>
      </x:c>
      <x:c r="D3185" t="str">
        <x:v>Реанимация</x:v>
      </x:c>
      <x:c r="E3185" t="str">
        <x:v>АРХИВ Общая</x:v>
      </x:c>
      <x:c r="F3185" t="str">
        <x:v>Анна Гудинова</x:v>
      </x:c>
      <x:c r="G3185" t="str">
        <x:v>нет</x:v>
      </x:c>
      <x:c r="H3185" t="str">
        <x:v>нет</x:v>
      </x:c>
    </x:row>
    <x:row r="3186">
      <x:c r="A3186" t="str">
        <x:v>1628</x:v>
      </x:c>
      <x:c r="B3186" t="str">
        <x:v>mamadeti.ru</x:v>
      </x:c>
      <x:c r="C3186" t="e">
        <x:f>HYPERLINK("https://belberrycrm.bitrix24.ru/crm/deal/details/1628/","https://belberrycrm.bitrix24.ru/crm/deal/details/1628/")</x:f>
      </x:c>
      <x:c r="D3186" t="str">
        <x:v>Телемаркетинг</x:v>
      </x:c>
      <x:c r="E3186" t="str">
        <x:v>К обзвону</x:v>
      </x:c>
      <x:c r="F3186" t="str">
        <x:v>Дарья Исаева</x:v>
      </x:c>
      <x:c r="G3186" t="str">
        <x:v>нет</x:v>
      </x:c>
      <x:c r="H3186" t="str">
        <x:v>нет</x:v>
      </x:c>
    </x:row>
    <x:row r="3187">
      <x:c r="A3187" t="str">
        <x:v>1922</x:v>
      </x:c>
      <x:c r="B3187" t="str">
        <x:v>sladskaz.ru</x:v>
      </x:c>
      <x:c r="C3187" t="e">
        <x:f>HYPERLINK("https://belberrycrm.bitrix24.ru/crm/deal/details/1922/","https://belberrycrm.bitrix24.ru/crm/deal/details/1922/")</x:f>
      </x:c>
      <x:c r="D3187" t="str">
        <x:v>Телемаркетинг</x:v>
      </x:c>
      <x:c r="E3187" t="str">
        <x:v>К обзвону</x:v>
      </x:c>
      <x:c r="F3187" t="str">
        <x:v>Георгий Погосян</x:v>
      </x:c>
      <x:c r="G3187" t="str">
        <x:v>нет</x:v>
      </x:c>
      <x:c r="H3187" t="str">
        <x:v>нет</x:v>
      </x:c>
    </x:row>
    <x:row r="3188">
      <x:c r="A3188" t="str">
        <x:v>4656</x:v>
      </x:c>
      <x:c r="B3188" t="str">
        <x:v>brightsideclinic.ru</x:v>
      </x:c>
      <x:c r="C3188" t="e">
        <x:f>HYPERLINK("https://belberrycrm.bitrix24.ru/crm/deal/details/4656/","https://belberrycrm.bitrix24.ru/crm/deal/details/4656/")</x:f>
      </x:c>
      <x:c r="D3188" t="str">
        <x:v>Телемаркетинг</x:v>
      </x:c>
      <x:c r="E3188" t="str">
        <x:v>Взято в работу</x:v>
      </x:c>
      <x:c r="F3188" t="str">
        <x:v>Иван Халин</x:v>
      </x:c>
      <x:c r="G3188" t="str">
        <x:v>нет</x:v>
      </x:c>
      <x:c r="H3188" t="str">
        <x:v>нет</x:v>
      </x:c>
    </x:row>
    <x:row r="3189">
      <x:c r="A3189" t="str">
        <x:v>5322</x:v>
      </x:c>
      <x:c r="B3189" t="str">
        <x:v>mirmagnitov.ru</x:v>
      </x:c>
      <x:c r="C3189" t="e">
        <x:f>HYPERLINK("https://belberrycrm.bitrix24.ru/crm/deal/details/5322/","https://belberrycrm.bitrix24.ru/crm/deal/details/5322/")</x:f>
      </x:c>
      <x:c r="D3189" t="str">
        <x:v>Телемаркетинг</x:v>
      </x:c>
      <x:c r="E3189" t="str">
        <x:v>К обзвону</x:v>
      </x:c>
      <x:c r="F3189" t="str">
        <x:v>Илья Смирнов</x:v>
      </x:c>
      <x:c r="G3189" t="str">
        <x:v>да</x:v>
      </x:c>
      <x:c r="H3189" t="str">
        <x:v>нет</x:v>
      </x:c>
    </x:row>
    <x:row r="3190">
      <x:c r="A3190" t="str">
        <x:v>10462</x:v>
      </x:c>
      <x:c r="B3190" t="str">
        <x:v>primovello.ru</x:v>
      </x:c>
      <x:c r="C3190" t="e">
        <x:f>HYPERLINK("https://belberrycrm.bitrix24.ru/crm/deal/details/10462/","https://belberrycrm.bitrix24.ru/crm/deal/details/10462/")</x:f>
      </x:c>
      <x:c r="D3190" t="str">
        <x:v>Телемаркетинг</x:v>
      </x:c>
      <x:c r="E3190" t="str">
        <x:v>К обзвону</x:v>
      </x:c>
      <x:c r="F3190" t="str">
        <x:v>Дарья Исаева</x:v>
      </x:c>
      <x:c r="G3190" t="str">
        <x:v>нет</x:v>
      </x:c>
      <x:c r="H3190" t="str">
        <x:v>нет</x:v>
      </x:c>
    </x:row>
    <x:row r="3191">
      <x:c r="A3191" t="str">
        <x:v>10996</x:v>
      </x:c>
      <x:c r="B3191" t="str">
        <x:v>ferrum-sk.ru</x:v>
      </x:c>
      <x:c r="C3191" t="e">
        <x:f>HYPERLINK("https://belberrycrm.bitrix24.ru/crm/deal/details/10996/","https://belberrycrm.bitrix24.ru/crm/deal/details/10996/")</x:f>
      </x:c>
      <x:c r="D3191" t="str">
        <x:v>Телемаркетинг</x:v>
      </x:c>
      <x:c r="E3191" t="str">
        <x:v>К обзвону</x:v>
      </x:c>
      <x:c r="F3191" t="str">
        <x:v>Илья Смирнов</x:v>
      </x:c>
      <x:c r="G3191" t="str">
        <x:v>нет</x:v>
      </x:c>
      <x:c r="H3191" t="str">
        <x:v>нет</x:v>
      </x:c>
    </x:row>
    <x:row r="3192">
      <x:c r="A3192" t="str">
        <x:v>11042</x:v>
      </x:c>
      <x:c r="B3192" t="str">
        <x:v>nurinail.ru</x:v>
      </x:c>
      <x:c r="C3192" t="e">
        <x:f>HYPERLINK("https://belberrycrm.bitrix24.ru/crm/deal/details/11042/","https://belberrycrm.bitrix24.ru/crm/deal/details/11042/")</x:f>
      </x:c>
      <x:c r="D3192" t="str">
        <x:v>Телемаркетинг</x:v>
      </x:c>
      <x:c r="E3192" t="str">
        <x:v>К обзвону</x:v>
      </x:c>
      <x:c r="F3192" t="str">
        <x:v>Елизавета Деговцова</x:v>
      </x:c>
      <x:c r="G3192" t="str">
        <x:v>да</x:v>
      </x:c>
      <x:c r="H3192" t="str">
        <x:v>нет</x:v>
      </x:c>
    </x:row>
    <x:row r="3193">
      <x:c r="A3193" t="str">
        <x:v>11062</x:v>
      </x:c>
      <x:c r="B3193" t="str">
        <x:v>evrochehol.ru</x:v>
      </x:c>
      <x:c r="C3193" t="e">
        <x:f>HYPERLINK("https://belberrycrm.bitrix24.ru/crm/deal/details/11062/","https://belberrycrm.bitrix24.ru/crm/deal/details/11062/")</x:f>
      </x:c>
      <x:c r="D3193" t="str">
        <x:v>Телемаркетинг</x:v>
      </x:c>
      <x:c r="E3193" t="str">
        <x:v>К обзвону</x:v>
      </x:c>
      <x:c r="F3193" t="str">
        <x:v>Елизавета Деговцова</x:v>
      </x:c>
      <x:c r="G3193" t="str">
        <x:v>нет</x:v>
      </x:c>
      <x:c r="H3193" t="str">
        <x:v>нет</x:v>
      </x:c>
    </x:row>
    <x:row r="3194">
      <x:c r="A3194" t="str">
        <x:v>11120</x:v>
      </x:c>
      <x:c r="B3194" t="str">
        <x:v>aruramed.ru</x:v>
      </x:c>
      <x:c r="C3194" t="e">
        <x:f>HYPERLINK("https://belberrycrm.bitrix24.ru/crm/deal/details/11120/","https://belberrycrm.bitrix24.ru/crm/deal/details/11120/")</x:f>
      </x:c>
      <x:c r="D3194" t="str">
        <x:v>Телемаркетинг</x:v>
      </x:c>
      <x:c r="E3194" t="str">
        <x:v>К обзвону</x:v>
      </x:c>
      <x:c r="F3194" t="str">
        <x:v>Иван Халин</x:v>
      </x:c>
      <x:c r="G3194" t="str">
        <x:v>да</x:v>
      </x:c>
      <x:c r="H3194" t="str">
        <x:v>нет</x:v>
      </x:c>
    </x:row>
    <x:row r="3195">
      <x:c r="A3195" t="str">
        <x:v>11134</x:v>
      </x:c>
      <x:c r="B3195" t="str">
        <x:v>салонсахар.рф</x:v>
      </x:c>
      <x:c r="C3195" t="e">
        <x:f>HYPERLINK("https://belberrycrm.bitrix24.ru/crm/deal/details/11134/","https://belberrycrm.bitrix24.ru/crm/deal/details/11134/")</x:f>
      </x:c>
      <x:c r="D3195" t="str">
        <x:v>Телемаркетинг</x:v>
      </x:c>
      <x:c r="E3195" t="str">
        <x:v>К обзвону</x:v>
      </x:c>
      <x:c r="F3195" t="str">
        <x:v>Елизавета Деговцова</x:v>
      </x:c>
      <x:c r="G3195" t="str">
        <x:v>нет</x:v>
      </x:c>
      <x:c r="H3195" t="str">
        <x:v>нет</x:v>
      </x:c>
    </x:row>
    <x:row r="3196">
      <x:c r="A3196" t="str">
        <x:v>11288</x:v>
      </x:c>
      <x:c r="B3196" t="str">
        <x:v>drliman-clinic.ru</x:v>
      </x:c>
      <x:c r="C3196" t="e">
        <x:f>HYPERLINK("https://belberrycrm.bitrix24.ru/crm/deal/details/11288/","https://belberrycrm.bitrix24.ru/crm/deal/details/11288/")</x:f>
      </x:c>
      <x:c r="D3196" t="str">
        <x:v>Телемаркетинг</x:v>
      </x:c>
      <x:c r="E3196" t="str">
        <x:v>К обзвону</x:v>
      </x:c>
      <x:c r="F3196" t="str">
        <x:v>Иван Халин</x:v>
      </x:c>
      <x:c r="G3196" t="str">
        <x:v>да</x:v>
      </x:c>
      <x:c r="H3196" t="str">
        <x:v>нет</x:v>
      </x:c>
    </x:row>
    <x:row r="3197">
      <x:c r="A3197" t="str">
        <x:v>11420</x:v>
      </x:c>
      <x:c r="B3197" t="str">
        <x:v>personne.ru</x:v>
      </x:c>
      <x:c r="C3197" t="e">
        <x:f>HYPERLINK("https://belberrycrm.bitrix24.ru/crm/deal/details/11420/","https://belberrycrm.bitrix24.ru/crm/deal/details/11420/")</x:f>
      </x:c>
      <x:c r="D3197" t="str">
        <x:v>Телемаркетинг</x:v>
      </x:c>
      <x:c r="E3197" t="str">
        <x:v>К обзвону</x:v>
      </x:c>
      <x:c r="F3197" t="str">
        <x:v>Елизавета Деговцова</x:v>
      </x:c>
      <x:c r="G3197" t="str">
        <x:v>да</x:v>
      </x:c>
      <x:c r="H3197" t="str">
        <x:v>нет</x:v>
      </x:c>
    </x:row>
    <x:row r="3198">
      <x:c r="A3198" t="str">
        <x:v>11448</x:v>
      </x:c>
      <x:c r="B3198" t="str">
        <x:v>urologypro.ru</x:v>
      </x:c>
      <x:c r="C3198" t="e">
        <x:f>HYPERLINK("https://belberrycrm.bitrix24.ru/crm/deal/details/11448/","https://belberrycrm.bitrix24.ru/crm/deal/details/11448/")</x:f>
      </x:c>
      <x:c r="D3198" t="str">
        <x:v>Телемаркетинг</x:v>
      </x:c>
      <x:c r="E3198" t="str">
        <x:v>К обзвону</x:v>
      </x:c>
      <x:c r="F3198" t="str">
        <x:v>Иван Халин</x:v>
      </x:c>
      <x:c r="G3198" t="str">
        <x:v>нет</x:v>
      </x:c>
      <x:c r="H3198" t="str">
        <x:v>нет</x:v>
      </x:c>
    </x:row>
    <x:row r="3199">
      <x:c r="A3199" t="str">
        <x:v>12152</x:v>
      </x:c>
      <x:c r="B3199" t="str">
        <x:v>dental-na-warshawke.ru</x:v>
      </x:c>
      <x:c r="C3199" t="e">
        <x:f>HYPERLINK("https://belberrycrm.bitrix24.ru/crm/deal/details/12152/","https://belberrycrm.bitrix24.ru/crm/deal/details/12152/")</x:f>
      </x:c>
      <x:c r="D3199" t="str">
        <x:v>Телемаркетинг</x:v>
      </x:c>
      <x:c r="E3199" t="str">
        <x:v>К обзвону</x:v>
      </x:c>
      <x:c r="F3199" t="str">
        <x:v>Иван Халин</x:v>
      </x:c>
      <x:c r="G3199" t="str">
        <x:v>нет</x:v>
      </x:c>
      <x:c r="H3199" t="str">
        <x:v>нет</x:v>
      </x:c>
    </x:row>
    <x:row r="3200">
      <x:c r="A3200" t="str">
        <x:v>12318</x:v>
      </x:c>
      <x:c r="B3200" t="str">
        <x:v>Сергей</x:v>
      </x:c>
      <x:c r="C3200" t="e">
        <x:f>HYPERLINK("https://belberrycrm.bitrix24.ru/crm/deal/details/12318/","https://belberrycrm.bitrix24.ru/crm/deal/details/12318/")</x:f>
      </x:c>
      <x:c r="D3200" t="str">
        <x:v>Телемаркетинг</x:v>
      </x:c>
      <x:c r="E3200" t="str">
        <x:v>К обзвону</x:v>
      </x:c>
      <x:c r="F3200" t="str">
        <x:v>Елизавета Деговцова</x:v>
      </x:c>
      <x:c r="G3200" t="str">
        <x:v>нет</x:v>
      </x:c>
      <x:c r="H3200" t="str">
        <x:v>нет</x:v>
      </x:c>
    </x:row>
    <x:row r="3201">
      <x:c r="A3201" t="str">
        <x:v>12438</x:v>
      </x:c>
      <x:c r="B3201" t="str">
        <x:v>clinika1.ru</x:v>
      </x:c>
      <x:c r="C3201" t="e">
        <x:f>HYPERLINK("https://belberrycrm.bitrix24.ru/crm/deal/details/12438/","https://belberrycrm.bitrix24.ru/crm/deal/details/12438/")</x:f>
      </x:c>
      <x:c r="D3201" t="str">
        <x:v>Телемаркетинг</x:v>
      </x:c>
      <x:c r="E3201" t="str">
        <x:v>К обзвону</x:v>
      </x:c>
      <x:c r="F3201" t="str">
        <x:v>Иван Халин</x:v>
      </x:c>
      <x:c r="G3201" t="str">
        <x:v>нет</x:v>
      </x:c>
      <x:c r="H3201" t="str">
        <x:v>нет</x:v>
      </x:c>
    </x:row>
    <x:row r="3202">
      <x:c r="A3202" t="str">
        <x:v>12730</x:v>
      </x:c>
      <x:c r="B3202" t="str">
        <x:v>amindent.com</x:v>
      </x:c>
      <x:c r="C3202" t="e">
        <x:f>HYPERLINK("https://belberrycrm.bitrix24.ru/crm/deal/details/12730/","https://belberrycrm.bitrix24.ru/crm/deal/details/12730/")</x:f>
      </x:c>
      <x:c r="D3202" t="str">
        <x:v>Телемаркетинг</x:v>
      </x:c>
      <x:c r="E3202" t="str">
        <x:v>К обзвону</x:v>
      </x:c>
      <x:c r="F3202" t="str">
        <x:v>Иван Халин</x:v>
      </x:c>
      <x:c r="G3202" t="str">
        <x:v>нет</x:v>
      </x:c>
      <x:c r="H3202" t="str">
        <x:v>нет</x:v>
      </x:c>
    </x:row>
    <x:row r="3203">
      <x:c r="A3203" t="str">
        <x:v>13360</x:v>
      </x:c>
      <x:c r="B3203" t="str">
        <x:v>one-stom.ru</x:v>
      </x:c>
      <x:c r="C3203" t="e">
        <x:f>HYPERLINK("https://belberrycrm.bitrix24.ru/crm/deal/details/13360/","https://belberrycrm.bitrix24.ru/crm/deal/details/13360/")</x:f>
      </x:c>
      <x:c r="D3203" t="str">
        <x:v>Телемаркетинг</x:v>
      </x:c>
      <x:c r="E3203" t="str">
        <x:v>К обзвону</x:v>
      </x:c>
      <x:c r="F3203" t="str">
        <x:v>Иван Халин</x:v>
      </x:c>
      <x:c r="G3203" t="str">
        <x:v>да</x:v>
      </x:c>
      <x:c r="H3203" t="str">
        <x:v>нет</x:v>
      </x:c>
    </x:row>
    <x:row r="3204">
      <x:c r="A3204" t="str">
        <x:v>14068</x:v>
      </x:c>
      <x:c r="B3204" t="str">
        <x:v>fiorebags.ru</x:v>
      </x:c>
      <x:c r="C3204" t="e">
        <x:f>HYPERLINK("https://belberrycrm.bitrix24.ru/crm/deal/details/14068/","https://belberrycrm.bitrix24.ru/crm/deal/details/14068/")</x:f>
      </x:c>
      <x:c r="D3204" t="str">
        <x:v>Телемаркетинг</x:v>
      </x:c>
      <x:c r="E3204" t="str">
        <x:v>К обзвону</x:v>
      </x:c>
      <x:c r="F3204" t="str">
        <x:v>Елизавета Деговцова</x:v>
      </x:c>
      <x:c r="G3204" t="str">
        <x:v>да</x:v>
      </x:c>
      <x:c r="H3204" t="str">
        <x:v>нет</x:v>
      </x:c>
    </x:row>
    <x:row r="3205">
      <x:c r="A3205" t="str">
        <x:v>14130</x:v>
      </x:c>
      <x:c r="B3205" t="str">
        <x:v>ch1ef.ru</x:v>
      </x:c>
      <x:c r="C3205" t="e">
        <x:f>HYPERLINK("https://belberrycrm.bitrix24.ru/crm/deal/details/14130/","https://belberrycrm.bitrix24.ru/crm/deal/details/14130/")</x:f>
      </x:c>
      <x:c r="D3205" t="str">
        <x:v>Телемаркетинг</x:v>
      </x:c>
      <x:c r="E3205" t="str">
        <x:v>К обзвону</x:v>
      </x:c>
      <x:c r="F3205" t="str">
        <x:v>Елизавета Деговцова</x:v>
      </x:c>
      <x:c r="G3205" t="str">
        <x:v>да</x:v>
      </x:c>
      <x:c r="H3205" t="str">
        <x:v>нет</x:v>
      </x:c>
    </x:row>
    <x:row r="3206">
      <x:c r="A3206" t="str">
        <x:v>14244</x:v>
      </x:c>
      <x:c r="B3206" t="str">
        <x:v>Студия дизайна Ольги Антроповой</x:v>
      </x:c>
      <x:c r="C3206" t="e">
        <x:f>HYPERLINK("https://belberrycrm.bitrix24.ru/crm/deal/details/14244/","https://belberrycrm.bitrix24.ru/crm/deal/details/14244/")</x:f>
      </x:c>
      <x:c r="D3206" t="str">
        <x:v>Телемаркетинг</x:v>
      </x:c>
      <x:c r="E3206" t="str">
        <x:v>К обзвону</x:v>
      </x:c>
      <x:c r="F3206" t="str">
        <x:v>Елизавета Деговцова</x:v>
      </x:c>
      <x:c r="G3206" t="str">
        <x:v>нет</x:v>
      </x:c>
      <x:c r="H3206" t="str">
        <x:v>нет</x:v>
      </x:c>
    </x:row>
    <x:row r="3207">
      <x:c r="A3207" t="str">
        <x:v>14488</x:v>
      </x:c>
      <x:c r="B3207" t="str">
        <x:v>omoda-marten.ru</x:v>
      </x:c>
      <x:c r="C3207" t="e">
        <x:f>HYPERLINK("https://belberrycrm.bitrix24.ru/crm/deal/details/14488/","https://belberrycrm.bitrix24.ru/crm/deal/details/14488/")</x:f>
      </x:c>
      <x:c r="D3207" t="str">
        <x:v>Телемаркетинг</x:v>
      </x:c>
      <x:c r="E3207" t="str">
        <x:v>К обзвону</x:v>
      </x:c>
      <x:c r="F3207" t="str">
        <x:v>Елизавета Деговцова</x:v>
      </x:c>
      <x:c r="G3207" t="str">
        <x:v>да</x:v>
      </x:c>
      <x:c r="H3207" t="str">
        <x:v>нет</x:v>
      </x:c>
    </x:row>
    <x:row r="3208">
      <x:c r="A3208" t="str">
        <x:v>14560</x:v>
      </x:c>
      <x:c r="B3208" t="str">
        <x:v>медцентр-щапово.рф</x:v>
      </x:c>
      <x:c r="C3208" t="e">
        <x:f>HYPERLINK("https://belberrycrm.bitrix24.ru/crm/deal/details/14560/","https://belberrycrm.bitrix24.ru/crm/deal/details/14560/")</x:f>
      </x:c>
      <x:c r="D3208" t="str">
        <x:v>Телемаркетинг</x:v>
      </x:c>
      <x:c r="E3208" t="str">
        <x:v>К обзвону</x:v>
      </x:c>
      <x:c r="F3208" t="str">
        <x:v>Иван Халин</x:v>
      </x:c>
      <x:c r="G3208" t="str">
        <x:v>да</x:v>
      </x:c>
      <x:c r="H3208" t="str">
        <x:v>нет</x:v>
      </x:c>
    </x:row>
    <x:row r="3209">
      <x:c r="A3209" t="str">
        <x:v>14668</x:v>
      </x:c>
      <x:c r="B3209" t="str">
        <x:v>dentagrafya.net</x:v>
      </x:c>
      <x:c r="C3209" t="e">
        <x:f>HYPERLINK("https://belberrycrm.bitrix24.ru/crm/deal/details/14668/","https://belberrycrm.bitrix24.ru/crm/deal/details/14668/")</x:f>
      </x:c>
      <x:c r="D3209" t="str">
        <x:v>Телемаркетинг</x:v>
      </x:c>
      <x:c r="E3209" t="str">
        <x:v>К обзвону</x:v>
      </x:c>
      <x:c r="F3209" t="str">
        <x:v>Иван Халин</x:v>
      </x:c>
      <x:c r="G3209" t="str">
        <x:v>нет</x:v>
      </x:c>
      <x:c r="H3209" t="str">
        <x:v>нет</x:v>
      </x:c>
    </x:row>
    <x:row r="3210">
      <x:c r="A3210" t="str">
        <x:v>14672</x:v>
      </x:c>
      <x:c r="B3210" t="str">
        <x:v>restoma.ru</x:v>
      </x:c>
      <x:c r="C3210" t="e">
        <x:f>HYPERLINK("https://belberrycrm.bitrix24.ru/crm/deal/details/14672/","https://belberrycrm.bitrix24.ru/crm/deal/details/14672/")</x:f>
      </x:c>
      <x:c r="D3210" t="str">
        <x:v>Телемаркетинг</x:v>
      </x:c>
      <x:c r="E3210" t="str">
        <x:v>К обзвону</x:v>
      </x:c>
      <x:c r="F3210" t="str">
        <x:v>Иван Халин</x:v>
      </x:c>
      <x:c r="G3210" t="str">
        <x:v>да</x:v>
      </x:c>
      <x:c r="H3210" t="str">
        <x:v>нет</x:v>
      </x:c>
    </x:row>
    <x:row r="3211">
      <x:c r="A3211" t="str">
        <x:v>14722</x:v>
      </x:c>
      <x:c r="B3211" t="str">
        <x:v>dr-alekseev.ru</x:v>
      </x:c>
      <x:c r="C3211" t="e">
        <x:f>HYPERLINK("https://belberrycrm.bitrix24.ru/crm/deal/details/14722/","https://belberrycrm.bitrix24.ru/crm/deal/details/14722/")</x:f>
      </x:c>
      <x:c r="D3211" t="str">
        <x:v>Телемаркетинг</x:v>
      </x:c>
      <x:c r="E3211" t="str">
        <x:v>К обзвону</x:v>
      </x:c>
      <x:c r="F3211" t="str">
        <x:v>Иван Халин</x:v>
      </x:c>
      <x:c r="G3211" t="str">
        <x:v>нет</x:v>
      </x:c>
      <x:c r="H3211" t="str">
        <x:v>нет</x:v>
      </x:c>
    </x:row>
    <x:row r="3212">
      <x:c r="A3212" t="str">
        <x:v>14746</x:v>
      </x:c>
      <x:c r="B3212" t="str">
        <x:v>www.benran.ru</x:v>
      </x:c>
      <x:c r="C3212" t="e">
        <x:f>HYPERLINK("https://belberrycrm.bitrix24.ru/crm/deal/details/14746/","https://belberrycrm.bitrix24.ru/crm/deal/details/14746/")</x:f>
      </x:c>
      <x:c r="D3212" t="str">
        <x:v>Телемаркетинг</x:v>
      </x:c>
      <x:c r="E3212" t="str">
        <x:v>К обзвону</x:v>
      </x:c>
      <x:c r="F3212" t="str">
        <x:v>Елизавета Деговцова</x:v>
      </x:c>
      <x:c r="G3212" t="str">
        <x:v>да</x:v>
      </x:c>
      <x:c r="H3212" t="str">
        <x:v>нет</x:v>
      </x:c>
    </x:row>
    <x:row r="3213">
      <x:c r="A3213" t="str">
        <x:v>14770</x:v>
      </x:c>
      <x:c r="B3213" t="str">
        <x:v>dentalfairy.ru</x:v>
      </x:c>
      <x:c r="C3213" t="e">
        <x:f>HYPERLINK("https://belberrycrm.bitrix24.ru/crm/deal/details/14770/","https://belberrycrm.bitrix24.ru/crm/deal/details/14770/")</x:f>
      </x:c>
      <x:c r="D3213" t="str">
        <x:v>Телемаркетинг</x:v>
      </x:c>
      <x:c r="E3213" t="str">
        <x:v>К обзвону</x:v>
      </x:c>
      <x:c r="F3213" t="str">
        <x:v>Иван Халин</x:v>
      </x:c>
      <x:c r="G3213" t="str">
        <x:v>нет</x:v>
      </x:c>
      <x:c r="H3213" t="str">
        <x:v>нет</x:v>
      </x:c>
    </x:row>
    <x:row r="3214">
      <x:c r="A3214" t="str">
        <x:v>14782</x:v>
      </x:c>
      <x:c r="B3214" t="str">
        <x:v>Доктор плюс - стоматология в СПБ</x:v>
      </x:c>
      <x:c r="C3214" t="e">
        <x:f>HYPERLINK("https://belberrycrm.bitrix24.ru/crm/deal/details/14782/","https://belberrycrm.bitrix24.ru/crm/deal/details/14782/")</x:f>
      </x:c>
      <x:c r="D3214" t="str">
        <x:v>Телемаркетинг</x:v>
      </x:c>
      <x:c r="E3214" t="str">
        <x:v>К обзвону</x:v>
      </x:c>
      <x:c r="F3214" t="str">
        <x:v>Иван Халин</x:v>
      </x:c>
      <x:c r="G3214" t="str">
        <x:v>нет</x:v>
      </x:c>
      <x:c r="H3214" t="str">
        <x:v>нет</x:v>
      </x:c>
    </x:row>
    <x:row r="3215">
      <x:c r="A3215" t="str">
        <x:v>14788</x:v>
      </x:c>
      <x:c r="B3215" t="str">
        <x:v>Анастасия Корнилова (интересует продвижение личного бренда)</x:v>
      </x:c>
      <x:c r="C3215" t="e">
        <x:f>HYPERLINK("https://belberrycrm.bitrix24.ru/crm/deal/details/14788/","https://belberrycrm.bitrix24.ru/crm/deal/details/14788/")</x:f>
      </x:c>
      <x:c r="D3215" t="str">
        <x:v>Телемаркетинг</x:v>
      </x:c>
      <x:c r="E3215" t="str">
        <x:v>К обзвону</x:v>
      </x:c>
      <x:c r="F3215" t="str">
        <x:v>Иван Халин</x:v>
      </x:c>
      <x:c r="G3215" t="str">
        <x:v>нет</x:v>
      </x:c>
      <x:c r="H3215" t="str">
        <x:v>нет</x:v>
      </x:c>
    </x:row>
    <x:row r="3216">
      <x:c r="A3216" t="str">
        <x:v>14794</x:v>
      </x:c>
      <x:c r="B3216" t="str">
        <x:v>Татьяна ФудФреш</x:v>
      </x:c>
      <x:c r="C3216" t="e">
        <x:f>HYPERLINK("https://belberrycrm.bitrix24.ru/crm/deal/details/14794/","https://belberrycrm.bitrix24.ru/crm/deal/details/14794/")</x:f>
      </x:c>
      <x:c r="D3216" t="str">
        <x:v>Телемаркетинг</x:v>
      </x:c>
      <x:c r="E3216" t="str">
        <x:v>К обзвону</x:v>
      </x:c>
      <x:c r="F3216" t="str">
        <x:v>Елизавета Деговцова</x:v>
      </x:c>
      <x:c r="G3216" t="str">
        <x:v>нет</x:v>
      </x:c>
      <x:c r="H3216" t="str">
        <x:v>нет</x:v>
      </x:c>
    </x:row>
    <x:row r="3217">
      <x:c r="A3217" t="str">
        <x:v>14842</x:v>
      </x:c>
      <x:c r="B3217" t="str">
        <x:v>lime-zaim.ru</x:v>
      </x:c>
      <x:c r="C3217" t="e">
        <x:f>HYPERLINK("https://belberrycrm.bitrix24.ru/crm/deal/details/14842/","https://belberrycrm.bitrix24.ru/crm/deal/details/14842/")</x:f>
      </x:c>
      <x:c r="D3217" t="str">
        <x:v>Телемаркетинг</x:v>
      </x:c>
      <x:c r="E3217" t="str">
        <x:v>К обзвону</x:v>
      </x:c>
      <x:c r="F3217" t="str">
        <x:v>Елизавета Деговцова</x:v>
      </x:c>
      <x:c r="G3217" t="str">
        <x:v>да</x:v>
      </x:c>
      <x:c r="H3217" t="str">
        <x:v>нет</x:v>
      </x:c>
    </x:row>
    <x:row r="3218">
      <x:c r="A3218" t="str">
        <x:v>14856</x:v>
      </x:c>
      <x:c r="B3218" t="str">
        <x:v>Татонова Серафима Александровна (разработка сайта для стоматологии в СПБ)</x:v>
      </x:c>
      <x:c r="C3218" t="e">
        <x:f>HYPERLINK("https://belberrycrm.bitrix24.ru/crm/deal/details/14856/","https://belberrycrm.bitrix24.ru/crm/deal/details/14856/")</x:f>
      </x:c>
      <x:c r="D3218" t="str">
        <x:v>Телемаркетинг</x:v>
      </x:c>
      <x:c r="E3218" t="str">
        <x:v>К обзвону</x:v>
      </x:c>
      <x:c r="F3218" t="str">
        <x:v>Иван Халин</x:v>
      </x:c>
      <x:c r="G3218" t="str">
        <x:v>нет</x:v>
      </x:c>
      <x:c r="H3218" t="str">
        <x:v>нет</x:v>
      </x:c>
    </x:row>
    <x:row r="3219">
      <x:c r="A3219" t="str">
        <x:v>14860</x:v>
      </x:c>
      <x:c r="B3219" t="str">
        <x:v>linecosmo.ru</x:v>
      </x:c>
      <x:c r="C3219" t="e">
        <x:f>HYPERLINK("https://belberrycrm.bitrix24.ru/crm/deal/details/14860/","https://belberrycrm.bitrix24.ru/crm/deal/details/14860/")</x:f>
      </x:c>
      <x:c r="D3219" t="str">
        <x:v>Телемаркетинг</x:v>
      </x:c>
      <x:c r="E3219" t="str">
        <x:v>К обзвону</x:v>
      </x:c>
      <x:c r="F3219" t="str">
        <x:v>Елизавета Деговцова</x:v>
      </x:c>
      <x:c r="G3219" t="str">
        <x:v>нет</x:v>
      </x:c>
      <x:c r="H3219" t="str">
        <x:v>нет</x:v>
      </x:c>
    </x:row>
    <x:row r="3220">
      <x:c r="A3220" t="str">
        <x:v>14864</x:v>
      </x:c>
      <x:c r="B3220" t="str">
        <x:v>bistrodengi.ru</x:v>
      </x:c>
      <x:c r="C3220" t="e">
        <x:f>HYPERLINK("https://belberrycrm.bitrix24.ru/crm/deal/details/14864/","https://belberrycrm.bitrix24.ru/crm/deal/details/14864/")</x:f>
      </x:c>
      <x:c r="D3220" t="str">
        <x:v>Телемаркетинг</x:v>
      </x:c>
      <x:c r="E3220" t="str">
        <x:v>К обзвону</x:v>
      </x:c>
      <x:c r="F3220" t="str">
        <x:v>Елизавета Деговцова</x:v>
      </x:c>
      <x:c r="G3220" t="str">
        <x:v>да</x:v>
      </x:c>
      <x:c r="H3220" t="str">
        <x:v>нет</x:v>
      </x:c>
    </x:row>
    <x:row r="3221">
      <x:c r="A3221" t="str">
        <x:v>14870</x:v>
      </x:c>
      <x:c r="B3221" t="str">
        <x:v>sogaz.ru</x:v>
      </x:c>
      <x:c r="C3221" t="e">
        <x:f>HYPERLINK("https://belberrycrm.bitrix24.ru/crm/deal/details/14870/","https://belberrycrm.bitrix24.ru/crm/deal/details/14870/")</x:f>
      </x:c>
      <x:c r="D3221" t="str">
        <x:v>Телемаркетинг</x:v>
      </x:c>
      <x:c r="E3221" t="str">
        <x:v>К обзвону</x:v>
      </x:c>
      <x:c r="F3221" t="str">
        <x:v>Елизавета Деговцова</x:v>
      </x:c>
      <x:c r="G3221" t="str">
        <x:v>нет</x:v>
      </x:c>
      <x:c r="H3221" t="str">
        <x:v>нет</x:v>
      </x:c>
    </x:row>
    <x:row r="3222">
      <x:c r="A3222" t="str">
        <x:v>14876</x:v>
      </x:c>
      <x:c r="B3222" t="str">
        <x:v>Гуськов Ростислав Андреевич</x:v>
      </x:c>
      <x:c r="C3222" t="e">
        <x:f>HYPERLINK("https://belberrycrm.bitrix24.ru/crm/deal/details/14876/","https://belberrycrm.bitrix24.ru/crm/deal/details/14876/")</x:f>
      </x:c>
      <x:c r="D3222" t="str">
        <x:v>Телемаркетинг</x:v>
      </x:c>
      <x:c r="E3222" t="str">
        <x:v>К обзвону</x:v>
      </x:c>
      <x:c r="F3222" t="str">
        <x:v>Иван Халин</x:v>
      </x:c>
      <x:c r="G3222" t="str">
        <x:v>нет</x:v>
      </x:c>
      <x:c r="H3222" t="str">
        <x:v>нет</x:v>
      </x:c>
    </x:row>
    <x:row r="3223">
      <x:c r="A3223" t="str">
        <x:v>14912</x:v>
      </x:c>
      <x:c r="B3223" t="str">
        <x:v>Hello-Center.ru</x:v>
      </x:c>
      <x:c r="C3223" t="e">
        <x:f>HYPERLINK("https://belberrycrm.bitrix24.ru/crm/deal/details/14912/","https://belberrycrm.bitrix24.ru/crm/deal/details/14912/")</x:f>
      </x:c>
      <x:c r="D3223" t="str">
        <x:v>Телемаркетинг</x:v>
      </x:c>
      <x:c r="E3223" t="str">
        <x:v>К обзвону</x:v>
      </x:c>
      <x:c r="F3223" t="str">
        <x:v>Елизавета Деговцова</x:v>
      </x:c>
      <x:c r="G3223" t="str">
        <x:v>да</x:v>
      </x:c>
      <x:c r="H3223" t="str">
        <x:v>нет</x:v>
      </x:c>
    </x:row>
    <x:row r="3224">
      <x:c r="A3224" t="str">
        <x:v>14960</x:v>
      </x:c>
      <x:c r="B3224" t="str">
        <x:v>Кофейня "Настроение"</x:v>
      </x:c>
      <x:c r="C3224" t="e">
        <x:f>HYPERLINK("https://belberrycrm.bitrix24.ru/crm/deal/details/14960/","https://belberrycrm.bitrix24.ru/crm/deal/details/14960/")</x:f>
      </x:c>
      <x:c r="D3224" t="str">
        <x:v>Телемаркетинг</x:v>
      </x:c>
      <x:c r="E3224" t="str">
        <x:v>К обзвону</x:v>
      </x:c>
      <x:c r="F3224" t="str">
        <x:v>Елизавета Деговцова</x:v>
      </x:c>
      <x:c r="G3224" t="str">
        <x:v>нет</x:v>
      </x:c>
      <x:c r="H3224" t="str">
        <x:v>нет</x:v>
      </x:c>
    </x:row>
    <x:row r="3225">
      <x:c r="A3225" t="str">
        <x:v>14972</x:v>
      </x:c>
      <x:c r="B3225" t="str">
        <x:v>Гуливер (Smm)</x:v>
      </x:c>
      <x:c r="C3225" t="e">
        <x:f>HYPERLINK("https://belberrycrm.bitrix24.ru/crm/deal/details/14972/","https://belberrycrm.bitrix24.ru/crm/deal/details/14972/")</x:f>
      </x:c>
      <x:c r="D3225" t="str">
        <x:v>Телемаркетинг</x:v>
      </x:c>
      <x:c r="E3225" t="str">
        <x:v>К обзвону</x:v>
      </x:c>
      <x:c r="F3225" t="str">
        <x:v>Елизавета Деговцова</x:v>
      </x:c>
      <x:c r="G3225" t="str">
        <x:v>нет</x:v>
      </x:c>
      <x:c r="H3225" t="str">
        <x:v>нет</x:v>
      </x:c>
    </x:row>
    <x:row r="3226">
      <x:c r="A3226" t="str">
        <x:v>14984</x:v>
      </x:c>
      <x:c r="B3226" t="str">
        <x:v>Музей-заповедник истории Дальнего Востока</x:v>
      </x:c>
      <x:c r="C3226" t="e">
        <x:f>HYPERLINK("https://belberrycrm.bitrix24.ru/crm/deal/details/14984/","https://belberrycrm.bitrix24.ru/crm/deal/details/14984/")</x:f>
      </x:c>
      <x:c r="D3226" t="str">
        <x:v>Телемаркетинг</x:v>
      </x:c>
      <x:c r="E3226" t="str">
        <x:v>К обзвону</x:v>
      </x:c>
      <x:c r="F3226" t="str">
        <x:v>Елизавета Деговцова</x:v>
      </x:c>
      <x:c r="G3226" t="str">
        <x:v>да</x:v>
      </x:c>
      <x:c r="H3226" t="str">
        <x:v>нет</x:v>
      </x:c>
    </x:row>
    <x:row r="3227">
      <x:c r="A3227" t="str">
        <x:v>15000</x:v>
      </x:c>
      <x:c r="B3227" t="str">
        <x:v>ИП Александра Бахмутова</x:v>
      </x:c>
      <x:c r="C3227" t="e">
        <x:f>HYPERLINK("https://belberrycrm.bitrix24.ru/crm/deal/details/15000/","https://belberrycrm.bitrix24.ru/crm/deal/details/15000/")</x:f>
      </x:c>
      <x:c r="D3227" t="str">
        <x:v>Телемаркетинг</x:v>
      </x:c>
      <x:c r="E3227" t="str">
        <x:v>К обзвону</x:v>
      </x:c>
      <x:c r="F3227" t="str">
        <x:v>Иван Халин</x:v>
      </x:c>
      <x:c r="G3227" t="str">
        <x:v>нет</x:v>
      </x:c>
      <x:c r="H3227" t="str">
        <x:v>нет</x:v>
      </x:c>
    </x:row>
    <x:row r="3228">
      <x:c r="A3228" t="str">
        <x:v>15008</x:v>
      </x:c>
      <x:c r="B3228" t="str">
        <x:v>irrico.ru</x:v>
      </x:c>
      <x:c r="C3228" t="e">
        <x:f>HYPERLINK("https://belberrycrm.bitrix24.ru/crm/deal/details/15008/","https://belberrycrm.bitrix24.ru/crm/deal/details/15008/")</x:f>
      </x:c>
      <x:c r="D3228" t="str">
        <x:v>Телемаркетинг</x:v>
      </x:c>
      <x:c r="E3228" t="str">
        <x:v>К обзвону</x:v>
      </x:c>
      <x:c r="F3228" t="str">
        <x:v>Елизавета Деговцова</x:v>
      </x:c>
      <x:c r="G3228" t="str">
        <x:v>нет</x:v>
      </x:c>
      <x:c r="H3228" t="str">
        <x:v>нет</x:v>
      </x:c>
    </x:row>
    <x:row r="3229">
      <x:c r="A3229" t="str">
        <x:v>15060</x:v>
      </x:c>
      <x:c r="B3229" t="str">
        <x:v>bspol.ru</x:v>
      </x:c>
      <x:c r="C3229" t="e">
        <x:f>HYPERLINK("https://belberrycrm.bitrix24.ru/crm/deal/details/15060/","https://belberrycrm.bitrix24.ru/crm/deal/details/15060/")</x:f>
      </x:c>
      <x:c r="D3229" t="str">
        <x:v>Телемаркетинг</x:v>
      </x:c>
      <x:c r="E3229" t="str">
        <x:v>К обзвону</x:v>
      </x:c>
      <x:c r="F3229" t="str">
        <x:v>Елизавета Деговцова</x:v>
      </x:c>
      <x:c r="G3229" t="str">
        <x:v>да</x:v>
      </x:c>
      <x:c r="H3229" t="str">
        <x:v>нет</x:v>
      </x:c>
    </x:row>
    <x:row r="3230">
      <x:c r="A3230" t="str">
        <x:v>15092</x:v>
      </x:c>
      <x:c r="B3230" t="str">
        <x:v>t.me/cvetykrasnodaropt</x:v>
      </x:c>
      <x:c r="C3230" t="e">
        <x:f>HYPERLINK("https://belberrycrm.bitrix24.ru/crm/deal/details/15092/","https://belberrycrm.bitrix24.ru/crm/deal/details/15092/")</x:f>
      </x:c>
      <x:c r="D3230" t="str">
        <x:v>Телемаркетинг</x:v>
      </x:c>
      <x:c r="E3230" t="str">
        <x:v>К обзвону</x:v>
      </x:c>
      <x:c r="F3230" t="str">
        <x:v>Елизавета Деговцова</x:v>
      </x:c>
      <x:c r="G3230" t="str">
        <x:v>нет</x:v>
      </x:c>
      <x:c r="H3230" t="str">
        <x:v>нет</x:v>
      </x:c>
    </x:row>
    <x:row r="3231">
      <x:c r="A3231" t="str">
        <x:v>15108</x:v>
      </x:c>
      <x:c r="B3231" t="str">
        <x:v>ta4ki-ta4ki.ru</x:v>
      </x:c>
      <x:c r="C3231" t="e">
        <x:f>HYPERLINK("https://belberrycrm.bitrix24.ru/crm/deal/details/15108/","https://belberrycrm.bitrix24.ru/crm/deal/details/15108/")</x:f>
      </x:c>
      <x:c r="D3231" t="str">
        <x:v>Телемаркетинг</x:v>
      </x:c>
      <x:c r="E3231" t="str">
        <x:v>К обзвону</x:v>
      </x:c>
      <x:c r="F3231" t="str">
        <x:v>Елизавета Деговцова</x:v>
      </x:c>
      <x:c r="G3231" t="str">
        <x:v>нет</x:v>
      </x:c>
      <x:c r="H3231" t="str">
        <x:v>нет</x:v>
      </x:c>
    </x:row>
    <x:row r="3232">
      <x:c r="A3232" t="str">
        <x:v>15120</x:v>
      </x:c>
      <x:c r="B3232" t="str">
        <x:v>globaldrive.ru</x:v>
      </x:c>
      <x:c r="C3232" t="e">
        <x:f>HYPERLINK("https://belberrycrm.bitrix24.ru/crm/deal/details/15120/","https://belberrycrm.bitrix24.ru/crm/deal/details/15120/")</x:f>
      </x:c>
      <x:c r="D3232" t="str">
        <x:v>Телемаркетинг</x:v>
      </x:c>
      <x:c r="E3232" t="str">
        <x:v>К обзвону</x:v>
      </x:c>
      <x:c r="F3232" t="str">
        <x:v>Елизавета Деговцова</x:v>
      </x:c>
      <x:c r="G3232" t="str">
        <x:v>нет</x:v>
      </x:c>
      <x:c r="H3232" t="str">
        <x:v>нет</x:v>
      </x:c>
    </x:row>
    <x:row r="3233">
      <x:c r="A3233" t="str">
        <x:v>15128</x:v>
      </x:c>
      <x:c r="B3233" t="str">
        <x:v>koreana.rest</x:v>
      </x:c>
      <x:c r="C3233" t="e">
        <x:f>HYPERLINK("https://belberrycrm.bitrix24.ru/crm/deal/details/15128/","https://belberrycrm.bitrix24.ru/crm/deal/details/15128/")</x:f>
      </x:c>
      <x:c r="D3233" t="str">
        <x:v>Телемаркетинг</x:v>
      </x:c>
      <x:c r="E3233" t="str">
        <x:v>К обзвону</x:v>
      </x:c>
      <x:c r="F3233" t="str">
        <x:v>Елизавета Деговцова</x:v>
      </x:c>
      <x:c r="G3233" t="str">
        <x:v>да</x:v>
      </x:c>
      <x:c r="H3233" t="str">
        <x:v>нет</x:v>
      </x:c>
    </x:row>
    <x:row r="3234">
      <x:c r="A3234" t="str">
        <x:v>15208</x:v>
      </x:c>
      <x:c r="B3234" t="str">
        <x:v>Аренда и продажа недвижки на Бали</x:v>
      </x:c>
      <x:c r="C3234" t="e">
        <x:f>HYPERLINK("https://belberrycrm.bitrix24.ru/crm/deal/details/15208/","https://belberrycrm.bitrix24.ru/crm/deal/details/15208/")</x:f>
      </x:c>
      <x:c r="D3234" t="str">
        <x:v>Телемаркетинг</x:v>
      </x:c>
      <x:c r="E3234" t="str">
        <x:v>К обзвону</x:v>
      </x:c>
      <x:c r="F3234" t="str">
        <x:v>Елизавета Деговцова</x:v>
      </x:c>
      <x:c r="G3234" t="str">
        <x:v>нет</x:v>
      </x:c>
      <x:c r="H3234" t="str">
        <x:v>нет</x:v>
      </x:c>
    </x:row>
    <x:row r="3235">
      <x:c r="A3235" t="str">
        <x:v>15224</x:v>
      </x:c>
      <x:c r="B3235" t="str">
        <x:v>ldsp-market.ru</x:v>
      </x:c>
      <x:c r="C3235" t="e">
        <x:f>HYPERLINK("https://belberrycrm.bitrix24.ru/crm/deal/details/15224/","https://belberrycrm.bitrix24.ru/crm/deal/details/15224/")</x:f>
      </x:c>
      <x:c r="D3235" t="str">
        <x:v>Телемаркетинг</x:v>
      </x:c>
      <x:c r="E3235" t="str">
        <x:v>К обзвону</x:v>
      </x:c>
      <x:c r="F3235" t="str">
        <x:v>Елизавета Деговцова</x:v>
      </x:c>
      <x:c r="G3235" t="str">
        <x:v>нет</x:v>
      </x:c>
      <x:c r="H3235" t="str">
        <x:v>нет</x:v>
      </x:c>
    </x:row>
    <x:row r="3236">
      <x:c r="A3236" t="str">
        <x:v>15266</x:v>
      </x:c>
      <x:c r="B3236" t="str">
        <x:v>tulum-place.ru</x:v>
      </x:c>
      <x:c r="C3236" t="e">
        <x:f>HYPERLINK("https://belberrycrm.bitrix24.ru/crm/deal/details/15266/","https://belberrycrm.bitrix24.ru/crm/deal/details/15266/")</x:f>
      </x:c>
      <x:c r="D3236" t="str">
        <x:v>Телемаркетинг</x:v>
      </x:c>
      <x:c r="E3236" t="str">
        <x:v>Взято в работу</x:v>
      </x:c>
      <x:c r="F3236" t="str">
        <x:v>Елизавета Деговцова</x:v>
      </x:c>
      <x:c r="G3236" t="str">
        <x:v>да</x:v>
      </x:c>
      <x:c r="H3236" t="str">
        <x:v>нет</x:v>
      </x:c>
    </x:row>
    <x:row r="3237">
      <x:c r="A3237" t="str">
        <x:v>15322</x:v>
      </x:c>
      <x:c r="B3237" t="str">
        <x:v>Наталья</x:v>
      </x:c>
      <x:c r="C3237" t="e">
        <x:f>HYPERLINK("https://belberrycrm.bitrix24.ru/crm/deal/details/15322/","https://belberrycrm.bitrix24.ru/crm/deal/details/15322/")</x:f>
      </x:c>
      <x:c r="D3237" t="str">
        <x:v>Телемаркетинг</x:v>
      </x:c>
      <x:c r="E3237" t="str">
        <x:v>К обзвону</x:v>
      </x:c>
      <x:c r="F3237" t="str">
        <x:v>Иван Халин</x:v>
      </x:c>
      <x:c r="G3237" t="str">
        <x:v>нет</x:v>
      </x:c>
      <x:c r="H3237" t="str">
        <x:v>нет</x:v>
      </x:c>
    </x:row>
    <x:row r="3238">
      <x:c r="A3238" t="str">
        <x:v>15550</x:v>
      </x:c>
      <x:c r="B3238" t="str">
        <x:v>echo-service.ru</x:v>
      </x:c>
      <x:c r="C3238" t="e">
        <x:f>HYPERLINK("https://belberrycrm.bitrix24.ru/crm/deal/details/15550/","https://belberrycrm.bitrix24.ru/crm/deal/details/15550/")</x:f>
      </x:c>
      <x:c r="D3238" t="str">
        <x:v>Телемаркетинг</x:v>
      </x:c>
      <x:c r="E3238" t="str">
        <x:v>Встреча назначена</x:v>
      </x:c>
      <x:c r="F3238" t="str">
        <x:v>Аркадий Вострецов</x:v>
      </x:c>
      <x:c r="G3238" t="str">
        <x:v>да</x:v>
      </x:c>
      <x:c r="H3238" t="str">
        <x:v>нет</x:v>
      </x:c>
    </x:row>
    <x:row r="3239">
      <x:c r="A3239" t="str">
        <x:v>15554</x:v>
      </x:c>
      <x:c r="B3239" t="str">
        <x:v>sklad-electro.ru</x:v>
      </x:c>
      <x:c r="C3239" t="e">
        <x:f>HYPERLINK("https://belberrycrm.bitrix24.ru/crm/deal/details/15554/","https://belberrycrm.bitrix24.ru/crm/deal/details/15554/")</x:f>
      </x:c>
      <x:c r="D3239" t="str">
        <x:v>Телемаркетинг</x:v>
      </x:c>
      <x:c r="E3239" t="str">
        <x:v>Взято в работу</x:v>
      </x:c>
      <x:c r="F3239" t="str">
        <x:v>Елизавета Деговцова</x:v>
      </x:c>
      <x:c r="G3239" t="str">
        <x:v>да</x:v>
      </x:c>
      <x:c r="H3239" t="str">
        <x:v>нет</x:v>
      </x:c>
    </x:row>
    <x:row r="3240">
      <x:c r="A3240" t="str">
        <x:v>15974</x:v>
      </x:c>
      <x:c r="B3240" t="str">
        <x:v>Аврора</x:v>
      </x:c>
      <x:c r="C3240" t="e">
        <x:f>HYPERLINK("https://belberrycrm.bitrix24.ru/crm/deal/details/15974/","https://belberrycrm.bitrix24.ru/crm/deal/details/15974/")</x:f>
      </x:c>
      <x:c r="D3240" t="str">
        <x:v>Телемаркетинг</x:v>
      </x:c>
      <x:c r="E3240" t="str">
        <x:v>К обзвону</x:v>
      </x:c>
      <x:c r="F3240" t="str">
        <x:v>Аркадий Вострецов</x:v>
      </x:c>
      <x:c r="G3240" t="str">
        <x:v>нет</x:v>
      </x:c>
      <x:c r="H3240" t="str">
        <x:v>нет</x:v>
      </x:c>
    </x:row>
    <x:row r="3241">
      <x:c r="A3241" t="str">
        <x:v>16560</x:v>
      </x:c>
      <x:c r="B3241" t="str">
        <x:v>granelle.ru</x:v>
      </x:c>
      <x:c r="C3241" t="e">
        <x:f>HYPERLINK("https://belberrycrm.bitrix24.ru/crm/deal/details/16560/","https://belberrycrm.bitrix24.ru/crm/deal/details/16560/")</x:f>
      </x:c>
      <x:c r="D3241" t="str">
        <x:v>Телемаркетинг</x:v>
      </x:c>
      <x:c r="E3241" t="str">
        <x:v>Взято в работу</x:v>
      </x:c>
      <x:c r="F3241" t="str">
        <x:v>Илья Смирнов</x:v>
      </x:c>
      <x:c r="G3241" t="str">
        <x:v>да</x:v>
      </x:c>
      <x:c r="H3241" t="str">
        <x:v>нет</x:v>
      </x:c>
    </x:row>
    <x:row r="3242">
      <x:c r="A3242" t="str">
        <x:v>16770</x:v>
      </x:c>
      <x:c r="B3242" t="str">
        <x:v>2cstom.ru</x:v>
      </x:c>
      <x:c r="C3242" t="e">
        <x:f>HYPERLINK("https://belberrycrm.bitrix24.ru/crm/deal/details/16770/","https://belberrycrm.bitrix24.ru/crm/deal/details/16770/")</x:f>
      </x:c>
      <x:c r="D3242" t="str">
        <x:v>Телемаркетинг</x:v>
      </x:c>
      <x:c r="E3242" t="str">
        <x:v>К обзвону</x:v>
      </x:c>
      <x:c r="F3242" t="str">
        <x:v>Дарья Исаева</x:v>
      </x:c>
      <x:c r="G3242" t="str">
        <x:v>нет</x:v>
      </x:c>
      <x:c r="H3242" t="str">
        <x:v>нет</x:v>
      </x:c>
    </x:row>
    <x:row r="3243">
      <x:c r="A3243" t="str">
        <x:v>16800</x:v>
      </x:c>
      <x:c r="B3243" t="str">
        <x:v>plastica-s.ru</x:v>
      </x:c>
      <x:c r="C3243" t="e">
        <x:f>HYPERLINK("https://belberrycrm.bitrix24.ru/crm/deal/details/16800/","https://belberrycrm.bitrix24.ru/crm/deal/details/16800/")</x:f>
      </x:c>
      <x:c r="D3243" t="str">
        <x:v>Телемаркетинг</x:v>
      </x:c>
      <x:c r="E3243" t="str">
        <x:v>К обзвону</x:v>
      </x:c>
      <x:c r="F3243" t="str">
        <x:v>Дарья Исаева</x:v>
      </x:c>
      <x:c r="G3243" t="str">
        <x:v>нет</x:v>
      </x:c>
      <x:c r="H3243" t="str">
        <x:v>нет</x:v>
      </x:c>
    </x:row>
    <x:row r="3244">
      <x:c r="A3244" t="str">
        <x:v>16806</x:v>
      </x:c>
      <x:c r="B3244" t="str">
        <x:v>stail-s.ru</x:v>
      </x:c>
      <x:c r="C3244" t="e">
        <x:f>HYPERLINK("https://belberrycrm.bitrix24.ru/crm/deal/details/16806/","https://belberrycrm.bitrix24.ru/crm/deal/details/16806/")</x:f>
      </x:c>
      <x:c r="D3244" t="str">
        <x:v>Телемаркетинг</x:v>
      </x:c>
      <x:c r="E3244" t="str">
        <x:v>К обзвону</x:v>
      </x:c>
      <x:c r="F3244" t="str">
        <x:v>Дарья Исаева</x:v>
      </x:c>
      <x:c r="G3244" t="str">
        <x:v>нет</x:v>
      </x:c>
      <x:c r="H3244" t="str">
        <x:v>нет</x:v>
      </x:c>
    </x:row>
    <x:row r="3245">
      <x:c r="A3245" t="str">
        <x:v>16818</x:v>
      </x:c>
      <x:c r="B3245" t="str">
        <x:v>doctorhollywood.ru</x:v>
      </x:c>
      <x:c r="C3245" t="e">
        <x:f>HYPERLINK("https://belberrycrm.bitrix24.ru/crm/deal/details/16818/","https://belberrycrm.bitrix24.ru/crm/deal/details/16818/")</x:f>
      </x:c>
      <x:c r="D3245" t="str">
        <x:v>Телемаркетинг</x:v>
      </x:c>
      <x:c r="E3245" t="str">
        <x:v>К обзвону</x:v>
      </x:c>
      <x:c r="F3245" t="str">
        <x:v>Дарья Исаева</x:v>
      </x:c>
      <x:c r="G3245" t="str">
        <x:v>нет</x:v>
      </x:c>
      <x:c r="H3245" t="str">
        <x:v>нет</x:v>
      </x:c>
    </x:row>
    <x:row r="3246">
      <x:c r="A3246" t="str">
        <x:v>16820</x:v>
      </x:c>
      <x:c r="B3246" t="str">
        <x:v>implantprofi.ru</x:v>
      </x:c>
      <x:c r="C3246" t="e">
        <x:f>HYPERLINK("https://belberrycrm.bitrix24.ru/crm/deal/details/16820/","https://belberrycrm.bitrix24.ru/crm/deal/details/16820/")</x:f>
      </x:c>
      <x:c r="D3246" t="str">
        <x:v>Телемаркетинг</x:v>
      </x:c>
      <x:c r="E3246" t="str">
        <x:v>К обзвону</x:v>
      </x:c>
      <x:c r="F3246" t="str">
        <x:v>Дарья Исаева</x:v>
      </x:c>
      <x:c r="G3246" t="str">
        <x:v>нет</x:v>
      </x:c>
      <x:c r="H3246" t="str">
        <x:v>нет</x:v>
      </x:c>
    </x:row>
    <x:row r="3247">
      <x:c r="A3247" t="str">
        <x:v>16822</x:v>
      </x:c>
      <x:c r="B3247" t="str">
        <x:v>linline-clinic.ru</x:v>
      </x:c>
      <x:c r="C3247" t="e">
        <x:f>HYPERLINK("https://belberrycrm.bitrix24.ru/crm/deal/details/16822/","https://belberrycrm.bitrix24.ru/crm/deal/details/16822/")</x:f>
      </x:c>
      <x:c r="D3247" t="str">
        <x:v>Телемаркетинг</x:v>
      </x:c>
      <x:c r="E3247" t="str">
        <x:v>К обзвону</x:v>
      </x:c>
      <x:c r="F3247" t="str">
        <x:v>Дарья Исаева</x:v>
      </x:c>
      <x:c r="G3247" t="str">
        <x:v>нет</x:v>
      </x:c>
      <x:c r="H3247" t="str">
        <x:v>нет</x:v>
      </x:c>
    </x:row>
    <x:row r="3248">
      <x:c r="A3248" t="str">
        <x:v>16824</x:v>
      </x:c>
      <x:c r="B3248" t="str">
        <x:v>lpconsult.ru</x:v>
      </x:c>
      <x:c r="C3248" t="e">
        <x:f>HYPERLINK("https://belberrycrm.bitrix24.ru/crm/deal/details/16824/","https://belberrycrm.bitrix24.ru/crm/deal/details/16824/")</x:f>
      </x:c>
      <x:c r="D3248" t="str">
        <x:v>Телемаркетинг</x:v>
      </x:c>
      <x:c r="E3248" t="str">
        <x:v>К обзвону</x:v>
      </x:c>
      <x:c r="F3248" t="str">
        <x:v>Дарья Исаева</x:v>
      </x:c>
      <x:c r="G3248" t="str">
        <x:v>нет</x:v>
      </x:c>
      <x:c r="H3248" t="str">
        <x:v>нет</x:v>
      </x:c>
    </x:row>
    <x:row r="3249">
      <x:c r="A3249" t="str">
        <x:v>16826</x:v>
      </x:c>
      <x:c r="B3249" t="str">
        <x:v>marshak.ru</x:v>
      </x:c>
      <x:c r="C3249" t="e">
        <x:f>HYPERLINK("https://belberrycrm.bitrix24.ru/crm/deal/details/16826/","https://belberrycrm.bitrix24.ru/crm/deal/details/16826/")</x:f>
      </x:c>
      <x:c r="D3249" t="str">
        <x:v>Телемаркетинг</x:v>
      </x:c>
      <x:c r="E3249" t="str">
        <x:v>К обзвону</x:v>
      </x:c>
      <x:c r="F3249" t="str">
        <x:v>Дарья Исаева</x:v>
      </x:c>
      <x:c r="G3249" t="str">
        <x:v>нет</x:v>
      </x:c>
      <x:c r="H3249" t="str">
        <x:v>нет</x:v>
      </x:c>
    </x:row>
    <x:row r="3250">
      <x:c r="A3250" t="str">
        <x:v>16828</x:v>
      </x:c>
      <x:c r="B3250" t="str">
        <x:v>mdent-clinic.ru</x:v>
      </x:c>
      <x:c r="C3250" t="e">
        <x:f>HYPERLINK("https://belberrycrm.bitrix24.ru/crm/deal/details/16828/","https://belberrycrm.bitrix24.ru/crm/deal/details/16828/")</x:f>
      </x:c>
      <x:c r="D3250" t="str">
        <x:v>Телемаркетинг</x:v>
      </x:c>
      <x:c r="E3250" t="str">
        <x:v>К обзвону</x:v>
      </x:c>
      <x:c r="F3250" t="str">
        <x:v>Дарья Исаева</x:v>
      </x:c>
      <x:c r="G3250" t="str">
        <x:v>нет</x:v>
      </x:c>
      <x:c r="H3250" t="str">
        <x:v>нет</x:v>
      </x:c>
    </x:row>
    <x:row r="3251">
      <x:c r="A3251" t="str">
        <x:v>16830</x:v>
      </x:c>
      <x:c r="B3251" t="str">
        <x:v>nn-dent.ru</x:v>
      </x:c>
      <x:c r="C3251" t="e">
        <x:f>HYPERLINK("https://belberrycrm.bitrix24.ru/crm/deal/details/16830/","https://belberrycrm.bitrix24.ru/crm/deal/details/16830/")</x:f>
      </x:c>
      <x:c r="D3251" t="str">
        <x:v>Телемаркетинг</x:v>
      </x:c>
      <x:c r="E3251" t="str">
        <x:v>К обзвону</x:v>
      </x:c>
      <x:c r="F3251" t="str">
        <x:v>Дарья Исаева</x:v>
      </x:c>
      <x:c r="G3251" t="str">
        <x:v>нет</x:v>
      </x:c>
      <x:c r="H3251" t="str">
        <x:v>нет</x:v>
      </x:c>
    </x:row>
    <x:row r="3252">
      <x:c r="A3252" t="str">
        <x:v>16832</x:v>
      </x:c>
      <x:c r="B3252" t="str">
        <x:v>oftal.ru</x:v>
      </x:c>
      <x:c r="C3252" t="e">
        <x:f>HYPERLINK("https://belberrycrm.bitrix24.ru/crm/deal/details/16832/","https://belberrycrm.bitrix24.ru/crm/deal/details/16832/")</x:f>
      </x:c>
      <x:c r="D3252" t="str">
        <x:v>Телемаркетинг</x:v>
      </x:c>
      <x:c r="E3252" t="str">
        <x:v>К обзвону</x:v>
      </x:c>
      <x:c r="F3252" t="str">
        <x:v>Дарья Исаева</x:v>
      </x:c>
      <x:c r="G3252" t="str">
        <x:v>нет</x:v>
      </x:c>
      <x:c r="H3252" t="str">
        <x:v>нет</x:v>
      </x:c>
    </x:row>
    <x:row r="3253">
      <x:c r="A3253" t="str">
        <x:v>16834</x:v>
      </x:c>
      <x:c r="B3253" t="str">
        <x:v>tvojdoctor.ru</x:v>
      </x:c>
      <x:c r="C3253" t="e">
        <x:f>HYPERLINK("https://belberrycrm.bitrix24.ru/crm/deal/details/16834/","https://belberrycrm.bitrix24.ru/crm/deal/details/16834/")</x:f>
      </x:c>
      <x:c r="D3253" t="str">
        <x:v>Телемаркетинг</x:v>
      </x:c>
      <x:c r="E3253" t="str">
        <x:v>К обзвону</x:v>
      </x:c>
      <x:c r="F3253" t="str">
        <x:v>Дарья Исаева</x:v>
      </x:c>
      <x:c r="G3253" t="str">
        <x:v>нет</x:v>
      </x:c>
      <x:c r="H3253" t="str">
        <x:v>нет</x:v>
      </x:c>
    </x:row>
    <x:row r="3254">
      <x:c r="A3254" t="str">
        <x:v>16838</x:v>
      </x:c>
      <x:c r="B3254" t="str">
        <x:v>zaysanovcentr.ru</x:v>
      </x:c>
      <x:c r="C3254" t="e">
        <x:f>HYPERLINK("https://belberrycrm.bitrix24.ru/crm/deal/details/16838/","https://belberrycrm.bitrix24.ru/crm/deal/details/16838/")</x:f>
      </x:c>
      <x:c r="D3254" t="str">
        <x:v>Телемаркетинг</x:v>
      </x:c>
      <x:c r="E3254" t="str">
        <x:v>К обзвону</x:v>
      </x:c>
      <x:c r="F3254" t="str">
        <x:v>Дарья Исаева</x:v>
      </x:c>
      <x:c r="G3254" t="str">
        <x:v>нет</x:v>
      </x:c>
      <x:c r="H3254" t="str">
        <x:v>нет</x:v>
      </x:c>
    </x:row>
    <x:row r="3255">
      <x:c r="A3255" t="str">
        <x:v>16842</x:v>
      </x:c>
      <x:c r="B3255" t="str">
        <x:v>dantist77.ru</x:v>
      </x:c>
      <x:c r="C3255" t="e">
        <x:f>HYPERLINK("https://belberrycrm.bitrix24.ru/crm/deal/details/16842/","https://belberrycrm.bitrix24.ru/crm/deal/details/16842/")</x:f>
      </x:c>
      <x:c r="D3255" t="str">
        <x:v>Телемаркетинг</x:v>
      </x:c>
      <x:c r="E3255" t="str">
        <x:v>К обзвону</x:v>
      </x:c>
      <x:c r="F3255" t="str">
        <x:v>Дарья Исаева</x:v>
      </x:c>
      <x:c r="G3255" t="str">
        <x:v>нет</x:v>
      </x:c>
      <x:c r="H3255" t="str">
        <x:v>нет</x:v>
      </x:c>
    </x:row>
    <x:row r="3256">
      <x:c r="A3256" t="str">
        <x:v>16848</x:v>
      </x:c>
      <x:c r="B3256" t="str">
        <x:v>telosbeauty.ru</x:v>
      </x:c>
      <x:c r="C3256" t="e">
        <x:f>HYPERLINK("https://belberrycrm.bitrix24.ru/crm/deal/details/16848/","https://belberrycrm.bitrix24.ru/crm/deal/details/16848/")</x:f>
      </x:c>
      <x:c r="D3256" t="str">
        <x:v>Телемаркетинг</x:v>
      </x:c>
      <x:c r="E3256" t="str">
        <x:v>К обзвону</x:v>
      </x:c>
      <x:c r="F3256" t="str">
        <x:v>Дарья Исаева</x:v>
      </x:c>
      <x:c r="G3256" t="str">
        <x:v>нет</x:v>
      </x:c>
      <x:c r="H3256" t="str">
        <x:v>нет</x:v>
      </x:c>
    </x:row>
    <x:row r="3257">
      <x:c r="A3257" t="str">
        <x:v>16854</x:v>
      </x:c>
      <x:c r="B3257" t="str">
        <x:v>cdmed.ru</x:v>
      </x:c>
      <x:c r="C3257" t="e">
        <x:f>HYPERLINK("https://belberrycrm.bitrix24.ru/crm/deal/details/16854/","https://belberrycrm.bitrix24.ru/crm/deal/details/16854/")</x:f>
      </x:c>
      <x:c r="D3257" t="str">
        <x:v>Телемаркетинг</x:v>
      </x:c>
      <x:c r="E3257" t="str">
        <x:v>К обзвону</x:v>
      </x:c>
      <x:c r="F3257" t="str">
        <x:v>Дарья Исаева</x:v>
      </x:c>
      <x:c r="G3257" t="str">
        <x:v>нет</x:v>
      </x:c>
      <x:c r="H3257" t="str">
        <x:v>нет</x:v>
      </x:c>
    </x:row>
    <x:row r="3258">
      <x:c r="A3258" t="str">
        <x:v>16860</x:v>
      </x:c>
      <x:c r="B3258" t="str">
        <x:v>idmclinic.ru</x:v>
      </x:c>
      <x:c r="C3258" t="e">
        <x:f>HYPERLINK("https://belberrycrm.bitrix24.ru/crm/deal/details/16860/","https://belberrycrm.bitrix24.ru/crm/deal/details/16860/")</x:f>
      </x:c>
      <x:c r="D3258" t="str">
        <x:v>Телемаркетинг</x:v>
      </x:c>
      <x:c r="E3258" t="str">
        <x:v>К обзвону</x:v>
      </x:c>
      <x:c r="F3258" t="str">
        <x:v>Дарья Исаева</x:v>
      </x:c>
      <x:c r="G3258" t="str">
        <x:v>нет</x:v>
      </x:c>
      <x:c r="H3258" t="str">
        <x:v>нет</x:v>
      </x:c>
    </x:row>
    <x:row r="3259">
      <x:c r="A3259" t="str">
        <x:v>16864</x:v>
      </x:c>
      <x:c r="B3259" t="str">
        <x:v>3dmedica.ru</x:v>
      </x:c>
      <x:c r="C3259" t="e">
        <x:f>HYPERLINK("https://belberrycrm.bitrix24.ru/crm/deal/details/16864/","https://belberrycrm.bitrix24.ru/crm/deal/details/16864/")</x:f>
      </x:c>
      <x:c r="D3259" t="str">
        <x:v>Телемаркетинг</x:v>
      </x:c>
      <x:c r="E3259" t="str">
        <x:v>К обзвону</x:v>
      </x:c>
      <x:c r="F3259" t="str">
        <x:v>Дарья Исаева</x:v>
      </x:c>
      <x:c r="G3259" t="str">
        <x:v>нет</x:v>
      </x:c>
      <x:c r="H3259" t="str">
        <x:v>нет</x:v>
      </x:c>
    </x:row>
    <x:row r="3260">
      <x:c r="A3260" t="str">
        <x:v>16868</x:v>
      </x:c>
      <x:c r="B3260" t="str">
        <x:v>agrostom.ru</x:v>
      </x:c>
      <x:c r="C3260" t="e">
        <x:f>HYPERLINK("https://belberrycrm.bitrix24.ru/crm/deal/details/16868/","https://belberrycrm.bitrix24.ru/crm/deal/details/16868/")</x:f>
      </x:c>
      <x:c r="D3260" t="str">
        <x:v>Телемаркетинг</x:v>
      </x:c>
      <x:c r="E3260" t="str">
        <x:v>К обзвону</x:v>
      </x:c>
      <x:c r="F3260" t="str">
        <x:v>Дарья Исаева</x:v>
      </x:c>
      <x:c r="G3260" t="str">
        <x:v>нет</x:v>
      </x:c>
      <x:c r="H3260" t="str">
        <x:v>нет</x:v>
      </x:c>
    </x:row>
    <x:row r="3261">
      <x:c r="A3261" t="str">
        <x:v>16870</x:v>
      </x:c>
      <x:c r="B3261" t="str">
        <x:v>akademiya-ulibki.ru</x:v>
      </x:c>
      <x:c r="C3261" t="e">
        <x:f>HYPERLINK("https://belberrycrm.bitrix24.ru/crm/deal/details/16870/","https://belberrycrm.bitrix24.ru/crm/deal/details/16870/")</x:f>
      </x:c>
      <x:c r="D3261" t="str">
        <x:v>Телемаркетинг</x:v>
      </x:c>
      <x:c r="E3261" t="str">
        <x:v>К обзвону</x:v>
      </x:c>
      <x:c r="F3261" t="str">
        <x:v>Дарья Исаева</x:v>
      </x:c>
      <x:c r="G3261" t="str">
        <x:v>нет</x:v>
      </x:c>
      <x:c r="H3261" t="str">
        <x:v>нет</x:v>
      </x:c>
    </x:row>
    <x:row r="3262">
      <x:c r="A3262" t="str">
        <x:v>16874</x:v>
      </x:c>
      <x:c r="B3262" t="str">
        <x:v>amrita-lobnya.ru</x:v>
      </x:c>
      <x:c r="C3262" t="e">
        <x:f>HYPERLINK("https://belberrycrm.bitrix24.ru/crm/deal/details/16874/","https://belberrycrm.bitrix24.ru/crm/deal/details/16874/")</x:f>
      </x:c>
      <x:c r="D3262" t="str">
        <x:v>Телемаркетинг</x:v>
      </x:c>
      <x:c r="E3262" t="str">
        <x:v>К обзвону</x:v>
      </x:c>
      <x:c r="F3262" t="str">
        <x:v>Дарья Исаева</x:v>
      </x:c>
      <x:c r="G3262" t="str">
        <x:v>нет</x:v>
      </x:c>
      <x:c r="H3262" t="str">
        <x:v>нет</x:v>
      </x:c>
    </x:row>
    <x:row r="3263">
      <x:c r="A3263" t="str">
        <x:v>16882</x:v>
      </x:c>
      <x:c r="B3263" t="str">
        <x:v>bn-cl.ru</x:v>
      </x:c>
      <x:c r="C3263" t="e">
        <x:f>HYPERLINK("https://belberrycrm.bitrix24.ru/crm/deal/details/16882/","https://belberrycrm.bitrix24.ru/crm/deal/details/16882/")</x:f>
      </x:c>
      <x:c r="D3263" t="str">
        <x:v>Телемаркетинг</x:v>
      </x:c>
      <x:c r="E3263" t="str">
        <x:v>К обзвону</x:v>
      </x:c>
      <x:c r="F3263" t="str">
        <x:v>Дарья Исаева</x:v>
      </x:c>
      <x:c r="G3263" t="str">
        <x:v>нет</x:v>
      </x:c>
      <x:c r="H3263" t="str">
        <x:v>нет</x:v>
      </x:c>
    </x:row>
    <x:row r="3264">
      <x:c r="A3264" t="str">
        <x:v>16966</x:v>
      </x:c>
      <x:c r="B3264" t="str">
        <x:v>oncocareclinic.ru</x:v>
      </x:c>
      <x:c r="C3264" t="e">
        <x:f>HYPERLINK("https://belberrycrm.bitrix24.ru/crm/deal/details/16966/","https://belberrycrm.bitrix24.ru/crm/deal/details/16966/")</x:f>
      </x:c>
      <x:c r="D3264" t="str">
        <x:v>Телемаркетинг</x:v>
      </x:c>
      <x:c r="E3264" t="str">
        <x:v>К обзвону</x:v>
      </x:c>
      <x:c r="F3264" t="str">
        <x:v>Дарья Исаева</x:v>
      </x:c>
      <x:c r="G3264" t="str">
        <x:v>нет</x:v>
      </x:c>
      <x:c r="H3264" t="str">
        <x:v>нет</x:v>
      </x:c>
    </x:row>
    <x:row r="3265">
      <x:c r="A3265" t="str">
        <x:v>17052</x:v>
      </x:c>
      <x:c r="B3265" t="str">
        <x:v>Максим ( pumpalab.ru)</x:v>
      </x:c>
      <x:c r="C3265" t="e">
        <x:f>HYPERLINK("https://belberrycrm.bitrix24.ru/crm/deal/details/17052/","https://belberrycrm.bitrix24.ru/crm/deal/details/17052/")</x:f>
      </x:c>
      <x:c r="D3265" t="str">
        <x:v>Телемаркетинг</x:v>
      </x:c>
      <x:c r="E3265" t="str">
        <x:v>К обзвону</x:v>
      </x:c>
      <x:c r="F3265" t="str">
        <x:v>Дарья Исаева</x:v>
      </x:c>
      <x:c r="G3265" t="str">
        <x:v>нет</x:v>
      </x:c>
      <x:c r="H3265" t="str">
        <x:v>нет</x:v>
      </x:c>
    </x:row>
    <x:row r="3266">
      <x:c r="A3266" t="str">
        <x:v>17056</x:v>
      </x:c>
      <x:c r="B3266" t="str">
        <x:v>medclick63.ru</x:v>
      </x:c>
      <x:c r="C3266" t="e">
        <x:f>HYPERLINK("https://belberrycrm.bitrix24.ru/crm/deal/details/17056/","https://belberrycrm.bitrix24.ru/crm/deal/details/17056/")</x:f>
      </x:c>
      <x:c r="D3266" t="str">
        <x:v>Телемаркетинг</x:v>
      </x:c>
      <x:c r="E3266" t="str">
        <x:v>К обзвону</x:v>
      </x:c>
      <x:c r="F3266" t="str">
        <x:v>Дарья Исаева</x:v>
      </x:c>
      <x:c r="G3266" t="str">
        <x:v>нет</x:v>
      </x:c>
      <x:c r="H3266" t="str">
        <x:v>нет</x:v>
      </x:c>
    </x:row>
    <x:row r="3267">
      <x:c r="A3267" t="str">
        <x:v>17058</x:v>
      </x:c>
      <x:c r="B3267" t="str">
        <x:v>redent-spb.tilda.ws</x:v>
      </x:c>
      <x:c r="C3267" t="e">
        <x:f>HYPERLINK("https://belberrycrm.bitrix24.ru/crm/deal/details/17058/","https://belberrycrm.bitrix24.ru/crm/deal/details/17058/")</x:f>
      </x:c>
      <x:c r="D3267" t="str">
        <x:v>Телемаркетинг</x:v>
      </x:c>
      <x:c r="E3267" t="str">
        <x:v>К обзвону</x:v>
      </x:c>
      <x:c r="F3267" t="str">
        <x:v>Дарья Исаева</x:v>
      </x:c>
      <x:c r="G3267" t="str">
        <x:v>нет</x:v>
      </x:c>
      <x:c r="H3267" t="str">
        <x:v>нет</x:v>
      </x:c>
    </x:row>
    <x:row r="3268">
      <x:c r="A3268" t="str">
        <x:v>17064</x:v>
      </x:c>
      <x:c r="B3268" t="str">
        <x:v>diastom.ru</x:v>
      </x:c>
      <x:c r="C3268" t="e">
        <x:f>HYPERLINK("https://belberrycrm.bitrix24.ru/crm/deal/details/17064/","https://belberrycrm.bitrix24.ru/crm/deal/details/17064/")</x:f>
      </x:c>
      <x:c r="D3268" t="str">
        <x:v>Телемаркетинг</x:v>
      </x:c>
      <x:c r="E3268" t="str">
        <x:v>К обзвону</x:v>
      </x:c>
      <x:c r="F3268" t="str">
        <x:v>Дарья Исаева</x:v>
      </x:c>
      <x:c r="G3268" t="str">
        <x:v>да</x:v>
      </x:c>
      <x:c r="H3268" t="str">
        <x:v>нет</x:v>
      </x:c>
    </x:row>
    <x:row r="3269">
      <x:c r="A3269" t="str">
        <x:v>17066</x:v>
      </x:c>
      <x:c r="B3269" t="str">
        <x:v>newmed61.ru</x:v>
      </x:c>
      <x:c r="C3269" t="e">
        <x:f>HYPERLINK("https://belberrycrm.bitrix24.ru/crm/deal/details/17066/","https://belberrycrm.bitrix24.ru/crm/deal/details/17066/")</x:f>
      </x:c>
      <x:c r="D3269" t="str">
        <x:v>Телемаркетинг</x:v>
      </x:c>
      <x:c r="E3269" t="str">
        <x:v>К обзвону</x:v>
      </x:c>
      <x:c r="F3269" t="str">
        <x:v>Дарья Исаева</x:v>
      </x:c>
      <x:c r="G3269" t="str">
        <x:v>нет</x:v>
      </x:c>
      <x:c r="H3269" t="str">
        <x:v>нет</x:v>
      </x:c>
    </x:row>
    <x:row r="3270">
      <x:c r="A3270" t="str">
        <x:v>17068</x:v>
      </x:c>
      <x:c r="B3270" t="str">
        <x:v>prestige-dent.com</x:v>
      </x:c>
      <x:c r="C3270" t="e">
        <x:f>HYPERLINK("https://belberrycrm.bitrix24.ru/crm/deal/details/17068/","https://belberrycrm.bitrix24.ru/crm/deal/details/17068/")</x:f>
      </x:c>
      <x:c r="D3270" t="str">
        <x:v>Телемаркетинг</x:v>
      </x:c>
      <x:c r="E3270" t="str">
        <x:v>К обзвону</x:v>
      </x:c>
      <x:c r="F3270" t="str">
        <x:v>Дарья Исаева</x:v>
      </x:c>
      <x:c r="G3270" t="str">
        <x:v>нет</x:v>
      </x:c>
      <x:c r="H3270" t="str">
        <x:v>нет</x:v>
      </x:c>
    </x:row>
    <x:row r="3271">
      <x:c r="A3271" t="str">
        <x:v>17070</x:v>
      </x:c>
      <x:c r="B3271" t="str">
        <x:v>dianadent35.ru</x:v>
      </x:c>
      <x:c r="C3271" t="e">
        <x:f>HYPERLINK("https://belberrycrm.bitrix24.ru/crm/deal/details/17070/","https://belberrycrm.bitrix24.ru/crm/deal/details/17070/")</x:f>
      </x:c>
      <x:c r="D3271" t="str">
        <x:v>Телемаркетинг</x:v>
      </x:c>
      <x:c r="E3271" t="str">
        <x:v>К обзвону</x:v>
      </x:c>
      <x:c r="F3271" t="str">
        <x:v>Дарья Исаева</x:v>
      </x:c>
      <x:c r="G3271" t="str">
        <x:v>нет</x:v>
      </x:c>
      <x:c r="H3271" t="str">
        <x:v>нет</x:v>
      </x:c>
    </x:row>
    <x:row r="3272">
      <x:c r="A3272" t="str">
        <x:v>17074</x:v>
      </x:c>
      <x:c r="B3272" t="str">
        <x:v>slava-dent.ru</x:v>
      </x:c>
      <x:c r="C3272" t="e">
        <x:f>HYPERLINK("https://belberrycrm.bitrix24.ru/crm/deal/details/17074/","https://belberrycrm.bitrix24.ru/crm/deal/details/17074/")</x:f>
      </x:c>
      <x:c r="D3272" t="str">
        <x:v>Телемаркетинг</x:v>
      </x:c>
      <x:c r="E3272" t="str">
        <x:v>К обзвону</x:v>
      </x:c>
      <x:c r="F3272" t="str">
        <x:v>Дарья Исаева</x:v>
      </x:c>
      <x:c r="G3272" t="str">
        <x:v>нет</x:v>
      </x:c>
      <x:c r="H3272" t="str">
        <x:v>нет</x:v>
      </x:c>
    </x:row>
    <x:row r="3273">
      <x:c r="A3273" t="str">
        <x:v>17076</x:v>
      </x:c>
      <x:c r="B3273" t="str">
        <x:v>linadentkazan.ru</x:v>
      </x:c>
      <x:c r="C3273" t="e">
        <x:f>HYPERLINK("https://belberrycrm.bitrix24.ru/crm/deal/details/17076/","https://belberrycrm.bitrix24.ru/crm/deal/details/17076/")</x:f>
      </x:c>
      <x:c r="D3273" t="str">
        <x:v>Телемаркетинг</x:v>
      </x:c>
      <x:c r="E3273" t="str">
        <x:v>К обзвону</x:v>
      </x:c>
      <x:c r="F3273" t="str">
        <x:v>Дарья Исаева</x:v>
      </x:c>
      <x:c r="G3273" t="str">
        <x:v>нет</x:v>
      </x:c>
      <x:c r="H3273" t="str">
        <x:v>нет</x:v>
      </x:c>
    </x:row>
    <x:row r="3274">
      <x:c r="A3274" t="str">
        <x:v>17078</x:v>
      </x:c>
      <x:c r="B3274" t="str">
        <x:v>sacreclinic.ru</x:v>
      </x:c>
      <x:c r="C3274" t="e">
        <x:f>HYPERLINK("https://belberrycrm.bitrix24.ru/crm/deal/details/17078/","https://belberrycrm.bitrix24.ru/crm/deal/details/17078/")</x:f>
      </x:c>
      <x:c r="D3274" t="str">
        <x:v>Телемаркетинг</x:v>
      </x:c>
      <x:c r="E3274" t="str">
        <x:v>К обзвону</x:v>
      </x:c>
      <x:c r="F3274" t="str">
        <x:v>Дарья Исаева</x:v>
      </x:c>
      <x:c r="G3274" t="str">
        <x:v>нет</x:v>
      </x:c>
      <x:c r="H3274" t="str">
        <x:v>нет</x:v>
      </x:c>
    </x:row>
    <x:row r="3275">
      <x:c r="A3275" t="str">
        <x:v>17080</x:v>
      </x:c>
      <x:c r="B3275" t="str">
        <x:v>miaclinic.ru/msk</x:v>
      </x:c>
      <x:c r="C3275" t="e">
        <x:f>HYPERLINK("https://belberrycrm.bitrix24.ru/crm/deal/details/17080/","https://belberrycrm.bitrix24.ru/crm/deal/details/17080/")</x:f>
      </x:c>
      <x:c r="D3275" t="str">
        <x:v>Телемаркетинг</x:v>
      </x:c>
      <x:c r="E3275" t="str">
        <x:v>К обзвону</x:v>
      </x:c>
      <x:c r="F3275" t="str">
        <x:v>Дарья Исаева</x:v>
      </x:c>
      <x:c r="G3275" t="str">
        <x:v>нет</x:v>
      </x:c>
      <x:c r="H3275" t="str">
        <x:v>нет</x:v>
      </x:c>
    </x:row>
    <x:row r="3276">
      <x:c r="A3276" t="str">
        <x:v>17082</x:v>
      </x:c>
      <x:c r="B3276" t="str">
        <x:v>ludisurgery.ru</x:v>
      </x:c>
      <x:c r="C3276" t="e">
        <x:f>HYPERLINK("https://belberrycrm.bitrix24.ru/crm/deal/details/17082/","https://belberrycrm.bitrix24.ru/crm/deal/details/17082/")</x:f>
      </x:c>
      <x:c r="D3276" t="str">
        <x:v>Телемаркетинг</x:v>
      </x:c>
      <x:c r="E3276" t="str">
        <x:v>К обзвону</x:v>
      </x:c>
      <x:c r="F3276" t="str">
        <x:v>Дарья Исаева</x:v>
      </x:c>
      <x:c r="G3276" t="str">
        <x:v>нет</x:v>
      </x:c>
      <x:c r="H3276" t="str">
        <x:v>нет</x:v>
      </x:c>
    </x:row>
    <x:row r="3277">
      <x:c r="A3277" t="str">
        <x:v>17084</x:v>
      </x:c>
      <x:c r="B3277" t="str">
        <x:v>la-peregrina.ru</x:v>
      </x:c>
      <x:c r="C3277" t="e">
        <x:f>HYPERLINK("https://belberrycrm.bitrix24.ru/crm/deal/details/17084/","https://belberrycrm.bitrix24.ru/crm/deal/details/17084/")</x:f>
      </x:c>
      <x:c r="D3277" t="str">
        <x:v>Телемаркетинг</x:v>
      </x:c>
      <x:c r="E3277" t="str">
        <x:v>К обзвону</x:v>
      </x:c>
      <x:c r="F3277" t="str">
        <x:v>Дарья Исаева</x:v>
      </x:c>
      <x:c r="G3277" t="str">
        <x:v>нет</x:v>
      </x:c>
      <x:c r="H3277" t="str">
        <x:v>нет</x:v>
      </x:c>
    </x:row>
    <x:row r="3278">
      <x:c r="A3278" t="str">
        <x:v>17086</x:v>
      </x:c>
      <x:c r="B3278" t="str">
        <x:v>siriuskazan.ru</x:v>
      </x:c>
      <x:c r="C3278" t="e">
        <x:f>HYPERLINK("https://belberrycrm.bitrix24.ru/crm/deal/details/17086/","https://belberrycrm.bitrix24.ru/crm/deal/details/17086/")</x:f>
      </x:c>
      <x:c r="D3278" t="str">
        <x:v>Телемаркетинг</x:v>
      </x:c>
      <x:c r="E3278" t="str">
        <x:v>К обзвону</x:v>
      </x:c>
      <x:c r="F3278" t="str">
        <x:v>Дарья Исаева</x:v>
      </x:c>
      <x:c r="G3278" t="str">
        <x:v>нет</x:v>
      </x:c>
      <x:c r="H3278" t="str">
        <x:v>нет</x:v>
      </x:c>
    </x:row>
    <x:row r="3279">
      <x:c r="A3279" t="str">
        <x:v>17090</x:v>
      </x:c>
      <x:c r="B3279" t="str">
        <x:v>kdmclinic-kmv.ru</x:v>
      </x:c>
      <x:c r="C3279" t="e">
        <x:f>HYPERLINK("https://belberrycrm.bitrix24.ru/crm/deal/details/17090/","https://belberrycrm.bitrix24.ru/crm/deal/details/17090/")</x:f>
      </x:c>
      <x:c r="D3279" t="str">
        <x:v>Телемаркетинг</x:v>
      </x:c>
      <x:c r="E3279" t="str">
        <x:v>К обзвону</x:v>
      </x:c>
      <x:c r="F3279" t="str">
        <x:v>Дарья Исаева</x:v>
      </x:c>
      <x:c r="G3279" t="str">
        <x:v>нет</x:v>
      </x:c>
      <x:c r="H3279" t="str">
        <x:v>нет</x:v>
      </x:c>
    </x:row>
    <x:row r="3280">
      <x:c r="A3280" t="str">
        <x:v>17092</x:v>
      </x:c>
      <x:c r="B3280" t="str">
        <x:v>mussurovdentalclinic.ru</x:v>
      </x:c>
      <x:c r="C3280" t="e">
        <x:f>HYPERLINK("https://belberrycrm.bitrix24.ru/crm/deal/details/17092/","https://belberrycrm.bitrix24.ru/crm/deal/details/17092/")</x:f>
      </x:c>
      <x:c r="D3280" t="str">
        <x:v>Телемаркетинг</x:v>
      </x:c>
      <x:c r="E3280" t="str">
        <x:v>К обзвону</x:v>
      </x:c>
      <x:c r="F3280" t="str">
        <x:v>Дарья Исаева</x:v>
      </x:c>
      <x:c r="G3280" t="str">
        <x:v>нет</x:v>
      </x:c>
      <x:c r="H3280" t="str">
        <x:v>нет</x:v>
      </x:c>
    </x:row>
    <x:row r="3281">
      <x:c r="A3281" t="str">
        <x:v>17094</x:v>
      </x:c>
      <x:c r="B3281" t="str">
        <x:v>babyboom-33.ru</x:v>
      </x:c>
      <x:c r="C3281" t="e">
        <x:f>HYPERLINK("https://belberrycrm.bitrix24.ru/crm/deal/details/17094/","https://belberrycrm.bitrix24.ru/crm/deal/details/17094/")</x:f>
      </x:c>
      <x:c r="D3281" t="str">
        <x:v>Телемаркетинг</x:v>
      </x:c>
      <x:c r="E3281" t="str">
        <x:v>К обзвону</x:v>
      </x:c>
      <x:c r="F3281" t="str">
        <x:v>Дарья Исаева</x:v>
      </x:c>
      <x:c r="G3281" t="str">
        <x:v>нет</x:v>
      </x:c>
      <x:c r="H3281" t="str">
        <x:v>нет</x:v>
      </x:c>
    </x:row>
    <x:row r="3282">
      <x:c r="A3282" t="str">
        <x:v>17096</x:v>
      </x:c>
      <x:c r="B3282" t="str">
        <x:v>7 925 394-47-77 - Входящий звонок</x:v>
      </x:c>
      <x:c r="C3282" t="e">
        <x:f>HYPERLINK("https://belberrycrm.bitrix24.ru/crm/deal/details/17096/","https://belberrycrm.bitrix24.ru/crm/deal/details/17096/")</x:f>
      </x:c>
      <x:c r="D3282" t="str">
        <x:v>Телемаркетинг</x:v>
      </x:c>
      <x:c r="E3282" t="str">
        <x:v>К обзвону</x:v>
      </x:c>
      <x:c r="F3282" t="str">
        <x:v>Дарья Исаева</x:v>
      </x:c>
      <x:c r="G3282" t="str">
        <x:v>нет</x:v>
      </x:c>
      <x:c r="H3282" t="str">
        <x:v>нет</x:v>
      </x:c>
    </x:row>
    <x:row r="3283">
      <x:c r="A3283" t="str">
        <x:v>17100</x:v>
      </x:c>
      <x:c r="B3283" t="str">
        <x:v>imcmed.ru</x:v>
      </x:c>
      <x:c r="C3283" t="e">
        <x:f>HYPERLINK("https://belberrycrm.bitrix24.ru/crm/deal/details/17100/","https://belberrycrm.bitrix24.ru/crm/deal/details/17100/")</x:f>
      </x:c>
      <x:c r="D3283" t="str">
        <x:v>Телемаркетинг</x:v>
      </x:c>
      <x:c r="E3283" t="str">
        <x:v>К обзвону</x:v>
      </x:c>
      <x:c r="F3283" t="str">
        <x:v>Дарья Исаева</x:v>
      </x:c>
      <x:c r="G3283" t="str">
        <x:v>нет</x:v>
      </x:c>
      <x:c r="H3283" t="str">
        <x:v>нет</x:v>
      </x:c>
    </x:row>
    <x:row r="3284">
      <x:c r="A3284" t="str">
        <x:v>17110</x:v>
      </x:c>
      <x:c r="B3284" t="str">
        <x:v>edelweiss-clinic.ru</x:v>
      </x:c>
      <x:c r="C3284" t="e">
        <x:f>HYPERLINK("https://belberrycrm.bitrix24.ru/crm/deal/details/17110/","https://belberrycrm.bitrix24.ru/crm/deal/details/17110/")</x:f>
      </x:c>
      <x:c r="D3284" t="str">
        <x:v>Телемаркетинг</x:v>
      </x:c>
      <x:c r="E3284" t="str">
        <x:v>К обзвону</x:v>
      </x:c>
      <x:c r="F3284" t="str">
        <x:v>Дарья Исаева</x:v>
      </x:c>
      <x:c r="G3284" t="str">
        <x:v>нет</x:v>
      </x:c>
      <x:c r="H3284" t="str">
        <x:v>нет</x:v>
      </x:c>
    </x:row>
    <x:row r="3285">
      <x:c r="A3285" t="str">
        <x:v>17508</x:v>
      </x:c>
      <x:c r="B3285" t="str">
        <x:v>translux.ru</x:v>
      </x:c>
      <x:c r="C3285" t="e">
        <x:f>HYPERLINK("https://belberrycrm.bitrix24.ru/crm/deal/details/17508/","https://belberrycrm.bitrix24.ru/crm/deal/details/17508/")</x:f>
      </x:c>
      <x:c r="D3285" t="str">
        <x:v>Телемаркетинг</x:v>
      </x:c>
      <x:c r="E3285" t="str">
        <x:v>К обзвону</x:v>
      </x:c>
      <x:c r="F3285" t="str">
        <x:v>Дарья Исаева</x:v>
      </x:c>
      <x:c r="G3285" t="str">
        <x:v>нет</x:v>
      </x:c>
      <x:c r="H3285" t="str">
        <x:v>нет</x:v>
      </x:c>
    </x:row>
    <x:row r="3286">
      <x:c r="A3286" t="str">
        <x:v>17536</x:v>
      </x:c>
      <x:c r="B3286" t="str">
        <x:v>opt-nerud.ru</x:v>
      </x:c>
      <x:c r="C3286" t="e">
        <x:f>HYPERLINK("https://belberrycrm.bitrix24.ru/crm/deal/details/17536/","https://belberrycrm.bitrix24.ru/crm/deal/details/17536/")</x:f>
      </x:c>
      <x:c r="D3286" t="str">
        <x:v>Телемаркетинг</x:v>
      </x:c>
      <x:c r="E3286" t="str">
        <x:v>К обзвону</x:v>
      </x:c>
      <x:c r="F3286" t="str">
        <x:v>Елизавета Деговцова</x:v>
      </x:c>
      <x:c r="G3286" t="str">
        <x:v>нет</x:v>
      </x:c>
      <x:c r="H3286" t="str">
        <x:v>нет</x:v>
      </x:c>
    </x:row>
    <x:row r="3287">
      <x:c r="A3287" t="str">
        <x:v>17538</x:v>
      </x:c>
      <x:c r="B3287" t="str">
        <x:v>kuhmaster.com</x:v>
      </x:c>
      <x:c r="C3287" t="e">
        <x:f>HYPERLINK("https://belberrycrm.bitrix24.ru/crm/deal/details/17538/","https://belberrycrm.bitrix24.ru/crm/deal/details/17538/")</x:f>
      </x:c>
      <x:c r="D3287" t="str">
        <x:v>Телемаркетинг</x:v>
      </x:c>
      <x:c r="E3287" t="str">
        <x:v>К обзвону</x:v>
      </x:c>
      <x:c r="F3287" t="str">
        <x:v>Елизавета Деговцова</x:v>
      </x:c>
      <x:c r="G3287" t="str">
        <x:v>да</x:v>
      </x:c>
      <x:c r="H3287" t="str">
        <x:v>нет</x:v>
      </x:c>
    </x:row>
    <x:row r="3288">
      <x:c r="A3288" t="str">
        <x:v>17540</x:v>
      </x:c>
      <x:c r="B3288" t="str">
        <x:v>grunyagurme.com</x:v>
      </x:c>
      <x:c r="C3288" t="e">
        <x:f>HYPERLINK("https://belberrycrm.bitrix24.ru/crm/deal/details/17540/","https://belberrycrm.bitrix24.ru/crm/deal/details/17540/")</x:f>
      </x:c>
      <x:c r="D3288" t="str">
        <x:v>Телемаркетинг</x:v>
      </x:c>
      <x:c r="E3288" t="str">
        <x:v>К обзвону</x:v>
      </x:c>
      <x:c r="F3288" t="str">
        <x:v>Елизавета Деговцова</x:v>
      </x:c>
      <x:c r="G3288" t="str">
        <x:v>нет</x:v>
      </x:c>
      <x:c r="H3288" t="str">
        <x:v>нет</x:v>
      </x:c>
    </x:row>
    <x:row r="3289">
      <x:c r="A3289" t="str">
        <x:v>17564</x:v>
      </x:c>
      <x:c r="B3289" t="str">
        <x:v>aurum-dent.ru</x:v>
      </x:c>
      <x:c r="C3289" t="e">
        <x:f>HYPERLINK("https://belberrycrm.bitrix24.ru/crm/deal/details/17564/","https://belberrycrm.bitrix24.ru/crm/deal/details/17564/")</x:f>
      </x:c>
      <x:c r="D3289" t="str">
        <x:v>Телемаркетинг</x:v>
      </x:c>
      <x:c r="E3289" t="str">
        <x:v>К обзвону</x:v>
      </x:c>
      <x:c r="F3289" t="str">
        <x:v>Дарья Исаева</x:v>
      </x:c>
      <x:c r="G3289" t="str">
        <x:v>нет</x:v>
      </x:c>
      <x:c r="H3289" t="str">
        <x:v>нет</x:v>
      </x:c>
    </x:row>
    <x:row r="3290">
      <x:c r="A3290" t="str">
        <x:v>17572</x:v>
      </x:c>
      <x:c r="B3290" t="str">
        <x:v>healthwaters.ru</x:v>
      </x:c>
      <x:c r="C3290" t="e">
        <x:f>HYPERLINK("https://belberrycrm.bitrix24.ru/crm/deal/details/17572/","https://belberrycrm.bitrix24.ru/crm/deal/details/17572/")</x:f>
      </x:c>
      <x:c r="D3290" t="str">
        <x:v>Телемаркетинг</x:v>
      </x:c>
      <x:c r="E3290" t="str">
        <x:v>К обзвону</x:v>
      </x:c>
      <x:c r="F3290" t="str">
        <x:v>Елизавета Деговцова</x:v>
      </x:c>
      <x:c r="G3290" t="str">
        <x:v>нет</x:v>
      </x:c>
      <x:c r="H3290" t="str">
        <x:v>да</x:v>
      </x:c>
    </x:row>
    <x:row r="3291">
      <x:c r="A3291" t="str">
        <x:v>17578</x:v>
      </x:c>
      <x:c r="B3291" t="str">
        <x:v>Стоматология Люкс на метро Новокосино</x:v>
      </x:c>
      <x:c r="C3291" t="e">
        <x:f>HYPERLINK("https://belberrycrm.bitrix24.ru/crm/deal/details/17578/","https://belberrycrm.bitrix24.ru/crm/deal/details/17578/")</x:f>
      </x:c>
      <x:c r="D3291" t="str">
        <x:v>Телемаркетинг</x:v>
      </x:c>
      <x:c r="E3291" t="str">
        <x:v>К обзвону</x:v>
      </x:c>
      <x:c r="F3291" t="str">
        <x:v>Дарья Исаева</x:v>
      </x:c>
      <x:c r="G3291" t="str">
        <x:v>нет</x:v>
      </x:c>
      <x:c r="H3291" t="str">
        <x:v>нет</x:v>
      </x:c>
    </x:row>
    <x:row r="3292">
      <x:c r="A3292" t="str">
        <x:v>17580</x:v>
      </x:c>
      <x:c r="B3292" t="str">
        <x:v>budtezdorovi.ru</x:v>
      </x:c>
      <x:c r="C3292" t="e">
        <x:f>HYPERLINK("https://belberrycrm.bitrix24.ru/crm/deal/details/17580/","https://belberrycrm.bitrix24.ru/crm/deal/details/17580/")</x:f>
      </x:c>
      <x:c r="D3292" t="str">
        <x:v>Телемаркетинг</x:v>
      </x:c>
      <x:c r="E3292" t="str">
        <x:v>К обзвону</x:v>
      </x:c>
      <x:c r="F3292" t="str">
        <x:v>Дарья Исаева</x:v>
      </x:c>
      <x:c r="G3292" t="str">
        <x:v>нет</x:v>
      </x:c>
      <x:c r="H3292" t="str">
        <x:v>нет</x:v>
      </x:c>
    </x:row>
    <x:row r="3293">
      <x:c r="A3293" t="str">
        <x:v>17592</x:v>
      </x:c>
      <x:c r="B3293" t="str">
        <x:v>amoriya.ru</x:v>
      </x:c>
      <x:c r="C3293" t="e">
        <x:f>HYPERLINK("https://belberrycrm.bitrix24.ru/crm/deal/details/17592/","https://belberrycrm.bitrix24.ru/crm/deal/details/17592/")</x:f>
      </x:c>
      <x:c r="D3293" t="str">
        <x:v>Телемаркетинг</x:v>
      </x:c>
      <x:c r="E3293" t="str">
        <x:v>К обзвону</x:v>
      </x:c>
      <x:c r="F3293" t="str">
        <x:v>Дарья Исаева</x:v>
      </x:c>
      <x:c r="G3293" t="str">
        <x:v>да</x:v>
      </x:c>
      <x:c r="H3293" t="str">
        <x:v>нет</x:v>
      </x:c>
    </x:row>
    <x:row r="3294">
      <x:c r="A3294" t="str">
        <x:v>17598</x:v>
      </x:c>
      <x:c r="B3294" t="str">
        <x:v>azbuka-med.ru</x:v>
      </x:c>
      <x:c r="C3294" t="e">
        <x:f>HYPERLINK("https://belberrycrm.bitrix24.ru/crm/deal/details/17598/","https://belberrycrm.bitrix24.ru/crm/deal/details/17598/")</x:f>
      </x:c>
      <x:c r="D3294" t="str">
        <x:v>Телемаркетинг</x:v>
      </x:c>
      <x:c r="E3294" t="str">
        <x:v>К обзвону</x:v>
      </x:c>
      <x:c r="F3294" t="str">
        <x:v>Дарья Исаева</x:v>
      </x:c>
      <x:c r="G3294" t="str">
        <x:v>нет</x:v>
      </x:c>
      <x:c r="H3294" t="str">
        <x:v>нет</x:v>
      </x:c>
    </x:row>
    <x:row r="3295">
      <x:c r="A3295" t="str">
        <x:v>17602</x:v>
      </x:c>
      <x:c r="B3295" t="str">
        <x:v>beautydoctor.ru / majorbeauty.ru</x:v>
      </x:c>
      <x:c r="C3295" t="e">
        <x:f>HYPERLINK("https://belberrycrm.bitrix24.ru/crm/deal/details/17602/","https://belberrycrm.bitrix24.ru/crm/deal/details/17602/")</x:f>
      </x:c>
      <x:c r="D3295" t="str">
        <x:v>Телемаркетинг</x:v>
      </x:c>
      <x:c r="E3295" t="str">
        <x:v>К обзвону</x:v>
      </x:c>
      <x:c r="F3295" t="str">
        <x:v>Дарья Исаева</x:v>
      </x:c>
      <x:c r="G3295" t="str">
        <x:v>нет</x:v>
      </x:c>
      <x:c r="H3295" t="str">
        <x:v>нет</x:v>
      </x:c>
    </x:row>
    <x:row r="3296">
      <x:c r="A3296" t="str">
        <x:v>17606</x:v>
      </x:c>
      <x:c r="B3296" t="str">
        <x:v>biocyte.ru</x:v>
      </x:c>
      <x:c r="C3296" t="e">
        <x:f>HYPERLINK("https://belberrycrm.bitrix24.ru/crm/deal/details/17606/","https://belberrycrm.bitrix24.ru/crm/deal/details/17606/")</x:f>
      </x:c>
      <x:c r="D3296" t="str">
        <x:v>Телемаркетинг</x:v>
      </x:c>
      <x:c r="E3296" t="str">
        <x:v>К обзвону</x:v>
      </x:c>
      <x:c r="F3296" t="str">
        <x:v>Дарья Исаева</x:v>
      </x:c>
      <x:c r="G3296" t="str">
        <x:v>нет</x:v>
      </x:c>
      <x:c r="H3296" t="str">
        <x:v>нет</x:v>
      </x:c>
    </x:row>
    <x:row r="3297">
      <x:c r="A3297" t="str">
        <x:v>17610</x:v>
      </x:c>
      <x:c r="B3297" t="str">
        <x:v>brava-clinic.ru</x:v>
      </x:c>
      <x:c r="C3297" t="e">
        <x:f>HYPERLINK("https://belberrycrm.bitrix24.ru/crm/deal/details/17610/","https://belberrycrm.bitrix24.ru/crm/deal/details/17610/")</x:f>
      </x:c>
      <x:c r="D3297" t="str">
        <x:v>Телемаркетинг</x:v>
      </x:c>
      <x:c r="E3297" t="str">
        <x:v>К обзвону</x:v>
      </x:c>
      <x:c r="F3297" t="str">
        <x:v>Дарья Исаева</x:v>
      </x:c>
      <x:c r="G3297" t="str">
        <x:v>нет</x:v>
      </x:c>
      <x:c r="H3297" t="str">
        <x:v>нет</x:v>
      </x:c>
    </x:row>
    <x:row r="3298">
      <x:c r="A3298" t="str">
        <x:v>17612</x:v>
      </x:c>
      <x:c r="B3298" t="str">
        <x:v>pravdental.ru</x:v>
      </x:c>
      <x:c r="C3298" t="e">
        <x:f>HYPERLINK("https://belberrycrm.bitrix24.ru/crm/deal/details/17612/","https://belberrycrm.bitrix24.ru/crm/deal/details/17612/")</x:f>
      </x:c>
      <x:c r="D3298" t="str">
        <x:v>Телемаркетинг</x:v>
      </x:c>
      <x:c r="E3298" t="str">
        <x:v>К обзвону</x:v>
      </x:c>
      <x:c r="F3298" t="str">
        <x:v>Дарья Исаева</x:v>
      </x:c>
      <x:c r="G3298" t="str">
        <x:v>нет</x:v>
      </x:c>
      <x:c r="H3298" t="str">
        <x:v>нет</x:v>
      </x:c>
    </x:row>
    <x:row r="3299">
      <x:c r="A3299" t="str">
        <x:v>17616</x:v>
      </x:c>
      <x:c r="B3299" t="str">
        <x:v>endomedis.ru</x:v>
      </x:c>
      <x:c r="C3299" t="e">
        <x:f>HYPERLINK("https://belberrycrm.bitrix24.ru/crm/deal/details/17616/","https://belberrycrm.bitrix24.ru/crm/deal/details/17616/")</x:f>
      </x:c>
      <x:c r="D3299" t="str">
        <x:v>Телемаркетинг</x:v>
      </x:c>
      <x:c r="E3299" t="str">
        <x:v>К обзвону</x:v>
      </x:c>
      <x:c r="F3299" t="str">
        <x:v>Дарья Исаева</x:v>
      </x:c>
      <x:c r="G3299" t="str">
        <x:v>нет</x:v>
      </x:c>
      <x:c r="H3299" t="str">
        <x:v>нет</x:v>
      </x:c>
    </x:row>
    <x:row r="3300">
      <x:c r="A3300" t="str">
        <x:v>17618</x:v>
      </x:c>
      <x:c r="B3300" t="str">
        <x:v>ld1.ru / vivi.clinic</x:v>
      </x:c>
      <x:c r="C3300" t="e">
        <x:f>HYPERLINK("https://belberrycrm.bitrix24.ru/crm/deal/details/17618/","https://belberrycrm.bitrix24.ru/crm/deal/details/17618/")</x:f>
      </x:c>
      <x:c r="D3300" t="str">
        <x:v>Телемаркетинг</x:v>
      </x:c>
      <x:c r="E3300" t="str">
        <x:v>К обзвону</x:v>
      </x:c>
      <x:c r="F3300" t="str">
        <x:v>Дарья Исаева</x:v>
      </x:c>
      <x:c r="G3300" t="str">
        <x:v>нет</x:v>
      </x:c>
      <x:c r="H3300" t="str">
        <x:v>нет</x:v>
      </x:c>
    </x:row>
    <x:row r="3301">
      <x:c r="A3301" t="str">
        <x:v>17626</x:v>
      </x:c>
      <x:c r="B3301" t="str">
        <x:v>mrdentik.ru</x:v>
      </x:c>
      <x:c r="C3301" t="e">
        <x:f>HYPERLINK("https://belberrycrm.bitrix24.ru/crm/deal/details/17626/","https://belberrycrm.bitrix24.ru/crm/deal/details/17626/")</x:f>
      </x:c>
      <x:c r="D3301" t="str">
        <x:v>Телемаркетинг</x:v>
      </x:c>
      <x:c r="E3301" t="str">
        <x:v>К обзвону</x:v>
      </x:c>
      <x:c r="F3301" t="str">
        <x:v>Дарья Исаева</x:v>
      </x:c>
      <x:c r="G3301" t="str">
        <x:v>нет</x:v>
      </x:c>
      <x:c r="H3301" t="str">
        <x:v>нет</x:v>
      </x:c>
    </x:row>
    <x:row r="3302">
      <x:c r="A3302" t="str">
        <x:v>17628</x:v>
      </x:c>
      <x:c r="B3302" t="str">
        <x:v>mrt-reutov.ru</x:v>
      </x:c>
      <x:c r="C3302" t="e">
        <x:f>HYPERLINK("https://belberrycrm.bitrix24.ru/crm/deal/details/17628/","https://belberrycrm.bitrix24.ru/crm/deal/details/17628/")</x:f>
      </x:c>
      <x:c r="D3302" t="str">
        <x:v>Телемаркетинг</x:v>
      </x:c>
      <x:c r="E3302" t="str">
        <x:v>К обзвону</x:v>
      </x:c>
      <x:c r="F3302" t="str">
        <x:v>Дарья Исаева</x:v>
      </x:c>
      <x:c r="G3302" t="str">
        <x:v>нет</x:v>
      </x:c>
      <x:c r="H3302" t="str">
        <x:v>нет</x:v>
      </x:c>
    </x:row>
    <x:row r="3303">
      <x:c r="A3303" t="str">
        <x:v>17630</x:v>
      </x:c>
      <x:c r="B3303" t="str">
        <x:v>msk.babor-spa.ru</x:v>
      </x:c>
      <x:c r="C3303" t="e">
        <x:f>HYPERLINK("https://belberrycrm.bitrix24.ru/crm/deal/details/17630/","https://belberrycrm.bitrix24.ru/crm/deal/details/17630/")</x:f>
      </x:c>
      <x:c r="D3303" t="str">
        <x:v>Телемаркетинг</x:v>
      </x:c>
      <x:c r="E3303" t="str">
        <x:v>К обзвону</x:v>
      </x:c>
      <x:c r="F3303" t="str">
        <x:v>Дарья Исаева</x:v>
      </x:c>
      <x:c r="G3303" t="str">
        <x:v>нет</x:v>
      </x:c>
      <x:c r="H3303" t="str">
        <x:v>нет</x:v>
      </x:c>
    </x:row>
    <x:row r="3304">
      <x:c r="A3304" t="str">
        <x:v>17634</x:v>
      </x:c>
      <x:c r="B3304" t="str">
        <x:v>my-clinica.com</x:v>
      </x:c>
      <x:c r="C3304" t="e">
        <x:f>HYPERLINK("https://belberrycrm.bitrix24.ru/crm/deal/details/17634/","https://belberrycrm.bitrix24.ru/crm/deal/details/17634/")</x:f>
      </x:c>
      <x:c r="D3304" t="str">
        <x:v>Телемаркетинг</x:v>
      </x:c>
      <x:c r="E3304" t="str">
        <x:v>К обзвону</x:v>
      </x:c>
      <x:c r="F3304" t="str">
        <x:v>Дарья Исаева</x:v>
      </x:c>
      <x:c r="G3304" t="str">
        <x:v>нет</x:v>
      </x:c>
      <x:c r="H3304" t="str">
        <x:v>нет</x:v>
      </x:c>
    </x:row>
    <x:row r="3305">
      <x:c r="A3305" t="str">
        <x:v>17650</x:v>
      </x:c>
      <x:c r="B3305" t="str">
        <x:v>urmedstom.ru</x:v>
      </x:c>
      <x:c r="C3305" t="e">
        <x:f>HYPERLINK("https://belberrycrm.bitrix24.ru/crm/deal/details/17650/","https://belberrycrm.bitrix24.ru/crm/deal/details/17650/")</x:f>
      </x:c>
      <x:c r="D3305" t="str">
        <x:v>Телемаркетинг</x:v>
      </x:c>
      <x:c r="E3305" t="str">
        <x:v>К обзвону</x:v>
      </x:c>
      <x:c r="F3305" t="str">
        <x:v>Дарья Исаева</x:v>
      </x:c>
      <x:c r="G3305" t="str">
        <x:v>да</x:v>
      </x:c>
      <x:c r="H3305" t="str">
        <x:v>нет</x:v>
      </x:c>
    </x:row>
    <x:row r="3306">
      <x:c r="A3306" t="str">
        <x:v>17658</x:v>
      </x:c>
      <x:c r="B3306" t="str">
        <x:v>albusmed.ru</x:v>
      </x:c>
      <x:c r="C3306" t="e">
        <x:f>HYPERLINK("https://belberrycrm.bitrix24.ru/crm/deal/details/17658/","https://belberrycrm.bitrix24.ru/crm/deal/details/17658/")</x:f>
      </x:c>
      <x:c r="D3306" t="str">
        <x:v>Телемаркетинг</x:v>
      </x:c>
      <x:c r="E3306" t="str">
        <x:v>К обзвону</x:v>
      </x:c>
      <x:c r="F3306" t="str">
        <x:v>Дарья Исаева</x:v>
      </x:c>
      <x:c r="G3306" t="str">
        <x:v>нет</x:v>
      </x:c>
      <x:c r="H3306" t="str">
        <x:v>нет</x:v>
      </x:c>
    </x:row>
    <x:row r="3307">
      <x:c r="A3307" t="str">
        <x:v>17660</x:v>
      </x:c>
      <x:c r="B3307" t="str">
        <x:v>andromedica.ru</x:v>
      </x:c>
      <x:c r="C3307" t="e">
        <x:f>HYPERLINK("https://belberrycrm.bitrix24.ru/crm/deal/details/17660/","https://belberrycrm.bitrix24.ru/crm/deal/details/17660/")</x:f>
      </x:c>
      <x:c r="D3307" t="str">
        <x:v>Телемаркетинг</x:v>
      </x:c>
      <x:c r="E3307" t="str">
        <x:v>К обзвону</x:v>
      </x:c>
      <x:c r="F3307" t="str">
        <x:v>Дарья Исаева</x:v>
      </x:c>
      <x:c r="G3307" t="str">
        <x:v>нет</x:v>
      </x:c>
      <x:c r="H3307" t="str">
        <x:v>нет</x:v>
      </x:c>
    </x:row>
    <x:row r="3308">
      <x:c r="A3308" t="str">
        <x:v>17662</x:v>
      </x:c>
      <x:c r="B3308" t="str">
        <x:v>art-med.ru</x:v>
      </x:c>
      <x:c r="C3308" t="e">
        <x:f>HYPERLINK("https://belberrycrm.bitrix24.ru/crm/deal/details/17662/","https://belberrycrm.bitrix24.ru/crm/deal/details/17662/")</x:f>
      </x:c>
      <x:c r="D3308" t="str">
        <x:v>Телемаркетинг</x:v>
      </x:c>
      <x:c r="E3308" t="str">
        <x:v>К обзвону</x:v>
      </x:c>
      <x:c r="F3308" t="str">
        <x:v>Дарья Исаева</x:v>
      </x:c>
      <x:c r="G3308" t="str">
        <x:v>нет</x:v>
      </x:c>
      <x:c r="H3308" t="str">
        <x:v>нет</x:v>
      </x:c>
    </x:row>
    <x:row r="3309">
      <x:c r="A3309" t="str">
        <x:v>17668</x:v>
      </x:c>
      <x:c r="B3309" t="str">
        <x:v>besplodiu-net.ru</x:v>
      </x:c>
      <x:c r="C3309" t="e">
        <x:f>HYPERLINK("https://belberrycrm.bitrix24.ru/crm/deal/details/17668/","https://belberrycrm.bitrix24.ru/crm/deal/details/17668/")</x:f>
      </x:c>
      <x:c r="D3309" t="str">
        <x:v>Телемаркетинг</x:v>
      </x:c>
      <x:c r="E3309" t="str">
        <x:v>К обзвону</x:v>
      </x:c>
      <x:c r="F3309" t="str">
        <x:v>Дарья Исаева</x:v>
      </x:c>
      <x:c r="G3309" t="str">
        <x:v>нет</x:v>
      </x:c>
      <x:c r="H3309" t="str">
        <x:v>нет</x:v>
      </x:c>
    </x:row>
    <x:row r="3310">
      <x:c r="A3310" t="str">
        <x:v>17688</x:v>
      </x:c>
      <x:c r="B3310" t="str">
        <x:v>immun.ru</x:v>
      </x:c>
      <x:c r="C3310" t="e">
        <x:f>HYPERLINK("https://belberrycrm.bitrix24.ru/crm/deal/details/17688/","https://belberrycrm.bitrix24.ru/crm/deal/details/17688/")</x:f>
      </x:c>
      <x:c r="D3310" t="str">
        <x:v>Телемаркетинг</x:v>
      </x:c>
      <x:c r="E3310" t="str">
        <x:v>К обзвону</x:v>
      </x:c>
      <x:c r="F3310" t="str">
        <x:v>Дарья Исаева</x:v>
      </x:c>
      <x:c r="G3310" t="str">
        <x:v>нет</x:v>
      </x:c>
      <x:c r="H3310" t="str">
        <x:v>нет</x:v>
      </x:c>
    </x:row>
    <x:row r="3311">
      <x:c r="A3311" t="str">
        <x:v>17702</x:v>
      </x:c>
      <x:c r="B3311" t="str">
        <x:v>mnioi.ru</x:v>
      </x:c>
      <x:c r="C3311" t="e">
        <x:f>HYPERLINK("https://belberrycrm.bitrix24.ru/crm/deal/details/17702/","https://belberrycrm.bitrix24.ru/crm/deal/details/17702/")</x:f>
      </x:c>
      <x:c r="D3311" t="str">
        <x:v>Телемаркетинг</x:v>
      </x:c>
      <x:c r="E3311" t="str">
        <x:v>К обзвону</x:v>
      </x:c>
      <x:c r="F3311" t="str">
        <x:v>Дарья Исаева</x:v>
      </x:c>
      <x:c r="G3311" t="str">
        <x:v>да</x:v>
      </x:c>
      <x:c r="H3311" t="str">
        <x:v>нет</x:v>
      </x:c>
    </x:row>
    <x:row r="3312">
      <x:c r="A3312" t="str">
        <x:v>17704</x:v>
      </x:c>
      <x:c r="B3312" t="str">
        <x:v>msmsu.ru</x:v>
      </x:c>
      <x:c r="C3312" t="e">
        <x:f>HYPERLINK("https://belberrycrm.bitrix24.ru/crm/deal/details/17704/","https://belberrycrm.bitrix24.ru/crm/deal/details/17704/")</x:f>
      </x:c>
      <x:c r="D3312" t="str">
        <x:v>Телемаркетинг</x:v>
      </x:c>
      <x:c r="E3312" t="str">
        <x:v>К обзвону</x:v>
      </x:c>
      <x:c r="F3312" t="str">
        <x:v>Дарья Исаева</x:v>
      </x:c>
      <x:c r="G3312" t="str">
        <x:v>да</x:v>
      </x:c>
      <x:c r="H3312" t="str">
        <x:v>нет</x:v>
      </x:c>
    </x:row>
    <x:row r="3313">
      <x:c r="A3313" t="str">
        <x:v>17712</x:v>
      </x:c>
      <x:c r="B3313" t="str">
        <x:v>pkb1.com</x:v>
      </x:c>
      <x:c r="C3313" t="e">
        <x:f>HYPERLINK("https://belberrycrm.bitrix24.ru/crm/deal/details/17712/","https://belberrycrm.bitrix24.ru/crm/deal/details/17712/")</x:f>
      </x:c>
      <x:c r="D3313" t="str">
        <x:v>Телемаркетинг</x:v>
      </x:c>
      <x:c r="E3313" t="str">
        <x:v>К обзвону</x:v>
      </x:c>
      <x:c r="F3313" t="str">
        <x:v>Дарья Исаева</x:v>
      </x:c>
      <x:c r="G3313" t="str">
        <x:v>да</x:v>
      </x:c>
      <x:c r="H3313" t="str">
        <x:v>нет</x:v>
      </x:c>
    </x:row>
    <x:row r="3314">
      <x:c r="A3314" t="str">
        <x:v>17724</x:v>
      </x:c>
      <x:c r="B3314" t="str">
        <x:v>welcomediet.ru</x:v>
      </x:c>
      <x:c r="C3314" t="e">
        <x:f>HYPERLINK("https://belberrycrm.bitrix24.ru/crm/deal/details/17724/","https://belberrycrm.bitrix24.ru/crm/deal/details/17724/")</x:f>
      </x:c>
      <x:c r="D3314" t="str">
        <x:v>Телемаркетинг</x:v>
      </x:c>
      <x:c r="E3314" t="str">
        <x:v>К обзвону</x:v>
      </x:c>
      <x:c r="F3314" t="str">
        <x:v>Дарья Исаева</x:v>
      </x:c>
      <x:c r="G3314" t="str">
        <x:v>нет</x:v>
      </x:c>
      <x:c r="H3314" t="str">
        <x:v>нет</x:v>
      </x:c>
    </x:row>
    <x:row r="3315">
      <x:c r="A3315" t="str">
        <x:v>17728</x:v>
      </x:c>
      <x:c r="B3315" t="str">
        <x:v>zybuk.ru</x:v>
      </x:c>
      <x:c r="C3315" t="e">
        <x:f>HYPERLINK("https://belberrycrm.bitrix24.ru/crm/deal/details/17728/","https://belberrycrm.bitrix24.ru/crm/deal/details/17728/")</x:f>
      </x:c>
      <x:c r="D3315" t="str">
        <x:v>Телемаркетинг</x:v>
      </x:c>
      <x:c r="E3315" t="str">
        <x:v>К обзвону</x:v>
      </x:c>
      <x:c r="F3315" t="str">
        <x:v>Дарья Исаева</x:v>
      </x:c>
      <x:c r="G3315" t="str">
        <x:v>да</x:v>
      </x:c>
      <x:c r="H3315" t="str">
        <x:v>нет</x:v>
      </x:c>
    </x:row>
    <x:row r="3316">
      <x:c r="A3316" t="str">
        <x:v>17734</x:v>
      </x:c>
      <x:c r="B3316" t="str">
        <x:v>z-doc.ru</x:v>
      </x:c>
      <x:c r="C3316" t="e">
        <x:f>HYPERLINK("https://belberrycrm.bitrix24.ru/crm/deal/details/17734/","https://belberrycrm.bitrix24.ru/crm/deal/details/17734/")</x:f>
      </x:c>
      <x:c r="D3316" t="str">
        <x:v>Телемаркетинг</x:v>
      </x:c>
      <x:c r="E3316" t="str">
        <x:v>К обзвону</x:v>
      </x:c>
      <x:c r="F3316" t="str">
        <x:v>Дарья Исаева</x:v>
      </x:c>
      <x:c r="G3316" t="str">
        <x:v>нет</x:v>
      </x:c>
      <x:c r="H3316" t="str">
        <x:v>нет</x:v>
      </x:c>
    </x:row>
    <x:row r="3317">
      <x:c r="A3317" t="str">
        <x:v>17738</x:v>
      </x:c>
      <x:c r="B3317" t="str">
        <x:v>perspektiva-clinic.ru</x:v>
      </x:c>
      <x:c r="C3317" t="e">
        <x:f>HYPERLINK("https://belberrycrm.bitrix24.ru/crm/deal/details/17738/","https://belberrycrm.bitrix24.ru/crm/deal/details/17738/")</x:f>
      </x:c>
      <x:c r="D3317" t="str">
        <x:v>Телемаркетинг</x:v>
      </x:c>
      <x:c r="E3317" t="str">
        <x:v>К обзвону</x:v>
      </x:c>
      <x:c r="F3317" t="str">
        <x:v>Дарья Исаева</x:v>
      </x:c>
      <x:c r="G3317" t="str">
        <x:v>да</x:v>
      </x:c>
      <x:c r="H3317" t="str">
        <x:v>нет</x:v>
      </x:c>
    </x:row>
    <x:row r="3318">
      <x:c r="A3318" t="str">
        <x:v>17744</x:v>
      </x:c>
      <x:c r="B3318" t="str">
        <x:v>integritas.clinic</x:v>
      </x:c>
      <x:c r="C3318" t="e">
        <x:f>HYPERLINK("https://belberrycrm.bitrix24.ru/crm/deal/details/17744/","https://belberrycrm.bitrix24.ru/crm/deal/details/17744/")</x:f>
      </x:c>
      <x:c r="D3318" t="str">
        <x:v>Телемаркетинг</x:v>
      </x:c>
      <x:c r="E3318" t="str">
        <x:v>К обзвону</x:v>
      </x:c>
      <x:c r="F3318" t="str">
        <x:v>Дарья Исаева</x:v>
      </x:c>
      <x:c r="G3318" t="str">
        <x:v>нет</x:v>
      </x:c>
      <x:c r="H3318" t="str">
        <x:v>нет</x:v>
      </x:c>
    </x:row>
    <x:row r="3319">
      <x:c r="A3319" t="str">
        <x:v>17748</x:v>
      </x:c>
      <x:c r="B3319" t="str">
        <x:v>effi-clinic.ru</x:v>
      </x:c>
      <x:c r="C3319" t="e">
        <x:f>HYPERLINK("https://belberrycrm.bitrix24.ru/crm/deal/details/17748/","https://belberrycrm.bitrix24.ru/crm/deal/details/17748/")</x:f>
      </x:c>
      <x:c r="D3319" t="str">
        <x:v>Телемаркетинг</x:v>
      </x:c>
      <x:c r="E3319" t="str">
        <x:v>К обзвону</x:v>
      </x:c>
      <x:c r="F3319" t="str">
        <x:v>Дарья Исаева</x:v>
      </x:c>
      <x:c r="G3319" t="str">
        <x:v>нет</x:v>
      </x:c>
      <x:c r="H3319" t="str">
        <x:v>нет</x:v>
      </x:c>
    </x:row>
    <x:row r="3320">
      <x:c r="A3320" t="str">
        <x:v>17752</x:v>
      </x:c>
      <x:c r="B3320" t="str">
        <x:v>scoliologic.ru</x:v>
      </x:c>
      <x:c r="C3320" t="e">
        <x:f>HYPERLINK("https://belberrycrm.bitrix24.ru/crm/deal/details/17752/","https://belberrycrm.bitrix24.ru/crm/deal/details/17752/")</x:f>
      </x:c>
      <x:c r="D3320" t="str">
        <x:v>Телемаркетинг</x:v>
      </x:c>
      <x:c r="E3320" t="str">
        <x:v>К обзвону</x:v>
      </x:c>
      <x:c r="F3320" t="str">
        <x:v>Дарья Исаева</x:v>
      </x:c>
      <x:c r="G3320" t="str">
        <x:v>нет</x:v>
      </x:c>
      <x:c r="H3320" t="str">
        <x:v>нет</x:v>
      </x:c>
    </x:row>
    <x:row r="3321">
      <x:c r="A3321" t="str">
        <x:v>17754</x:v>
      </x:c>
      <x:c r="B3321" t="str">
        <x:v>prognozmed.ru</x:v>
      </x:c>
      <x:c r="C3321" t="e">
        <x:f>HYPERLINK("https://belberrycrm.bitrix24.ru/crm/deal/details/17754/","https://belberrycrm.bitrix24.ru/crm/deal/details/17754/")</x:f>
      </x:c>
      <x:c r="D3321" t="str">
        <x:v>Телемаркетинг</x:v>
      </x:c>
      <x:c r="E3321" t="str">
        <x:v>К обзвону</x:v>
      </x:c>
      <x:c r="F3321" t="str">
        <x:v>Дарья Исаева</x:v>
      </x:c>
      <x:c r="G3321" t="str">
        <x:v>нет</x:v>
      </x:c>
      <x:c r="H3321" t="str">
        <x:v>нет</x:v>
      </x:c>
    </x:row>
    <x:row r="3322">
      <x:c r="A3322" t="str">
        <x:v>17758</x:v>
      </x:c>
      <x:c r="B3322" t="str">
        <x:v>ldc.ru</x:v>
      </x:c>
      <x:c r="C3322" t="e">
        <x:f>HYPERLINK("https://belberrycrm.bitrix24.ru/crm/deal/details/17758/","https://belberrycrm.bitrix24.ru/crm/deal/details/17758/")</x:f>
      </x:c>
      <x:c r="D3322" t="str">
        <x:v>Телемаркетинг</x:v>
      </x:c>
      <x:c r="E3322" t="str">
        <x:v>К обзвону</x:v>
      </x:c>
      <x:c r="F3322" t="str">
        <x:v>Дарья Исаева</x:v>
      </x:c>
      <x:c r="G3322" t="str">
        <x:v>нет</x:v>
      </x:c>
      <x:c r="H3322" t="str">
        <x:v>нет</x:v>
      </x:c>
    </x:row>
    <x:row r="3323">
      <x:c r="A3323" t="str">
        <x:v>17762</x:v>
      </x:c>
      <x:c r="B3323" t="str">
        <x:v>imma.ru</x:v>
      </x:c>
      <x:c r="C3323" t="e">
        <x:f>HYPERLINK("https://belberrycrm.bitrix24.ru/crm/deal/details/17762/","https://belberrycrm.bitrix24.ru/crm/deal/details/17762/")</x:f>
      </x:c>
      <x:c r="D3323" t="str">
        <x:v>Телемаркетинг</x:v>
      </x:c>
      <x:c r="E3323" t="str">
        <x:v>К обзвону</x:v>
      </x:c>
      <x:c r="F3323" t="str">
        <x:v>Дарья Исаева</x:v>
      </x:c>
      <x:c r="G3323" t="str">
        <x:v>да</x:v>
      </x:c>
      <x:c r="H3323" t="str">
        <x:v>нет</x:v>
      </x:c>
    </x:row>
    <x:row r="3324">
      <x:c r="A3324" t="str">
        <x:v>17764</x:v>
      </x:c>
      <x:c r="B3324" t="str">
        <x:v>nebolit.ru</x:v>
      </x:c>
      <x:c r="C3324" t="e">
        <x:f>HYPERLINK("https://belberrycrm.bitrix24.ru/crm/deal/details/17764/","https://belberrycrm.bitrix24.ru/crm/deal/details/17764/")</x:f>
      </x:c>
      <x:c r="D3324" t="str">
        <x:v>Телемаркетинг</x:v>
      </x:c>
      <x:c r="E3324" t="str">
        <x:v>К обзвону</x:v>
      </x:c>
      <x:c r="F3324" t="str">
        <x:v>Дарья Исаева</x:v>
      </x:c>
      <x:c r="G3324" t="str">
        <x:v>нет</x:v>
      </x:c>
      <x:c r="H3324" t="str">
        <x:v>нет</x:v>
      </x:c>
    </x:row>
    <x:row r="3325">
      <x:c r="A3325" t="str">
        <x:v>17768</x:v>
      </x:c>
      <x:c r="B3325" t="str">
        <x:v>homo89.ru</x:v>
      </x:c>
      <x:c r="C3325" t="e">
        <x:f>HYPERLINK("https://belberrycrm.bitrix24.ru/crm/deal/details/17768/","https://belberrycrm.bitrix24.ru/crm/deal/details/17768/")</x:f>
      </x:c>
      <x:c r="D3325" t="str">
        <x:v>Телемаркетинг</x:v>
      </x:c>
      <x:c r="E3325" t="str">
        <x:v>К обзвону</x:v>
      </x:c>
      <x:c r="F3325" t="str">
        <x:v>Дарья Исаева</x:v>
      </x:c>
      <x:c r="G3325" t="str">
        <x:v>нет</x:v>
      </x:c>
      <x:c r="H3325" t="str">
        <x:v>нет</x:v>
      </x:c>
    </x:row>
    <x:row r="3326">
      <x:c r="A3326" t="str">
        <x:v>17772</x:v>
      </x:c>
      <x:c r="B3326" t="str">
        <x:v>primedkids.ru</x:v>
      </x:c>
      <x:c r="C3326" t="e">
        <x:f>HYPERLINK("https://belberrycrm.bitrix24.ru/crm/deal/details/17772/","https://belberrycrm.bitrix24.ru/crm/deal/details/17772/")</x:f>
      </x:c>
      <x:c r="D3326" t="str">
        <x:v>Телемаркетинг</x:v>
      </x:c>
      <x:c r="E3326" t="str">
        <x:v>К обзвону</x:v>
      </x:c>
      <x:c r="F3326" t="str">
        <x:v>Дарья Исаева</x:v>
      </x:c>
      <x:c r="G3326" t="str">
        <x:v>нет</x:v>
      </x:c>
      <x:c r="H3326" t="str">
        <x:v>нет</x:v>
      </x:c>
    </x:row>
    <x:row r="3327">
      <x:c r="A3327" t="str">
        <x:v>17776</x:v>
      </x:c>
      <x:c r="B3327" t="str">
        <x:v>aurumpluc.ru</x:v>
      </x:c>
      <x:c r="C3327" t="e">
        <x:f>HYPERLINK("https://belberrycrm.bitrix24.ru/crm/deal/details/17776/","https://belberrycrm.bitrix24.ru/crm/deal/details/17776/")</x:f>
      </x:c>
      <x:c r="D3327" t="str">
        <x:v>Телемаркетинг</x:v>
      </x:c>
      <x:c r="E3327" t="str">
        <x:v>К обзвону</x:v>
      </x:c>
      <x:c r="F3327" t="str">
        <x:v>Дарья Исаева</x:v>
      </x:c>
      <x:c r="G3327" t="str">
        <x:v>нет</x:v>
      </x:c>
      <x:c r="H3327" t="str">
        <x:v>нет</x:v>
      </x:c>
    </x:row>
    <x:row r="3328">
      <x:c r="A3328" t="str">
        <x:v>17778</x:v>
      </x:c>
      <x:c r="B3328" t="str">
        <x:v>mcfclinic.ru</x:v>
      </x:c>
      <x:c r="C3328" t="e">
        <x:f>HYPERLINK("https://belberrycrm.bitrix24.ru/crm/deal/details/17778/","https://belberrycrm.bitrix24.ru/crm/deal/details/17778/")</x:f>
      </x:c>
      <x:c r="D3328" t="str">
        <x:v>Телемаркетинг</x:v>
      </x:c>
      <x:c r="E3328" t="str">
        <x:v>К обзвону</x:v>
      </x:c>
      <x:c r="F3328" t="str">
        <x:v>Дарья Исаева</x:v>
      </x:c>
      <x:c r="G3328" t="str">
        <x:v>нет</x:v>
      </x:c>
      <x:c r="H3328" t="str">
        <x:v>нет</x:v>
      </x:c>
    </x:row>
    <x:row r="3329">
      <x:c r="A3329" t="str">
        <x:v>17780</x:v>
      </x:c>
      <x:c r="B3329" t="str">
        <x:v>Наталья (интересует сайт на нашем шаблоне для стоматологии)</x:v>
      </x:c>
      <x:c r="C3329" t="e">
        <x:f>HYPERLINK("https://belberrycrm.bitrix24.ru/crm/deal/details/17780/","https://belberrycrm.bitrix24.ru/crm/deal/details/17780/")</x:f>
      </x:c>
      <x:c r="D3329" t="str">
        <x:v>Телемаркетинг</x:v>
      </x:c>
      <x:c r="E3329" t="str">
        <x:v>К обзвону</x:v>
      </x:c>
      <x:c r="F3329" t="str">
        <x:v>Дарья Исаева</x:v>
      </x:c>
      <x:c r="G3329" t="str">
        <x:v>нет</x:v>
      </x:c>
      <x:c r="H3329" t="str">
        <x:v>нет</x:v>
      </x:c>
    </x:row>
    <x:row r="3330">
      <x:c r="A3330" t="str">
        <x:v>17782</x:v>
      </x:c>
      <x:c r="B3330" t="str">
        <x:v>emsclinic.ru</x:v>
      </x:c>
      <x:c r="C3330" t="e">
        <x:f>HYPERLINK("https://belberrycrm.bitrix24.ru/crm/deal/details/17782/","https://belberrycrm.bitrix24.ru/crm/deal/details/17782/")</x:f>
      </x:c>
      <x:c r="D3330" t="str">
        <x:v>Телемаркетинг</x:v>
      </x:c>
      <x:c r="E3330" t="str">
        <x:v>К обзвону</x:v>
      </x:c>
      <x:c r="F3330" t="str">
        <x:v>Дарья Исаева</x:v>
      </x:c>
      <x:c r="G3330" t="str">
        <x:v>нет</x:v>
      </x:c>
      <x:c r="H3330" t="str">
        <x:v>нет</x:v>
      </x:c>
    </x:row>
    <x:row r="3331">
      <x:c r="A3331" t="str">
        <x:v>17788</x:v>
      </x:c>
      <x:c r="B3331" t="str">
        <x:v>masterdent-nv.ru</x:v>
      </x:c>
      <x:c r="C3331" t="e">
        <x:f>HYPERLINK("https://belberrycrm.bitrix24.ru/crm/deal/details/17788/","https://belberrycrm.bitrix24.ru/crm/deal/details/17788/")</x:f>
      </x:c>
      <x:c r="D3331" t="str">
        <x:v>Телемаркетинг</x:v>
      </x:c>
      <x:c r="E3331" t="str">
        <x:v>К обзвону</x:v>
      </x:c>
      <x:c r="F3331" t="str">
        <x:v>Дарья Исаева</x:v>
      </x:c>
      <x:c r="G3331" t="str">
        <x:v>нет</x:v>
      </x:c>
      <x:c r="H3331" t="str">
        <x:v>нет</x:v>
      </x:c>
    </x:row>
    <x:row r="3332">
      <x:c r="A3332" t="str">
        <x:v>17794</x:v>
      </x:c>
      <x:c r="B3332" t="str">
        <x:v>babyboom-33.ru</x:v>
      </x:c>
      <x:c r="C3332" t="e">
        <x:f>HYPERLINK("https://belberrycrm.bitrix24.ru/crm/deal/details/17794/","https://belberrycrm.bitrix24.ru/crm/deal/details/17794/")</x:f>
      </x:c>
      <x:c r="D3332" t="str">
        <x:v>Телемаркетинг</x:v>
      </x:c>
      <x:c r="E3332" t="str">
        <x:v>К обзвону</x:v>
      </x:c>
      <x:c r="F3332" t="str">
        <x:v>Дарья Исаева</x:v>
      </x:c>
      <x:c r="G3332" t="str">
        <x:v>нет</x:v>
      </x:c>
      <x:c r="H3332" t="str">
        <x:v>нет</x:v>
      </x:c>
    </x:row>
    <x:row r="3333">
      <x:c r="A3333" t="str">
        <x:v>17796</x:v>
      </x:c>
      <x:c r="B3333" t="str">
        <x:v>optimalmed.ru</x:v>
      </x:c>
      <x:c r="C3333" t="e">
        <x:f>HYPERLINK("https://belberrycrm.bitrix24.ru/crm/deal/details/17796/","https://belberrycrm.bitrix24.ru/crm/deal/details/17796/")</x:f>
      </x:c>
      <x:c r="D3333" t="str">
        <x:v>Телемаркетинг</x:v>
      </x:c>
      <x:c r="E3333" t="str">
        <x:v>К обзвону</x:v>
      </x:c>
      <x:c r="F3333" t="str">
        <x:v>Дарья Исаева</x:v>
      </x:c>
      <x:c r="G3333" t="str">
        <x:v>нет</x:v>
      </x:c>
      <x:c r="H3333" t="str">
        <x:v>нет</x:v>
      </x:c>
    </x:row>
    <x:row r="3334">
      <x:c r="A3334" t="str">
        <x:v>17798</x:v>
      </x:c>
      <x:c r="B3334" t="str">
        <x:v>dr_gurgen</x:v>
      </x:c>
      <x:c r="C3334" t="e">
        <x:f>HYPERLINK("https://belberrycrm.bitrix24.ru/crm/deal/details/17798/","https://belberrycrm.bitrix24.ru/crm/deal/details/17798/")</x:f>
      </x:c>
      <x:c r="D3334" t="str">
        <x:v>Телемаркетинг</x:v>
      </x:c>
      <x:c r="E3334" t="str">
        <x:v>К обзвону</x:v>
      </x:c>
      <x:c r="F3334" t="str">
        <x:v>Дарья Исаева</x:v>
      </x:c>
      <x:c r="G3334" t="str">
        <x:v>нет</x:v>
      </x:c>
      <x:c r="H3334" t="str">
        <x:v>нет</x:v>
      </x:c>
    </x:row>
    <x:row r="3335">
      <x:c r="A3335" t="str">
        <x:v>17800</x:v>
      </x:c>
      <x:c r="B3335" t="str">
        <x:v>cosmolab.moscow</x:v>
      </x:c>
      <x:c r="C3335" t="e">
        <x:f>HYPERLINK("https://belberrycrm.bitrix24.ru/crm/deal/details/17800/","https://belberrycrm.bitrix24.ru/crm/deal/details/17800/")</x:f>
      </x:c>
      <x:c r="D3335" t="str">
        <x:v>Телемаркетинг</x:v>
      </x:c>
      <x:c r="E3335" t="str">
        <x:v>К обзвону</x:v>
      </x:c>
      <x:c r="F3335" t="str">
        <x:v>Дарья Исаева</x:v>
      </x:c>
      <x:c r="G3335" t="str">
        <x:v>нет</x:v>
      </x:c>
      <x:c r="H3335" t="str">
        <x:v>нет</x:v>
      </x:c>
    </x:row>
    <x:row r="3336">
      <x:c r="A3336" t="str">
        <x:v>17802</x:v>
      </x:c>
      <x:c r="B3336" t="str">
        <x:v>Стоматологиятула.рф</x:v>
      </x:c>
      <x:c r="C3336" t="e">
        <x:f>HYPERLINK("https://belberrycrm.bitrix24.ru/crm/deal/details/17802/","https://belberrycrm.bitrix24.ru/crm/deal/details/17802/")</x:f>
      </x:c>
      <x:c r="D3336" t="str">
        <x:v>Телемаркетинг</x:v>
      </x:c>
      <x:c r="E3336" t="str">
        <x:v>К обзвону</x:v>
      </x:c>
      <x:c r="F3336" t="str">
        <x:v>Дарья Исаева</x:v>
      </x:c>
      <x:c r="G3336" t="str">
        <x:v>нет</x:v>
      </x:c>
      <x:c r="H3336" t="str">
        <x:v>нет</x:v>
      </x:c>
    </x:row>
    <x:row r="3337">
      <x:c r="A3337" t="str">
        <x:v>17804</x:v>
      </x:c>
      <x:c r="B3337" t="str">
        <x:v>shinedent.ru</x:v>
      </x:c>
      <x:c r="C3337" t="e">
        <x:f>HYPERLINK("https://belberrycrm.bitrix24.ru/crm/deal/details/17804/","https://belberrycrm.bitrix24.ru/crm/deal/details/17804/")</x:f>
      </x:c>
      <x:c r="D3337" t="str">
        <x:v>Телемаркетинг</x:v>
      </x:c>
      <x:c r="E3337" t="str">
        <x:v>К обзвону</x:v>
      </x:c>
      <x:c r="F3337" t="str">
        <x:v>Дарья Исаева</x:v>
      </x:c>
      <x:c r="G3337" t="str">
        <x:v>нет</x:v>
      </x:c>
      <x:c r="H3337" t="str">
        <x:v>нет</x:v>
      </x:c>
    </x:row>
    <x:row r="3338">
      <x:c r="A3338" t="str">
        <x:v>17806</x:v>
      </x:c>
      <x:c r="B3338" t="str">
        <x:v>stomatologiya-moskva.ru</x:v>
      </x:c>
      <x:c r="C3338" t="e">
        <x:f>HYPERLINK("https://belberrycrm.bitrix24.ru/crm/deal/details/17806/","https://belberrycrm.bitrix24.ru/crm/deal/details/17806/")</x:f>
      </x:c>
      <x:c r="D3338" t="str">
        <x:v>Телемаркетинг</x:v>
      </x:c>
      <x:c r="E3338" t="str">
        <x:v>К обзвону</x:v>
      </x:c>
      <x:c r="F3338" t="str">
        <x:v>Дарья Исаева</x:v>
      </x:c>
      <x:c r="G3338" t="str">
        <x:v>нет</x:v>
      </x:c>
      <x:c r="H3338" t="str">
        <x:v>нет</x:v>
      </x:c>
    </x:row>
    <x:row r="3339">
      <x:c r="A3339" t="str">
        <x:v>17808</x:v>
      </x:c>
      <x:c r="B3339" t="str">
        <x:v>irtclinic.ru</x:v>
      </x:c>
      <x:c r="C3339" t="e">
        <x:f>HYPERLINK("https://belberrycrm.bitrix24.ru/crm/deal/details/17808/","https://belberrycrm.bitrix24.ru/crm/deal/details/17808/")</x:f>
      </x:c>
      <x:c r="D3339" t="str">
        <x:v>Телемаркетинг</x:v>
      </x:c>
      <x:c r="E3339" t="str">
        <x:v>К обзвону</x:v>
      </x:c>
      <x:c r="F3339" t="str">
        <x:v>Дарья Исаева</x:v>
      </x:c>
      <x:c r="G3339" t="str">
        <x:v>нет</x:v>
      </x:c>
      <x:c r="H3339" t="str">
        <x:v>нет</x:v>
      </x:c>
    </x:row>
    <x:row r="3340">
      <x:c r="A3340" t="str">
        <x:v>17810</x:v>
      </x:c>
      <x:c r="B3340" t="str">
        <x:v>diagnocat.ru</x:v>
      </x:c>
      <x:c r="C3340" t="e">
        <x:f>HYPERLINK("https://belberrycrm.bitrix24.ru/crm/deal/details/17810/","https://belberrycrm.bitrix24.ru/crm/deal/details/17810/")</x:f>
      </x:c>
      <x:c r="D3340" t="str">
        <x:v>Телемаркетинг</x:v>
      </x:c>
      <x:c r="E3340" t="str">
        <x:v>К обзвону</x:v>
      </x:c>
      <x:c r="F3340" t="str">
        <x:v>Дарья Исаева</x:v>
      </x:c>
      <x:c r="G3340" t="str">
        <x:v>нет</x:v>
      </x:c>
      <x:c r="H3340" t="str">
        <x:v>нет</x:v>
      </x:c>
    </x:row>
    <x:row r="3341">
      <x:c r="A3341" t="str">
        <x:v>17814</x:v>
      </x:c>
      <x:c r="B3341" t="str">
        <x:v>Марина</x:v>
      </x:c>
      <x:c r="C3341" t="e">
        <x:f>HYPERLINK("https://belberrycrm.bitrix24.ru/crm/deal/details/17814/","https://belberrycrm.bitrix24.ru/crm/deal/details/17814/")</x:f>
      </x:c>
      <x:c r="D3341" t="str">
        <x:v>Телемаркетинг</x:v>
      </x:c>
      <x:c r="E3341" t="str">
        <x:v>К обзвону</x:v>
      </x:c>
      <x:c r="F3341" t="str">
        <x:v>Дарья Исаева</x:v>
      </x:c>
      <x:c r="G3341" t="str">
        <x:v>да</x:v>
      </x:c>
      <x:c r="H3341" t="str">
        <x:v>нет</x:v>
      </x:c>
    </x:row>
    <x:row r="3342">
      <x:c r="A3342" t="str">
        <x:v>17820</x:v>
      </x:c>
      <x:c r="B3342" t="str">
        <x:v>Хатия</x:v>
      </x:c>
      <x:c r="C3342" t="e">
        <x:f>HYPERLINK("https://belberrycrm.bitrix24.ru/crm/deal/details/17820/","https://belberrycrm.bitrix24.ru/crm/deal/details/17820/")</x:f>
      </x:c>
      <x:c r="D3342" t="str">
        <x:v>Телемаркетинг</x:v>
      </x:c>
      <x:c r="E3342" t="str">
        <x:v>К обзвону</x:v>
      </x:c>
      <x:c r="F3342" t="str">
        <x:v>Дарья Исаева</x:v>
      </x:c>
      <x:c r="G3342" t="str">
        <x:v>нет</x:v>
      </x:c>
      <x:c r="H3342" t="str">
        <x:v>нет</x:v>
      </x:c>
    </x:row>
    <x:row r="3343">
      <x:c r="A3343" t="str">
        <x:v>17824</x:v>
      </x:c>
      <x:c r="B3343" t="str">
        <x:v>ecodent-clinic.ru</x:v>
      </x:c>
      <x:c r="C3343" t="e">
        <x:f>HYPERLINK("https://belberrycrm.bitrix24.ru/crm/deal/details/17824/","https://belberrycrm.bitrix24.ru/crm/deal/details/17824/")</x:f>
      </x:c>
      <x:c r="D3343" t="str">
        <x:v>Телемаркетинг</x:v>
      </x:c>
      <x:c r="E3343" t="str">
        <x:v>К обзвону</x:v>
      </x:c>
      <x:c r="F3343" t="str">
        <x:v>Дарья Исаева</x:v>
      </x:c>
      <x:c r="G3343" t="str">
        <x:v>нет</x:v>
      </x:c>
      <x:c r="H3343" t="str">
        <x:v>нет</x:v>
      </x:c>
    </x:row>
    <x:row r="3344">
      <x:c r="A3344" t="str">
        <x:v>17828</x:v>
      </x:c>
      <x:c r="B3344" t="str">
        <x:v>nmlikino.ru</x:v>
      </x:c>
      <x:c r="C3344" t="e">
        <x:f>HYPERLINK("https://belberrycrm.bitrix24.ru/crm/deal/details/17828/","https://belberrycrm.bitrix24.ru/crm/deal/details/17828/")</x:f>
      </x:c>
      <x:c r="D3344" t="str">
        <x:v>Телемаркетинг</x:v>
      </x:c>
      <x:c r="E3344" t="str">
        <x:v>К обзвону</x:v>
      </x:c>
      <x:c r="F3344" t="str">
        <x:v>Дарья Исаева</x:v>
      </x:c>
      <x:c r="G3344" t="str">
        <x:v>нет</x:v>
      </x:c>
      <x:c r="H3344" t="str">
        <x:v>нет</x:v>
      </x:c>
    </x:row>
    <x:row r="3345">
      <x:c r="A3345" t="str">
        <x:v>17830</x:v>
      </x:c>
      <x:c r="B3345" t="str">
        <x:v>sculpturesmile.ru</x:v>
      </x:c>
      <x:c r="C3345" t="e">
        <x:f>HYPERLINK("https://belberrycrm.bitrix24.ru/crm/deal/details/17830/","https://belberrycrm.bitrix24.ru/crm/deal/details/17830/")</x:f>
      </x:c>
      <x:c r="D3345" t="str">
        <x:v>Телемаркетинг</x:v>
      </x:c>
      <x:c r="E3345" t="str">
        <x:v>К обзвону</x:v>
      </x:c>
      <x:c r="F3345" t="str">
        <x:v>Дарья Исаева</x:v>
      </x:c>
      <x:c r="G3345" t="str">
        <x:v>нет</x:v>
      </x:c>
      <x:c r="H3345" t="str">
        <x:v>нет</x:v>
      </x:c>
    </x:row>
    <x:row r="3346">
      <x:c r="A3346" t="str">
        <x:v>17832</x:v>
      </x:c>
      <x:c r="B3346" t="str">
        <x:v>uzikolomenskaya.ru</x:v>
      </x:c>
      <x:c r="C3346" t="e">
        <x:f>HYPERLINK("https://belberrycrm.bitrix24.ru/crm/deal/details/17832/","https://belberrycrm.bitrix24.ru/crm/deal/details/17832/")</x:f>
      </x:c>
      <x:c r="D3346" t="str">
        <x:v>Телемаркетинг</x:v>
      </x:c>
      <x:c r="E3346" t="str">
        <x:v>К обзвону</x:v>
      </x:c>
      <x:c r="F3346" t="str">
        <x:v>Дарья Исаева</x:v>
      </x:c>
      <x:c r="G3346" t="str">
        <x:v>нет</x:v>
      </x:c>
      <x:c r="H3346" t="str">
        <x:v>нет</x:v>
      </x:c>
    </x:row>
    <x:row r="3347">
      <x:c r="A3347" t="str">
        <x:v>17838</x:v>
      </x:c>
      <x:c r="B3347" t="str">
        <x:v>Марина</x:v>
      </x:c>
      <x:c r="C3347" t="e">
        <x:f>HYPERLINK("https://belberrycrm.bitrix24.ru/crm/deal/details/17838/","https://belberrycrm.bitrix24.ru/crm/deal/details/17838/")</x:f>
      </x:c>
      <x:c r="D3347" t="str">
        <x:v>Телемаркетинг</x:v>
      </x:c>
      <x:c r="E3347" t="str">
        <x:v>К обзвону</x:v>
      </x:c>
      <x:c r="F3347" t="str">
        <x:v>Дарья Исаева</x:v>
      </x:c>
      <x:c r="G3347" t="str">
        <x:v>нет</x:v>
      </x:c>
      <x:c r="H3347" t="str">
        <x:v>нет</x:v>
      </x:c>
    </x:row>
    <x:row r="3348">
      <x:c r="A3348" t="str">
        <x:v>17840</x:v>
      </x:c>
      <x:c r="B3348" t="str">
        <x:v>site.bestwaylife.ru</x:v>
      </x:c>
      <x:c r="C3348" t="e">
        <x:f>HYPERLINK("https://belberrycrm.bitrix24.ru/crm/deal/details/17840/","https://belberrycrm.bitrix24.ru/crm/deal/details/17840/")</x:f>
      </x:c>
      <x:c r="D3348" t="str">
        <x:v>Телемаркетинг</x:v>
      </x:c>
      <x:c r="E3348" t="str">
        <x:v>К обзвону</x:v>
      </x:c>
      <x:c r="F3348" t="str">
        <x:v>Дарья Исаева</x:v>
      </x:c>
      <x:c r="G3348" t="str">
        <x:v>нет</x:v>
      </x:c>
      <x:c r="H3348" t="str">
        <x:v>нет</x:v>
      </x:c>
    </x:row>
    <x:row r="3349">
      <x:c r="A3349" t="str">
        <x:v>17842</x:v>
      </x:c>
      <x:c r="B3349" t="str">
        <x:v>dokkaclinic.ru</x:v>
      </x:c>
      <x:c r="C3349" t="e">
        <x:f>HYPERLINK("https://belberrycrm.bitrix24.ru/crm/deal/details/17842/","https://belberrycrm.bitrix24.ru/crm/deal/details/17842/")</x:f>
      </x:c>
      <x:c r="D3349" t="str">
        <x:v>Телемаркетинг</x:v>
      </x:c>
      <x:c r="E3349" t="str">
        <x:v>К обзвону</x:v>
      </x:c>
      <x:c r="F3349" t="str">
        <x:v>Дарья Исаева</x:v>
      </x:c>
      <x:c r="G3349" t="str">
        <x:v>нет</x:v>
      </x:c>
      <x:c r="H3349" t="str">
        <x:v>нет</x:v>
      </x:c>
    </x:row>
    <x:row r="3350">
      <x:c r="A3350" t="str">
        <x:v>17844</x:v>
      </x:c>
      <x:c r="B3350" t="str">
        <x:v>oooplatina.ru</x:v>
      </x:c>
      <x:c r="C3350" t="e">
        <x:f>HYPERLINK("https://belberrycrm.bitrix24.ru/crm/deal/details/17844/","https://belberrycrm.bitrix24.ru/crm/deal/details/17844/")</x:f>
      </x:c>
      <x:c r="D3350" t="str">
        <x:v>Телемаркетинг</x:v>
      </x:c>
      <x:c r="E3350" t="str">
        <x:v>К обзвону</x:v>
      </x:c>
      <x:c r="F3350" t="str">
        <x:v>Дарья Исаева</x:v>
      </x:c>
      <x:c r="G3350" t="str">
        <x:v>да</x:v>
      </x:c>
      <x:c r="H3350" t="str">
        <x:v>нет</x:v>
      </x:c>
    </x:row>
    <x:row r="3351">
      <x:c r="A3351" t="str">
        <x:v>17846</x:v>
      </x:c>
      <x:c r="B3351" t="str">
        <x:v>remstom.ru</x:v>
      </x:c>
      <x:c r="C3351" t="e">
        <x:f>HYPERLINK("https://belberrycrm.bitrix24.ru/crm/deal/details/17846/","https://belberrycrm.bitrix24.ru/crm/deal/details/17846/")</x:f>
      </x:c>
      <x:c r="D3351" t="str">
        <x:v>Телемаркетинг</x:v>
      </x:c>
      <x:c r="E3351" t="str">
        <x:v>К обзвону</x:v>
      </x:c>
      <x:c r="F3351" t="str">
        <x:v>Дарья Исаева</x:v>
      </x:c>
      <x:c r="G3351" t="str">
        <x:v>нет</x:v>
      </x:c>
      <x:c r="H3351" t="str">
        <x:v>нет</x:v>
      </x:c>
    </x:row>
    <x:row r="3352">
      <x:c r="A3352" t="str">
        <x:v>17848</x:v>
      </x:c>
      <x:c r="B3352" t="str">
        <x:v>dostoma.ru</x:v>
      </x:c>
      <x:c r="C3352" t="e">
        <x:f>HYPERLINK("https://belberrycrm.bitrix24.ru/crm/deal/details/17848/","https://belberrycrm.bitrix24.ru/crm/deal/details/17848/")</x:f>
      </x:c>
      <x:c r="D3352" t="str">
        <x:v>Телемаркетинг</x:v>
      </x:c>
      <x:c r="E3352" t="str">
        <x:v>К обзвону</x:v>
      </x:c>
      <x:c r="F3352" t="str">
        <x:v>Дарья Исаева</x:v>
      </x:c>
      <x:c r="G3352" t="str">
        <x:v>нет</x:v>
      </x:c>
      <x:c r="H3352" t="str">
        <x:v>нет</x:v>
      </x:c>
    </x:row>
    <x:row r="3353">
      <x:c r="A3353" t="str">
        <x:v>17850</x:v>
      </x:c>
      <x:c r="B3353" t="str">
        <x:v>kineziologic.ru</x:v>
      </x:c>
      <x:c r="C3353" t="e">
        <x:f>HYPERLINK("https://belberrycrm.bitrix24.ru/crm/deal/details/17850/","https://belberrycrm.bitrix24.ru/crm/deal/details/17850/")</x:f>
      </x:c>
      <x:c r="D3353" t="str">
        <x:v>Телемаркетинг</x:v>
      </x:c>
      <x:c r="E3353" t="str">
        <x:v>К обзвону</x:v>
      </x:c>
      <x:c r="F3353" t="str">
        <x:v>Дарья Исаева</x:v>
      </x:c>
      <x:c r="G3353" t="str">
        <x:v>нет</x:v>
      </x:c>
      <x:c r="H3353" t="str">
        <x:v>нет</x:v>
      </x:c>
    </x:row>
    <x:row r="3354">
      <x:c r="A3354" t="str">
        <x:v>17852</x:v>
      </x:c>
      <x:c r="B3354" t="str">
        <x:v>valdent.ru</x:v>
      </x:c>
      <x:c r="C3354" t="e">
        <x:f>HYPERLINK("https://belberrycrm.bitrix24.ru/crm/deal/details/17852/","https://belberrycrm.bitrix24.ru/crm/deal/details/17852/")</x:f>
      </x:c>
      <x:c r="D3354" t="str">
        <x:v>Телемаркетинг</x:v>
      </x:c>
      <x:c r="E3354" t="str">
        <x:v>К обзвону</x:v>
      </x:c>
      <x:c r="F3354" t="str">
        <x:v>Дарья Исаева</x:v>
      </x:c>
      <x:c r="G3354" t="str">
        <x:v>нет</x:v>
      </x:c>
      <x:c r="H3354" t="str">
        <x:v>нет</x:v>
      </x:c>
    </x:row>
    <x:row r="3355">
      <x:c r="A3355" t="str">
        <x:v>17854</x:v>
      </x:c>
      <x:c r="B3355" t="str">
        <x:v>centersmt.ru</x:v>
      </x:c>
      <x:c r="C3355" t="e">
        <x:f>HYPERLINK("https://belberrycrm.bitrix24.ru/crm/deal/details/17854/","https://belberrycrm.bitrix24.ru/crm/deal/details/17854/")</x:f>
      </x:c>
      <x:c r="D3355" t="str">
        <x:v>Телемаркетинг</x:v>
      </x:c>
      <x:c r="E3355" t="str">
        <x:v>К обзвону</x:v>
      </x:c>
      <x:c r="F3355" t="str">
        <x:v>Дарья Исаева</x:v>
      </x:c>
      <x:c r="G3355" t="str">
        <x:v>нет</x:v>
      </x:c>
      <x:c r="H3355" t="str">
        <x:v>нет</x:v>
      </x:c>
    </x:row>
    <x:row r="3356">
      <x:c r="A3356" t="str">
        <x:v>17856</x:v>
      </x:c>
      <x:c r="B3356" t="str">
        <x:v>o-estestvenno.ru</x:v>
      </x:c>
      <x:c r="C3356" t="e">
        <x:f>HYPERLINK("https://belberrycrm.bitrix24.ru/crm/deal/details/17856/","https://belberrycrm.bitrix24.ru/crm/deal/details/17856/")</x:f>
      </x:c>
      <x:c r="D3356" t="str">
        <x:v>Телемаркетинг</x:v>
      </x:c>
      <x:c r="E3356" t="str">
        <x:v>К обзвону</x:v>
      </x:c>
      <x:c r="F3356" t="str">
        <x:v>Дарья Исаева</x:v>
      </x:c>
      <x:c r="G3356" t="str">
        <x:v>нет</x:v>
      </x:c>
      <x:c r="H3356" t="str">
        <x:v>нет</x:v>
      </x:c>
    </x:row>
    <x:row r="3357">
      <x:c r="A3357" t="str">
        <x:v>17858</x:v>
      </x:c>
      <x:c r="B3357" t="str">
        <x:v>implant-ivory.ru</x:v>
      </x:c>
      <x:c r="C3357" t="e">
        <x:f>HYPERLINK("https://belberrycrm.bitrix24.ru/crm/deal/details/17858/","https://belberrycrm.bitrix24.ru/crm/deal/details/17858/")</x:f>
      </x:c>
      <x:c r="D3357" t="str">
        <x:v>Телемаркетинг</x:v>
      </x:c>
      <x:c r="E3357" t="str">
        <x:v>К обзвону</x:v>
      </x:c>
      <x:c r="F3357" t="str">
        <x:v>Дарья Исаева</x:v>
      </x:c>
      <x:c r="G3357" t="str">
        <x:v>нет</x:v>
      </x:c>
      <x:c r="H3357" t="str">
        <x:v>нет</x:v>
      </x:c>
    </x:row>
    <x:row r="3358">
      <x:c r="A3358" t="str">
        <x:v>17864</x:v>
      </x:c>
      <x:c r="B3358" t="str">
        <x:v>Марат</x:v>
      </x:c>
      <x:c r="C3358" t="e">
        <x:f>HYPERLINK("https://belberrycrm.bitrix24.ru/crm/deal/details/17864/","https://belberrycrm.bitrix24.ru/crm/deal/details/17864/")</x:f>
      </x:c>
      <x:c r="D3358" t="str">
        <x:v>Телемаркетинг</x:v>
      </x:c>
      <x:c r="E3358" t="str">
        <x:v>К обзвону</x:v>
      </x:c>
      <x:c r="F3358" t="str">
        <x:v>Дарья Исаева</x:v>
      </x:c>
      <x:c r="G3358" t="str">
        <x:v>нет</x:v>
      </x:c>
      <x:c r="H3358" t="str">
        <x:v>нет</x:v>
      </x:c>
    </x:row>
    <x:row r="3359">
      <x:c r="A3359" t="str">
        <x:v>17866</x:v>
      </x:c>
      <x:c r="B3359" t="str">
        <x:v>planbaby.uz</x:v>
      </x:c>
      <x:c r="C3359" t="e">
        <x:f>HYPERLINK("https://belberrycrm.bitrix24.ru/crm/deal/details/17866/","https://belberrycrm.bitrix24.ru/crm/deal/details/17866/")</x:f>
      </x:c>
      <x:c r="D3359" t="str">
        <x:v>Телемаркетинг</x:v>
      </x:c>
      <x:c r="E3359" t="str">
        <x:v>К обзвону</x:v>
      </x:c>
      <x:c r="F3359" t="str">
        <x:v>Дарья Исаева</x:v>
      </x:c>
      <x:c r="G3359" t="str">
        <x:v>нет</x:v>
      </x:c>
      <x:c r="H3359" t="str">
        <x:v>нет</x:v>
      </x:c>
    </x:row>
    <x:row r="3360">
      <x:c r="A3360" t="str">
        <x:v>17868</x:v>
      </x:c>
      <x:c r="B3360" t="str">
        <x:v>cmd-lubertsy.ru</x:v>
      </x:c>
      <x:c r="C3360" t="e">
        <x:f>HYPERLINK("https://belberrycrm.bitrix24.ru/crm/deal/details/17868/","https://belberrycrm.bitrix24.ru/crm/deal/details/17868/")</x:f>
      </x:c>
      <x:c r="D3360" t="str">
        <x:v>Телемаркетинг</x:v>
      </x:c>
      <x:c r="E3360" t="str">
        <x:v>К обзвону</x:v>
      </x:c>
      <x:c r="F3360" t="str">
        <x:v>Дарья Исаева</x:v>
      </x:c>
      <x:c r="G3360" t="str">
        <x:v>нет</x:v>
      </x:c>
      <x:c r="H3360" t="str">
        <x:v>нет</x:v>
      </x:c>
    </x:row>
    <x:row r="3361">
      <x:c r="A3361" t="str">
        <x:v>17870</x:v>
      </x:c>
      <x:c r="B3361" t="str">
        <x:v>vetdom.ru</x:v>
      </x:c>
      <x:c r="C3361" t="e">
        <x:f>HYPERLINK("https://belberrycrm.bitrix24.ru/crm/deal/details/17870/","https://belberrycrm.bitrix24.ru/crm/deal/details/17870/")</x:f>
      </x:c>
      <x:c r="D3361" t="str">
        <x:v>Телемаркетинг</x:v>
      </x:c>
      <x:c r="E3361" t="str">
        <x:v>К обзвону</x:v>
      </x:c>
      <x:c r="F3361" t="str">
        <x:v>Дарья Исаева</x:v>
      </x:c>
      <x:c r="G3361" t="str">
        <x:v>нет</x:v>
      </x:c>
      <x:c r="H3361" t="str">
        <x:v>нет</x:v>
      </x:c>
    </x:row>
    <x:row r="3362">
      <x:c r="A3362" t="str">
        <x:v>17874</x:v>
      </x:c>
      <x:c r="B3362" t="str">
        <x:v>imedclin.ru</x:v>
      </x:c>
      <x:c r="C3362" t="e">
        <x:f>HYPERLINK("https://belberrycrm.bitrix24.ru/crm/deal/details/17874/","https://belberrycrm.bitrix24.ru/crm/deal/details/17874/")</x:f>
      </x:c>
      <x:c r="D3362" t="str">
        <x:v>Телемаркетинг</x:v>
      </x:c>
      <x:c r="E3362" t="str">
        <x:v>К обзвону</x:v>
      </x:c>
      <x:c r="F3362" t="str">
        <x:v>Дарья Исаева</x:v>
      </x:c>
      <x:c r="G3362" t="str">
        <x:v>нет</x:v>
      </x:c>
      <x:c r="H3362" t="str">
        <x:v>нет</x:v>
      </x:c>
    </x:row>
    <x:row r="3363">
      <x:c r="A3363" t="str">
        <x:v>17878</x:v>
      </x:c>
      <x:c r="B3363" t="str">
        <x:v>tmscardio.ru</x:v>
      </x:c>
      <x:c r="C3363" t="e">
        <x:f>HYPERLINK("https://belberrycrm.bitrix24.ru/crm/deal/details/17878/","https://belberrycrm.bitrix24.ru/crm/deal/details/17878/")</x:f>
      </x:c>
      <x:c r="D3363" t="str">
        <x:v>Телемаркетинг</x:v>
      </x:c>
      <x:c r="E3363" t="str">
        <x:v>К обзвону</x:v>
      </x:c>
      <x:c r="F3363" t="str">
        <x:v>Дарья Исаева</x:v>
      </x:c>
      <x:c r="G3363" t="str">
        <x:v>нет</x:v>
      </x:c>
      <x:c r="H3363" t="str">
        <x:v>нет</x:v>
      </x:c>
    </x:row>
    <x:row r="3364">
      <x:c r="A3364" t="str">
        <x:v>17880</x:v>
      </x:c>
      <x:c r="B3364" t="str">
        <x:v>stomatplus.ru</x:v>
      </x:c>
      <x:c r="C3364" t="e">
        <x:f>HYPERLINK("https://belberrycrm.bitrix24.ru/crm/deal/details/17880/","https://belberrycrm.bitrix24.ru/crm/deal/details/17880/")</x:f>
      </x:c>
      <x:c r="D3364" t="str">
        <x:v>Телемаркетинг</x:v>
      </x:c>
      <x:c r="E3364" t="str">
        <x:v>К обзвону</x:v>
      </x:c>
      <x:c r="F3364" t="str">
        <x:v>Дарья Исаева</x:v>
      </x:c>
      <x:c r="G3364" t="str">
        <x:v>нет</x:v>
      </x:c>
      <x:c r="H3364" t="str">
        <x:v>нет</x:v>
      </x:c>
    </x:row>
    <x:row r="3365">
      <x:c r="A3365" t="str">
        <x:v>17882</x:v>
      </x:c>
      <x:c r="B3365" t="str">
        <x:v>mals-kirishi.ru</x:v>
      </x:c>
      <x:c r="C3365" t="e">
        <x:f>HYPERLINK("https://belberrycrm.bitrix24.ru/crm/deal/details/17882/","https://belberrycrm.bitrix24.ru/crm/deal/details/17882/")</x:f>
      </x:c>
      <x:c r="D3365" t="str">
        <x:v>Телемаркетинг</x:v>
      </x:c>
      <x:c r="E3365" t="str">
        <x:v>К обзвону</x:v>
      </x:c>
      <x:c r="F3365" t="str">
        <x:v>Дарья Исаева</x:v>
      </x:c>
      <x:c r="G3365" t="str">
        <x:v>нет</x:v>
      </x:c>
      <x:c r="H3365" t="str">
        <x:v>нет</x:v>
      </x:c>
    </x:row>
    <x:row r="3366">
      <x:c r="A3366" t="str">
        <x:v>17884</x:v>
      </x:c>
      <x:c r="B3366" t="str">
        <x:v>faceconcept.ru</x:v>
      </x:c>
      <x:c r="C3366" t="e">
        <x:f>HYPERLINK("https://belberrycrm.bitrix24.ru/crm/deal/details/17884/","https://belberrycrm.bitrix24.ru/crm/deal/details/17884/")</x:f>
      </x:c>
      <x:c r="D3366" t="str">
        <x:v>Телемаркетинг</x:v>
      </x:c>
      <x:c r="E3366" t="str">
        <x:v>К обзвону</x:v>
      </x:c>
      <x:c r="F3366" t="str">
        <x:v>Дарья Исаева</x:v>
      </x:c>
      <x:c r="G3366" t="str">
        <x:v>да</x:v>
      </x:c>
      <x:c r="H3366" t="str">
        <x:v>нет</x:v>
      </x:c>
    </x:row>
    <x:row r="3367">
      <x:c r="A3367" t="str">
        <x:v>17888</x:v>
      </x:c>
      <x:c r="B3367" t="str">
        <x:v>cryocliniq.ru</x:v>
      </x:c>
      <x:c r="C3367" t="e">
        <x:f>HYPERLINK("https://belberrycrm.bitrix24.ru/crm/deal/details/17888/","https://belberrycrm.bitrix24.ru/crm/deal/details/17888/")</x:f>
      </x:c>
      <x:c r="D3367" t="str">
        <x:v>Телемаркетинг</x:v>
      </x:c>
      <x:c r="E3367" t="str">
        <x:v>К обзвону</x:v>
      </x:c>
      <x:c r="F3367" t="str">
        <x:v>Дарья Исаева</x:v>
      </x:c>
      <x:c r="G3367" t="str">
        <x:v>нет</x:v>
      </x:c>
      <x:c r="H3367" t="str">
        <x:v>нет</x:v>
      </x:c>
    </x:row>
    <x:row r="3368">
      <x:c r="A3368" t="str">
        <x:v>17890</x:v>
      </x:c>
      <x:c r="B3368" t="str">
        <x:v>apresport.ru</x:v>
      </x:c>
      <x:c r="C3368" t="e">
        <x:f>HYPERLINK("https://belberrycrm.bitrix24.ru/crm/deal/details/17890/","https://belberrycrm.bitrix24.ru/crm/deal/details/17890/")</x:f>
      </x:c>
      <x:c r="D3368" t="str">
        <x:v>Телемаркетинг</x:v>
      </x:c>
      <x:c r="E3368" t="str">
        <x:v>К обзвону</x:v>
      </x:c>
      <x:c r="F3368" t="str">
        <x:v>Дарья Исаева</x:v>
      </x:c>
      <x:c r="G3368" t="str">
        <x:v>нет</x:v>
      </x:c>
      <x:c r="H3368" t="str">
        <x:v>нет</x:v>
      </x:c>
    </x:row>
    <x:row r="3369">
      <x:c r="A3369" t="str">
        <x:v>17892</x:v>
      </x:c>
      <x:c r="B3369" t="str">
        <x:v>mcdoctor.ru</x:v>
      </x:c>
      <x:c r="C3369" t="e">
        <x:f>HYPERLINK("https://belberrycrm.bitrix24.ru/crm/deal/details/17892/","https://belberrycrm.bitrix24.ru/crm/deal/details/17892/")</x:f>
      </x:c>
      <x:c r="D3369" t="str">
        <x:v>Телемаркетинг</x:v>
      </x:c>
      <x:c r="E3369" t="str">
        <x:v>К обзвону</x:v>
      </x:c>
      <x:c r="F3369" t="str">
        <x:v>Дарья Исаева</x:v>
      </x:c>
      <x:c r="G3369" t="str">
        <x:v>нет</x:v>
      </x:c>
      <x:c r="H3369" t="str">
        <x:v>нет</x:v>
      </x:c>
    </x:row>
    <x:row r="3370">
      <x:c r="A3370" t="str">
        <x:v>17896</x:v>
      </x:c>
      <x:c r="B3370" t="str">
        <x:v>vetdok.com</x:v>
      </x:c>
      <x:c r="C3370" t="e">
        <x:f>HYPERLINK("https://belberrycrm.bitrix24.ru/crm/deal/details/17896/","https://belberrycrm.bitrix24.ru/crm/deal/details/17896/")</x:f>
      </x:c>
      <x:c r="D3370" t="str">
        <x:v>Телемаркетинг</x:v>
      </x:c>
      <x:c r="E3370" t="str">
        <x:v>К обзвону</x:v>
      </x:c>
      <x:c r="F3370" t="str">
        <x:v>Дарья Исаева</x:v>
      </x:c>
      <x:c r="G3370" t="str">
        <x:v>нет</x:v>
      </x:c>
      <x:c r="H3370" t="str">
        <x:v>нет</x:v>
      </x:c>
    </x:row>
    <x:row r="3371">
      <x:c r="A3371" t="str">
        <x:v>17898</x:v>
      </x:c>
      <x:c r="B3371" t="str">
        <x:v>ljubercy.medcentr-endomedlab.ru</x:v>
      </x:c>
      <x:c r="C3371" t="e">
        <x:f>HYPERLINK("https://belberrycrm.bitrix24.ru/crm/deal/details/17898/","https://belberrycrm.bitrix24.ru/crm/deal/details/17898/")</x:f>
      </x:c>
      <x:c r="D3371" t="str">
        <x:v>Телемаркетинг</x:v>
      </x:c>
      <x:c r="E3371" t="str">
        <x:v>К обзвону</x:v>
      </x:c>
      <x:c r="F3371" t="str">
        <x:v>Дарья Исаева</x:v>
      </x:c>
      <x:c r="G3371" t="str">
        <x:v>нет</x:v>
      </x:c>
      <x:c r="H3371" t="str">
        <x:v>нет</x:v>
      </x:c>
    </x:row>
    <x:row r="3372">
      <x:c r="A3372" t="str">
        <x:v>17900</x:v>
      </x:c>
      <x:c r="B3372" t="str">
        <x:v>cmd-rostokino.ru</x:v>
      </x:c>
      <x:c r="C3372" t="e">
        <x:f>HYPERLINK("https://belberrycrm.bitrix24.ru/crm/deal/details/17900/","https://belberrycrm.bitrix24.ru/crm/deal/details/17900/")</x:f>
      </x:c>
      <x:c r="D3372" t="str">
        <x:v>Телемаркетинг</x:v>
      </x:c>
      <x:c r="E3372" t="str">
        <x:v>К обзвону</x:v>
      </x:c>
      <x:c r="F3372" t="str">
        <x:v>Дарья Исаева</x:v>
      </x:c>
      <x:c r="G3372" t="str">
        <x:v>нет</x:v>
      </x:c>
      <x:c r="H3372" t="str">
        <x:v>нет</x:v>
      </x:c>
    </x:row>
    <x:row r="3373">
      <x:c r="A3373" t="str">
        <x:v>17902</x:v>
      </x:c>
      <x:c r="B3373" t="str">
        <x:v>rumdent.ru</x:v>
      </x:c>
      <x:c r="C3373" t="e">
        <x:f>HYPERLINK("https://belberrycrm.bitrix24.ru/crm/deal/details/17902/","https://belberrycrm.bitrix24.ru/crm/deal/details/17902/")</x:f>
      </x:c>
      <x:c r="D3373" t="str">
        <x:v>Телемаркетинг</x:v>
      </x:c>
      <x:c r="E3373" t="str">
        <x:v>К обзвону</x:v>
      </x:c>
      <x:c r="F3373" t="str">
        <x:v>Дарья Исаева</x:v>
      </x:c>
      <x:c r="G3373" t="str">
        <x:v>нет</x:v>
      </x:c>
      <x:c r="H3373" t="str">
        <x:v>нет</x:v>
      </x:c>
    </x:row>
    <x:row r="3374">
      <x:c r="A3374" t="str">
        <x:v>17904</x:v>
      </x:c>
      <x:c r="B3374" t="str">
        <x:v>immunohealth-clinic.ru</x:v>
      </x:c>
      <x:c r="C3374" t="e">
        <x:f>HYPERLINK("https://belberrycrm.bitrix24.ru/crm/deal/details/17904/","https://belberrycrm.bitrix24.ru/crm/deal/details/17904/")</x:f>
      </x:c>
      <x:c r="D3374" t="str">
        <x:v>Телемаркетинг</x:v>
      </x:c>
      <x:c r="E3374" t="str">
        <x:v>К обзвону</x:v>
      </x:c>
      <x:c r="F3374" t="str">
        <x:v>Дарья Исаева</x:v>
      </x:c>
      <x:c r="G3374" t="str">
        <x:v>нет</x:v>
      </x:c>
      <x:c r="H3374" t="str">
        <x:v>нет</x:v>
      </x:c>
    </x:row>
    <x:row r="3375">
      <x:c r="A3375" t="str">
        <x:v>17910</x:v>
      </x:c>
      <x:c r="B3375" t="str">
        <x:v>Dental Studio Dynasty</x:v>
      </x:c>
      <x:c r="C3375" t="e">
        <x:f>HYPERLINK("https://belberrycrm.bitrix24.ru/crm/deal/details/17910/","https://belberrycrm.bitrix24.ru/crm/deal/details/17910/")</x:f>
      </x:c>
      <x:c r="D3375" t="str">
        <x:v>Телемаркетинг</x:v>
      </x:c>
      <x:c r="E3375" t="str">
        <x:v>К обзвону</x:v>
      </x:c>
      <x:c r="F3375" t="str">
        <x:v>Дарья Исаева</x:v>
      </x:c>
      <x:c r="G3375" t="str">
        <x:v>нет</x:v>
      </x:c>
      <x:c r="H3375" t="str">
        <x:v>нет</x:v>
      </x:c>
    </x:row>
    <x:row r="3376">
      <x:c r="A3376" t="str">
        <x:v>17912</x:v>
      </x:c>
      <x:c r="B3376" t="str">
        <x:v>Лор дент медицинский центр</x:v>
      </x:c>
      <x:c r="C3376" t="e">
        <x:f>HYPERLINK("https://belberrycrm.bitrix24.ru/crm/deal/details/17912/","https://belberrycrm.bitrix24.ru/crm/deal/details/17912/")</x:f>
      </x:c>
      <x:c r="D3376" t="str">
        <x:v>Телемаркетинг</x:v>
      </x:c>
      <x:c r="E3376" t="str">
        <x:v>К обзвону</x:v>
      </x:c>
      <x:c r="F3376" t="str">
        <x:v>Дарья Исаева</x:v>
      </x:c>
      <x:c r="G3376" t="str">
        <x:v>нет</x:v>
      </x:c>
      <x:c r="H3376" t="str">
        <x:v>нет</x:v>
      </x:c>
    </x:row>
    <x:row r="3377">
      <x:c r="A3377" t="str">
        <x:v>17914</x:v>
      </x:c>
      <x:c r="B3377" t="str">
        <x:v>masterdent36.ru</x:v>
      </x:c>
      <x:c r="C3377" t="e">
        <x:f>HYPERLINK("https://belberrycrm.bitrix24.ru/crm/deal/details/17914/","https://belberrycrm.bitrix24.ru/crm/deal/details/17914/")</x:f>
      </x:c>
      <x:c r="D3377" t="str">
        <x:v>Телемаркетинг</x:v>
      </x:c>
      <x:c r="E3377" t="str">
        <x:v>К обзвону</x:v>
      </x:c>
      <x:c r="F3377" t="str">
        <x:v>Дарья Исаева</x:v>
      </x:c>
      <x:c r="G3377" t="str">
        <x:v>нет</x:v>
      </x:c>
      <x:c r="H3377" t="str">
        <x:v>нет</x:v>
      </x:c>
    </x:row>
    <x:row r="3378">
      <x:c r="A3378" t="str">
        <x:v>17916</x:v>
      </x:c>
      <x:c r="B3378" t="str">
        <x:v>gloria-centr.ru</x:v>
      </x:c>
      <x:c r="C3378" t="e">
        <x:f>HYPERLINK("https://belberrycrm.bitrix24.ru/crm/deal/details/17916/","https://belberrycrm.bitrix24.ru/crm/deal/details/17916/")</x:f>
      </x:c>
      <x:c r="D3378" t="str">
        <x:v>Телемаркетинг</x:v>
      </x:c>
      <x:c r="E3378" t="str">
        <x:v>К обзвону</x:v>
      </x:c>
      <x:c r="F3378" t="str">
        <x:v>Дарья Исаева</x:v>
      </x:c>
      <x:c r="G3378" t="str">
        <x:v>нет</x:v>
      </x:c>
      <x:c r="H3378" t="str">
        <x:v>нет</x:v>
      </x:c>
    </x:row>
    <x:row r="3379">
      <x:c r="A3379" t="str">
        <x:v>17918</x:v>
      </x:c>
      <x:c r="B3379" t="str">
        <x:v>all-dental.me</x:v>
      </x:c>
      <x:c r="C3379" t="e">
        <x:f>HYPERLINK("https://belberrycrm.bitrix24.ru/crm/deal/details/17918/","https://belberrycrm.bitrix24.ru/crm/deal/details/17918/")</x:f>
      </x:c>
      <x:c r="D3379" t="str">
        <x:v>Телемаркетинг</x:v>
      </x:c>
      <x:c r="E3379" t="str">
        <x:v>К обзвону</x:v>
      </x:c>
      <x:c r="F3379" t="str">
        <x:v>Дарья Исаева</x:v>
      </x:c>
      <x:c r="G3379" t="str">
        <x:v>нет</x:v>
      </x:c>
      <x:c r="H3379" t="str">
        <x:v>нет</x:v>
      </x:c>
    </x:row>
    <x:row r="3380">
      <x:c r="A3380" t="str">
        <x:v>17920</x:v>
      </x:c>
      <x:c r="B3380" t="str">
        <x:v>elki-eli.com</x:v>
      </x:c>
      <x:c r="C3380" t="e">
        <x:f>HYPERLINK("https://belberrycrm.bitrix24.ru/crm/deal/details/17920/","https://belberrycrm.bitrix24.ru/crm/deal/details/17920/")</x:f>
      </x:c>
      <x:c r="D3380" t="str">
        <x:v>Телемаркетинг</x:v>
      </x:c>
      <x:c r="E3380" t="str">
        <x:v>К обзвону</x:v>
      </x:c>
      <x:c r="F3380" t="str">
        <x:v>Дарья Исаева</x:v>
      </x:c>
      <x:c r="G3380" t="str">
        <x:v>нет</x:v>
      </x:c>
      <x:c r="H3380" t="str">
        <x:v>нет</x:v>
      </x:c>
    </x:row>
    <x:row r="3381">
      <x:c r="A3381" t="str">
        <x:v>17922</x:v>
      </x:c>
      <x:c r="B3381" t="str">
        <x:v>demokrat-nvrsk.ru</x:v>
      </x:c>
      <x:c r="C3381" t="e">
        <x:f>HYPERLINK("https://belberrycrm.bitrix24.ru/crm/deal/details/17922/","https://belberrycrm.bitrix24.ru/crm/deal/details/17922/")</x:f>
      </x:c>
      <x:c r="D3381" t="str">
        <x:v>Телемаркетинг</x:v>
      </x:c>
      <x:c r="E3381" t="str">
        <x:v>К обзвону</x:v>
      </x:c>
      <x:c r="F3381" t="str">
        <x:v>Дарья Исаева</x:v>
      </x:c>
      <x:c r="G3381" t="str">
        <x:v>нет</x:v>
      </x:c>
      <x:c r="H3381" t="str">
        <x:v>нет</x:v>
      </x:c>
    </x:row>
    <x:row r="3382">
      <x:c r="A3382" t="str">
        <x:v>17924</x:v>
      </x:c>
      <x:c r="B3382" t="str">
        <x:v>https://demokrat-nn.ru</x:v>
      </x:c>
      <x:c r="C3382" t="e">
        <x:f>HYPERLINK("https://belberrycrm.bitrix24.ru/crm/deal/details/17924/","https://belberrycrm.bitrix24.ru/crm/deal/details/17924/")</x:f>
      </x:c>
      <x:c r="D3382" t="str">
        <x:v>Телемаркетинг</x:v>
      </x:c>
      <x:c r="E3382" t="str">
        <x:v>К обзвону</x:v>
      </x:c>
      <x:c r="F3382" t="str">
        <x:v>Дарья Исаева</x:v>
      </x:c>
      <x:c r="G3382" t="str">
        <x:v>нет</x:v>
      </x:c>
      <x:c r="H3382" t="str">
        <x:v>нет</x:v>
      </x:c>
    </x:row>
    <x:row r="3383">
      <x:c r="A3383" t="str">
        <x:v>17926</x:v>
      </x:c>
      <x:c r="B3383" t="str">
        <x:v>aquatoria2003.ru</x:v>
      </x:c>
      <x:c r="C3383" t="e">
        <x:f>HYPERLINK("https://belberrycrm.bitrix24.ru/crm/deal/details/17926/","https://belberrycrm.bitrix24.ru/crm/deal/details/17926/")</x:f>
      </x:c>
      <x:c r="D3383" t="str">
        <x:v>Телемаркетинг</x:v>
      </x:c>
      <x:c r="E3383" t="str">
        <x:v>К обзвону</x:v>
      </x:c>
      <x:c r="F3383" t="str">
        <x:v>Дарья Исаева</x:v>
      </x:c>
      <x:c r="G3383" t="str">
        <x:v>нет</x:v>
      </x:c>
      <x:c r="H3383" t="str">
        <x:v>нет</x:v>
      </x:c>
    </x:row>
    <x:row r="3384">
      <x:c r="A3384" t="str">
        <x:v>17928</x:v>
      </x:c>
      <x:c r="B3384" t="str">
        <x:v>sharnele.ru</x:v>
      </x:c>
      <x:c r="C3384" t="e">
        <x:f>HYPERLINK("https://belberrycrm.bitrix24.ru/crm/deal/details/17928/","https://belberrycrm.bitrix24.ru/crm/deal/details/17928/")</x:f>
      </x:c>
      <x:c r="D3384" t="str">
        <x:v>Телемаркетинг</x:v>
      </x:c>
      <x:c r="E3384" t="str">
        <x:v>К обзвону</x:v>
      </x:c>
      <x:c r="F3384" t="str">
        <x:v>Дарья Исаева</x:v>
      </x:c>
      <x:c r="G3384" t="str">
        <x:v>нет</x:v>
      </x:c>
      <x:c r="H3384" t="str">
        <x:v>нет</x:v>
      </x:c>
    </x:row>
    <x:row r="3385">
      <x:c r="A3385" t="str">
        <x:v>17930</x:v>
      </x:c>
      <x:c r="B3385" t="str">
        <x:v>mobreb.ru</x:v>
      </x:c>
      <x:c r="C3385" t="e">
        <x:f>HYPERLINK("https://belberrycrm.bitrix24.ru/crm/deal/details/17930/","https://belberrycrm.bitrix24.ru/crm/deal/details/17930/")</x:f>
      </x:c>
      <x:c r="D3385" t="str">
        <x:v>Телемаркетинг</x:v>
      </x:c>
      <x:c r="E3385" t="str">
        <x:v>К обзвону</x:v>
      </x:c>
      <x:c r="F3385" t="str">
        <x:v>Дарья Исаева</x:v>
      </x:c>
      <x:c r="G3385" t="str">
        <x:v>нет</x:v>
      </x:c>
      <x:c r="H3385" t="str">
        <x:v>нет</x:v>
      </x:c>
    </x:row>
    <x:row r="3386">
      <x:c r="A3386" t="str">
        <x:v>17934</x:v>
      </x:c>
      <x:c r="B3386" t="str">
        <x:v>gmmedical.ru</x:v>
      </x:c>
      <x:c r="C3386" t="e">
        <x:f>HYPERLINK("https://belberrycrm.bitrix24.ru/crm/deal/details/17934/","https://belberrycrm.bitrix24.ru/crm/deal/details/17934/")</x:f>
      </x:c>
      <x:c r="D3386" t="str">
        <x:v>Телемаркетинг</x:v>
      </x:c>
      <x:c r="E3386" t="str">
        <x:v>К обзвону</x:v>
      </x:c>
      <x:c r="F3386" t="str">
        <x:v>Дарья Исаева</x:v>
      </x:c>
      <x:c r="G3386" t="str">
        <x:v>нет</x:v>
      </x:c>
      <x:c r="H3386" t="str">
        <x:v>нет</x:v>
      </x:c>
    </x:row>
    <x:row r="3387">
      <x:c r="A3387" t="str">
        <x:v>17936</x:v>
      </x:c>
      <x:c r="B3387" t="str">
        <x:v>prima-dentale-salon.ru</x:v>
      </x:c>
      <x:c r="C3387" t="e">
        <x:f>HYPERLINK("https://belberrycrm.bitrix24.ru/crm/deal/details/17936/","https://belberrycrm.bitrix24.ru/crm/deal/details/17936/")</x:f>
      </x:c>
      <x:c r="D3387" t="str">
        <x:v>Телемаркетинг</x:v>
      </x:c>
      <x:c r="E3387" t="str">
        <x:v>К обзвону</x:v>
      </x:c>
      <x:c r="F3387" t="str">
        <x:v>Дарья Исаева</x:v>
      </x:c>
      <x:c r="G3387" t="str">
        <x:v>нет</x:v>
      </x:c>
      <x:c r="H3387" t="str">
        <x:v>нет</x:v>
      </x:c>
    </x:row>
    <x:row r="3388">
      <x:c r="A3388" t="str">
        <x:v>17938</x:v>
      </x:c>
      <x:c r="B3388" t="str">
        <x:v>Dr kosachenko</x:v>
      </x:c>
      <x:c r="C3388" t="e">
        <x:f>HYPERLINK("https://belberrycrm.bitrix24.ru/crm/deal/details/17938/","https://belberrycrm.bitrix24.ru/crm/deal/details/17938/")</x:f>
      </x:c>
      <x:c r="D3388" t="str">
        <x:v>Телемаркетинг</x:v>
      </x:c>
      <x:c r="E3388" t="str">
        <x:v>К обзвону</x:v>
      </x:c>
      <x:c r="F3388" t="str">
        <x:v>Дарья Исаева</x:v>
      </x:c>
      <x:c r="G3388" t="str">
        <x:v>нет</x:v>
      </x:c>
      <x:c r="H3388" t="str">
        <x:v>нет</x:v>
      </x:c>
    </x:row>
    <x:row r="3389">
      <x:c r="A3389" t="str">
        <x:v>17940</x:v>
      </x:c>
      <x:c r="B3389" t="str">
        <x:v>cimripm.ru</x:v>
      </x:c>
      <x:c r="C3389" t="e">
        <x:f>HYPERLINK("https://belberrycrm.bitrix24.ru/crm/deal/details/17940/","https://belberrycrm.bitrix24.ru/crm/deal/details/17940/")</x:f>
      </x:c>
      <x:c r="D3389" t="str">
        <x:v>Телемаркетинг</x:v>
      </x:c>
      <x:c r="E3389" t="str">
        <x:v>К обзвону</x:v>
      </x:c>
      <x:c r="F3389" t="str">
        <x:v>Дарья Исаева</x:v>
      </x:c>
      <x:c r="G3389" t="str">
        <x:v>нет</x:v>
      </x:c>
      <x:c r="H3389" t="str">
        <x:v>нет</x:v>
      </x:c>
    </x:row>
    <x:row r="3390">
      <x:c r="A3390" t="str">
        <x:v>17942</x:v>
      </x:c>
      <x:c r="B3390" t="str">
        <x:v>glazy.ru</x:v>
      </x:c>
      <x:c r="C3390" t="e">
        <x:f>HYPERLINK("https://belberrycrm.bitrix24.ru/crm/deal/details/17942/","https://belberrycrm.bitrix24.ru/crm/deal/details/17942/")</x:f>
      </x:c>
      <x:c r="D3390" t="str">
        <x:v>Телемаркетинг</x:v>
      </x:c>
      <x:c r="E3390" t="str">
        <x:v>К обзвону</x:v>
      </x:c>
      <x:c r="F3390" t="str">
        <x:v>Дарья Исаева</x:v>
      </x:c>
      <x:c r="G3390" t="str">
        <x:v>нет</x:v>
      </x:c>
      <x:c r="H3390" t="str">
        <x:v>нет</x:v>
      </x:c>
    </x:row>
    <x:row r="3391">
      <x:c r="A3391" t="str">
        <x:v>17944</x:v>
      </x:c>
      <x:c r="B3391" t="str">
        <x:v>cambridgejunior.ru</x:v>
      </x:c>
      <x:c r="C3391" t="e">
        <x:f>HYPERLINK("https://belberrycrm.bitrix24.ru/crm/deal/details/17944/","https://belberrycrm.bitrix24.ru/crm/deal/details/17944/")</x:f>
      </x:c>
      <x:c r="D3391" t="str">
        <x:v>Телемаркетинг</x:v>
      </x:c>
      <x:c r="E3391" t="str">
        <x:v>К обзвону</x:v>
      </x:c>
      <x:c r="F3391" t="str">
        <x:v>Дарья Исаева</x:v>
      </x:c>
      <x:c r="G3391" t="str">
        <x:v>нет</x:v>
      </x:c>
      <x:c r="H3391" t="str">
        <x:v>нет</x:v>
      </x:c>
    </x:row>
    <x:row r="3392">
      <x:c r="A3392" t="str">
        <x:v>17946</x:v>
      </x:c>
      <x:c r="B3392" t="str">
        <x:v>bios-med.ru</x:v>
      </x:c>
      <x:c r="C3392" t="e">
        <x:f>HYPERLINK("https://belberrycrm.bitrix24.ru/crm/deal/details/17946/","https://belberrycrm.bitrix24.ru/crm/deal/details/17946/")</x:f>
      </x:c>
      <x:c r="D3392" t="str">
        <x:v>Телемаркетинг</x:v>
      </x:c>
      <x:c r="E3392" t="str">
        <x:v>К обзвону</x:v>
      </x:c>
      <x:c r="F3392" t="str">
        <x:v>Дарья Исаева</x:v>
      </x:c>
      <x:c r="G3392" t="str">
        <x:v>нет</x:v>
      </x:c>
      <x:c r="H3392" t="str">
        <x:v>нет</x:v>
      </x:c>
    </x:row>
    <x:row r="3393">
      <x:c r="A3393" t="str">
        <x:v>17956</x:v>
      </x:c>
      <x:c r="B3393" t="str">
        <x:v>vrkr.ru</x:v>
      </x:c>
      <x:c r="C3393" t="e">
        <x:f>HYPERLINK("https://belberrycrm.bitrix24.ru/crm/deal/details/17956/","https://belberrycrm.bitrix24.ru/crm/deal/details/17956/")</x:f>
      </x:c>
      <x:c r="D3393" t="str">
        <x:v>Телемаркетинг</x:v>
      </x:c>
      <x:c r="E3393" t="str">
        <x:v>К обзвону</x:v>
      </x:c>
      <x:c r="F3393" t="str">
        <x:v>Дарья Исаева</x:v>
      </x:c>
      <x:c r="G3393" t="str">
        <x:v>нет</x:v>
      </x:c>
      <x:c r="H3393" t="str">
        <x:v>нет</x:v>
      </x:c>
    </x:row>
    <x:row r="3394">
      <x:c r="A3394" t="str">
        <x:v>17958</x:v>
      </x:c>
      <x:c r="B3394" t="str">
        <x:v>dilos-dent.com</x:v>
      </x:c>
      <x:c r="C3394" t="e">
        <x:f>HYPERLINK("https://belberrycrm.bitrix24.ru/crm/deal/details/17958/","https://belberrycrm.bitrix24.ru/crm/deal/details/17958/")</x:f>
      </x:c>
      <x:c r="D3394" t="str">
        <x:v>Телемаркетинг</x:v>
      </x:c>
      <x:c r="E3394" t="str">
        <x:v>К обзвону</x:v>
      </x:c>
      <x:c r="F3394" t="str">
        <x:v>Дарья Исаева</x:v>
      </x:c>
      <x:c r="G3394" t="str">
        <x:v>нет</x:v>
      </x:c>
      <x:c r="H3394" t="str">
        <x:v>нет</x:v>
      </x:c>
    </x:row>
    <x:row r="3395">
      <x:c r="A3395" t="str">
        <x:v>17960</x:v>
      </x:c>
      <x:c r="B3395" t="str">
        <x:v>childclinic.ru</x:v>
      </x:c>
      <x:c r="C3395" t="e">
        <x:f>HYPERLINK("https://belberrycrm.bitrix24.ru/crm/deal/details/17960/","https://belberrycrm.bitrix24.ru/crm/deal/details/17960/")</x:f>
      </x:c>
      <x:c r="D3395" t="str">
        <x:v>Телемаркетинг</x:v>
      </x:c>
      <x:c r="E3395" t="str">
        <x:v>К обзвону</x:v>
      </x:c>
      <x:c r="F3395" t="str">
        <x:v>Дарья Исаева</x:v>
      </x:c>
      <x:c r="G3395" t="str">
        <x:v>нет</x:v>
      </x:c>
      <x:c r="H3395" t="str">
        <x:v>нет</x:v>
      </x:c>
    </x:row>
    <x:row r="3396">
      <x:c r="A3396" t="str">
        <x:v>17962</x:v>
      </x:c>
      <x:c r="B3396" t="str">
        <x:v>dentis-center.ru</x:v>
      </x:c>
      <x:c r="C3396" t="e">
        <x:f>HYPERLINK("https://belberrycrm.bitrix24.ru/crm/deal/details/17962/","https://belberrycrm.bitrix24.ru/crm/deal/details/17962/")</x:f>
      </x:c>
      <x:c r="D3396" t="str">
        <x:v>Телемаркетинг</x:v>
      </x:c>
      <x:c r="E3396" t="str">
        <x:v>К обзвону</x:v>
      </x:c>
      <x:c r="F3396" t="str">
        <x:v>Дарья Исаева</x:v>
      </x:c>
      <x:c r="G3396" t="str">
        <x:v>нет</x:v>
      </x:c>
      <x:c r="H3396" t="str">
        <x:v>нет</x:v>
      </x:c>
    </x:row>
    <x:row r="3397">
      <x:c r="A3397" t="str">
        <x:v>17972</x:v>
      </x:c>
      <x:c r="B3397" t="str">
        <x:v>gkdc1.ru</x:v>
      </x:c>
      <x:c r="C3397" t="e">
        <x:f>HYPERLINK("https://belberrycrm.bitrix24.ru/crm/deal/details/17972/","https://belberrycrm.bitrix24.ru/crm/deal/details/17972/")</x:f>
      </x:c>
      <x:c r="D3397" t="str">
        <x:v>Телемаркетинг</x:v>
      </x:c>
      <x:c r="E3397" t="str">
        <x:v>К обзвону</x:v>
      </x:c>
      <x:c r="F3397" t="str">
        <x:v>Дарья Исаева</x:v>
      </x:c>
      <x:c r="G3397" t="str">
        <x:v>нет</x:v>
      </x:c>
      <x:c r="H3397" t="str">
        <x:v>нет</x:v>
      </x:c>
    </x:row>
    <x:row r="3398">
      <x:c r="A3398" t="str">
        <x:v>17976</x:v>
      </x:c>
      <x:c r="B3398" t="str">
        <x:v>6730070.ru</x:v>
      </x:c>
      <x:c r="C3398" t="e">
        <x:f>HYPERLINK("https://belberrycrm.bitrix24.ru/crm/deal/details/17976/","https://belberrycrm.bitrix24.ru/crm/deal/details/17976/")</x:f>
      </x:c>
      <x:c r="D3398" t="str">
        <x:v>Телемаркетинг</x:v>
      </x:c>
      <x:c r="E3398" t="str">
        <x:v>К обзвону</x:v>
      </x:c>
      <x:c r="F3398" t="str">
        <x:v>Дарья Исаева</x:v>
      </x:c>
      <x:c r="G3398" t="str">
        <x:v>да</x:v>
      </x:c>
      <x:c r="H3398" t="str">
        <x:v>нет</x:v>
      </x:c>
    </x:row>
    <x:row r="3399">
      <x:c r="A3399" t="str">
        <x:v>17978</x:v>
      </x:c>
      <x:c r="B3399" t="str">
        <x:v>7dent.ru</x:v>
      </x:c>
      <x:c r="C3399" t="e">
        <x:f>HYPERLINK("https://belberrycrm.bitrix24.ru/crm/deal/details/17978/","https://belberrycrm.bitrix24.ru/crm/deal/details/17978/")</x:f>
      </x:c>
      <x:c r="D3399" t="str">
        <x:v>Телемаркетинг</x:v>
      </x:c>
      <x:c r="E3399" t="str">
        <x:v>К обзвону</x:v>
      </x:c>
      <x:c r="F3399" t="str">
        <x:v>Дарья Исаева</x:v>
      </x:c>
      <x:c r="G3399" t="str">
        <x:v>да</x:v>
      </x:c>
      <x:c r="H3399" t="str">
        <x:v>нет</x:v>
      </x:c>
    </x:row>
    <x:row r="3400">
      <x:c r="A3400" t="str">
        <x:v>17986</x:v>
      </x:c>
      <x:c r="B3400" t="str">
        <x:v>altai-west.ru</x:v>
      </x:c>
      <x:c r="C3400" t="e">
        <x:f>HYPERLINK("https://belberrycrm.bitrix24.ru/crm/deal/details/17986/","https://belberrycrm.bitrix24.ru/crm/deal/details/17986/")</x:f>
      </x:c>
      <x:c r="D3400" t="str">
        <x:v>Телемаркетинг</x:v>
      </x:c>
      <x:c r="E3400" t="str">
        <x:v>К обзвону</x:v>
      </x:c>
      <x:c r="F3400" t="str">
        <x:v>Дарья Исаева</x:v>
      </x:c>
      <x:c r="G3400" t="str">
        <x:v>да</x:v>
      </x:c>
      <x:c r="H3400" t="str">
        <x:v>нет</x:v>
      </x:c>
    </x:row>
    <x:row r="3401">
      <x:c r="A3401" t="str">
        <x:v>17988</x:v>
      </x:c>
      <x:c r="B3401" t="str">
        <x:v>amgclinica.ru</x:v>
      </x:c>
      <x:c r="C3401" t="e">
        <x:f>HYPERLINK("https://belberrycrm.bitrix24.ru/crm/deal/details/17988/","https://belberrycrm.bitrix24.ru/crm/deal/details/17988/")</x:f>
      </x:c>
      <x:c r="D3401" t="str">
        <x:v>Телемаркетинг</x:v>
      </x:c>
      <x:c r="E3401" t="str">
        <x:v>К обзвону</x:v>
      </x:c>
      <x:c r="F3401" t="str">
        <x:v>Дарья Исаева</x:v>
      </x:c>
      <x:c r="G3401" t="str">
        <x:v>нет</x:v>
      </x:c>
      <x:c r="H3401" t="str">
        <x:v>нет</x:v>
      </x:c>
    </x:row>
    <x:row r="3402">
      <x:c r="A3402" t="str">
        <x:v>17996</x:v>
      </x:c>
      <x:c r="B3402" t="str">
        <x:v>biorhythm-me.ru</x:v>
      </x:c>
      <x:c r="C3402" t="e">
        <x:f>HYPERLINK("https://belberrycrm.bitrix24.ru/crm/deal/details/17996/","https://belberrycrm.bitrix24.ru/crm/deal/details/17996/")</x:f>
      </x:c>
      <x:c r="D3402" t="str">
        <x:v>Телемаркетинг</x:v>
      </x:c>
      <x:c r="E3402" t="str">
        <x:v>К обзвону</x:v>
      </x:c>
      <x:c r="F3402" t="str">
        <x:v>Дарья Исаева</x:v>
      </x:c>
      <x:c r="G3402" t="str">
        <x:v>да</x:v>
      </x:c>
      <x:c r="H3402" t="str">
        <x:v>нет</x:v>
      </x:c>
    </x:row>
    <x:row r="3403">
      <x:c r="A3403" t="str">
        <x:v>18008</x:v>
      </x:c>
      <x:c r="B3403" t="str">
        <x:v>csrbutovo.ru</x:v>
      </x:c>
      <x:c r="C3403" t="e">
        <x:f>HYPERLINK("https://belberrycrm.bitrix24.ru/crm/deal/details/18008/","https://belberrycrm.bitrix24.ru/crm/deal/details/18008/")</x:f>
      </x:c>
      <x:c r="D3403" t="str">
        <x:v>Телемаркетинг</x:v>
      </x:c>
      <x:c r="E3403" t="str">
        <x:v>К обзвону</x:v>
      </x:c>
      <x:c r="F3403" t="str">
        <x:v>Дарья Исаева</x:v>
      </x:c>
      <x:c r="G3403" t="str">
        <x:v>да</x:v>
      </x:c>
      <x:c r="H3403" t="str">
        <x:v>нет</x:v>
      </x:c>
    </x:row>
    <x:row r="3404">
      <x:c r="A3404" t="str">
        <x:v>18010</x:v>
      </x:c>
      <x:c r="B3404" t="str">
        <x:v>daat-group.com</x:v>
      </x:c>
      <x:c r="C3404" t="e">
        <x:f>HYPERLINK("https://belberrycrm.bitrix24.ru/crm/deal/details/18010/","https://belberrycrm.bitrix24.ru/crm/deal/details/18010/")</x:f>
      </x:c>
      <x:c r="D3404" t="str">
        <x:v>Телемаркетинг</x:v>
      </x:c>
      <x:c r="E3404" t="str">
        <x:v>К обзвону</x:v>
      </x:c>
      <x:c r="F3404" t="str">
        <x:v>Дарья Исаева</x:v>
      </x:c>
      <x:c r="G3404" t="str">
        <x:v>да</x:v>
      </x:c>
      <x:c r="H3404" t="str">
        <x:v>нет</x:v>
      </x:c>
    </x:row>
    <x:row r="3405">
      <x:c r="A3405" t="str">
        <x:v>18014</x:v>
      </x:c>
      <x:c r="B3405" t="str">
        <x:v>dent-akcent.ru</x:v>
      </x:c>
      <x:c r="C3405" t="e">
        <x:f>HYPERLINK("https://belberrycrm.bitrix24.ru/crm/deal/details/18014/","https://belberrycrm.bitrix24.ru/crm/deal/details/18014/")</x:f>
      </x:c>
      <x:c r="D3405" t="str">
        <x:v>Телемаркетинг</x:v>
      </x:c>
      <x:c r="E3405" t="str">
        <x:v>К обзвону</x:v>
      </x:c>
      <x:c r="F3405" t="str">
        <x:v>Дарья Исаева</x:v>
      </x:c>
      <x:c r="G3405" t="str">
        <x:v>да</x:v>
      </x:c>
      <x:c r="H3405" t="str">
        <x:v>нет</x:v>
      </x:c>
    </x:row>
    <x:row r="3406">
      <x:c r="A3406" t="str">
        <x:v>18022</x:v>
      </x:c>
      <x:c r="B3406" t="str">
        <x:v>dentaprestige.ru</x:v>
      </x:c>
      <x:c r="C3406" t="e">
        <x:f>HYPERLINK("https://belberrycrm.bitrix24.ru/crm/deal/details/18022/","https://belberrycrm.bitrix24.ru/crm/deal/details/18022/")</x:f>
      </x:c>
      <x:c r="D3406" t="str">
        <x:v>Телемаркетинг</x:v>
      </x:c>
      <x:c r="E3406" t="str">
        <x:v>К обзвону</x:v>
      </x:c>
      <x:c r="F3406" t="str">
        <x:v>Дарья Исаева</x:v>
      </x:c>
      <x:c r="G3406" t="str">
        <x:v>нет</x:v>
      </x:c>
      <x:c r="H3406" t="str">
        <x:v>нет</x:v>
      </x:c>
    </x:row>
    <x:row r="3407">
      <x:c r="A3407" t="str">
        <x:v>18026</x:v>
      </x:c>
      <x:c r="B3407" t="str">
        <x:v>dentonclinic.ru</x:v>
      </x:c>
      <x:c r="C3407" t="e">
        <x:f>HYPERLINK("https://belberrycrm.bitrix24.ru/crm/deal/details/18026/","https://belberrycrm.bitrix24.ru/crm/deal/details/18026/")</x:f>
      </x:c>
      <x:c r="D3407" t="str">
        <x:v>Телемаркетинг</x:v>
      </x:c>
      <x:c r="E3407" t="str">
        <x:v>К обзвону</x:v>
      </x:c>
      <x:c r="F3407" t="str">
        <x:v>Дарья Исаева</x:v>
      </x:c>
      <x:c r="G3407" t="str">
        <x:v>нет</x:v>
      </x:c>
      <x:c r="H3407" t="str">
        <x:v>нет</x:v>
      </x:c>
    </x:row>
    <x:row r="3408">
      <x:c r="A3408" t="str">
        <x:v>18052</x:v>
      </x:c>
      <x:c r="B3408" t="str">
        <x:v>g-george.ru</x:v>
      </x:c>
      <x:c r="C3408" t="e">
        <x:f>HYPERLINK("https://belberrycrm.bitrix24.ru/crm/deal/details/18052/","https://belberrycrm.bitrix24.ru/crm/deal/details/18052/")</x:f>
      </x:c>
      <x:c r="D3408" t="str">
        <x:v>Телемаркетинг</x:v>
      </x:c>
      <x:c r="E3408" t="str">
        <x:v>К обзвону</x:v>
      </x:c>
      <x:c r="F3408" t="str">
        <x:v>Дарья Исаева</x:v>
      </x:c>
      <x:c r="G3408" t="str">
        <x:v>нет</x:v>
      </x:c>
      <x:c r="H3408" t="str">
        <x:v>нет</x:v>
      </x:c>
    </x:row>
    <x:row r="3409">
      <x:c r="A3409" t="str">
        <x:v>18064</x:v>
      </x:c>
      <x:c r="B3409" t="str">
        <x:v>leyla-roz.ru</x:v>
      </x:c>
      <x:c r="C3409" t="e">
        <x:f>HYPERLINK("https://belberrycrm.bitrix24.ru/crm/deal/details/18064/","https://belberrycrm.bitrix24.ru/crm/deal/details/18064/")</x:f>
      </x:c>
      <x:c r="D3409" t="str">
        <x:v>Телемаркетинг</x:v>
      </x:c>
      <x:c r="E3409" t="str">
        <x:v>К обзвону</x:v>
      </x:c>
      <x:c r="F3409" t="str">
        <x:v>Дарья Исаева</x:v>
      </x:c>
      <x:c r="G3409" t="str">
        <x:v>нет</x:v>
      </x:c>
      <x:c r="H3409" t="str">
        <x:v>нет</x:v>
      </x:c>
    </x:row>
    <x:row r="3410">
      <x:c r="A3410" t="str">
        <x:v>18070</x:v>
      </x:c>
      <x:c r="B3410" t="str">
        <x:v>mc-peresvet.ru</x:v>
      </x:c>
      <x:c r="C3410" t="e">
        <x:f>HYPERLINK("https://belberrycrm.bitrix24.ru/crm/deal/details/18070/","https://belberrycrm.bitrix24.ru/crm/deal/details/18070/")</x:f>
      </x:c>
      <x:c r="D3410" t="str">
        <x:v>Телемаркетинг</x:v>
      </x:c>
      <x:c r="E3410" t="str">
        <x:v>К обзвону</x:v>
      </x:c>
      <x:c r="F3410" t="str">
        <x:v>Дарья Исаева</x:v>
      </x:c>
      <x:c r="G3410" t="str">
        <x:v>да</x:v>
      </x:c>
      <x:c r="H3410" t="str">
        <x:v>нет</x:v>
      </x:c>
    </x:row>
    <x:row r="3411">
      <x:c r="A3411" t="str">
        <x:v>18072</x:v>
      </x:c>
      <x:c r="B3411" t="str">
        <x:v>med-clin.ru</x:v>
      </x:c>
      <x:c r="C3411" t="e">
        <x:f>HYPERLINK("https://belberrycrm.bitrix24.ru/crm/deal/details/18072/","https://belberrycrm.bitrix24.ru/crm/deal/details/18072/")</x:f>
      </x:c>
      <x:c r="D3411" t="str">
        <x:v>Телемаркетинг</x:v>
      </x:c>
      <x:c r="E3411" t="str">
        <x:v>К обзвону</x:v>
      </x:c>
      <x:c r="F3411" t="str">
        <x:v>Дарья Исаева</x:v>
      </x:c>
      <x:c r="G3411" t="str">
        <x:v>нет</x:v>
      </x:c>
      <x:c r="H3411" t="str">
        <x:v>нет</x:v>
      </x:c>
    </x:row>
    <x:row r="3412">
      <x:c r="A3412" t="str">
        <x:v>18076</x:v>
      </x:c>
      <x:c r="B3412" t="str">
        <x:v>noveldent.ru</x:v>
      </x:c>
      <x:c r="C3412" t="e">
        <x:f>HYPERLINK("https://belberrycrm.bitrix24.ru/crm/deal/details/18076/","https://belberrycrm.bitrix24.ru/crm/deal/details/18076/")</x:f>
      </x:c>
      <x:c r="D3412" t="str">
        <x:v>Телемаркетинг</x:v>
      </x:c>
      <x:c r="E3412" t="str">
        <x:v>К обзвону</x:v>
      </x:c>
      <x:c r="F3412" t="str">
        <x:v>Дарья Исаева</x:v>
      </x:c>
      <x:c r="G3412" t="str">
        <x:v>нет</x:v>
      </x:c>
      <x:c r="H3412" t="str">
        <x:v>нет</x:v>
      </x:c>
    </x:row>
    <x:row r="3413">
      <x:c r="A3413" t="str">
        <x:v>18092</x:v>
      </x:c>
      <x:c r="B3413" t="str">
        <x:v>youcanlive.ru</x:v>
      </x:c>
      <x:c r="C3413" t="e">
        <x:f>HYPERLINK("https://belberrycrm.bitrix24.ru/crm/deal/details/18092/","https://belberrycrm.bitrix24.ru/crm/deal/details/18092/")</x:f>
      </x:c>
      <x:c r="D3413" t="str">
        <x:v>Телемаркетинг</x:v>
      </x:c>
      <x:c r="E3413" t="str">
        <x:v>К обзвону</x:v>
      </x:c>
      <x:c r="F3413" t="str">
        <x:v>Дарья Исаева</x:v>
      </x:c>
      <x:c r="G3413" t="str">
        <x:v>нет</x:v>
      </x:c>
      <x:c r="H3413" t="str">
        <x:v>нет</x:v>
      </x:c>
    </x:row>
    <x:row r="3414">
      <x:c r="A3414" t="str">
        <x:v>18096</x:v>
      </x:c>
      <x:c r="B3414" t="str">
        <x:v>zaffiroclinic.ru</x:v>
      </x:c>
      <x:c r="C3414" t="e">
        <x:f>HYPERLINK("https://belberrycrm.bitrix24.ru/crm/deal/details/18096/","https://belberrycrm.bitrix24.ru/crm/deal/details/18096/")</x:f>
      </x:c>
      <x:c r="D3414" t="str">
        <x:v>Телемаркетинг</x:v>
      </x:c>
      <x:c r="E3414" t="str">
        <x:v>К обзвону</x:v>
      </x:c>
      <x:c r="F3414" t="str">
        <x:v>Дарья Исаева</x:v>
      </x:c>
      <x:c r="G3414" t="str">
        <x:v>нет</x:v>
      </x:c>
      <x:c r="H3414" t="str">
        <x:v>нет</x:v>
      </x:c>
    </x:row>
    <x:row r="3415">
      <x:c r="A3415" t="str">
        <x:v>18100</x:v>
      </x:c>
      <x:c r="B3415" t="str">
        <x:v>zirkondent.ru</x:v>
      </x:c>
      <x:c r="C3415" t="e">
        <x:f>HYPERLINK("https://belberrycrm.bitrix24.ru/crm/deal/details/18100/","https://belberrycrm.bitrix24.ru/crm/deal/details/18100/")</x:f>
      </x:c>
      <x:c r="D3415" t="str">
        <x:v>Телемаркетинг</x:v>
      </x:c>
      <x:c r="E3415" t="str">
        <x:v>К обзвону</x:v>
      </x:c>
      <x:c r="F3415" t="str">
        <x:v>Дарья Исаева</x:v>
      </x:c>
      <x:c r="G3415" t="str">
        <x:v>нет</x:v>
      </x:c>
      <x:c r="H3415" t="str">
        <x:v>нет</x:v>
      </x:c>
    </x:row>
    <x:row r="3416">
      <x:c r="A3416" t="str">
        <x:v>18104</x:v>
      </x:c>
      <x:c r="B3416" t="str">
        <x:v>zubhelp.ru</x:v>
      </x:c>
      <x:c r="C3416" t="e">
        <x:f>HYPERLINK("https://belberrycrm.bitrix24.ru/crm/deal/details/18104/","https://belberrycrm.bitrix24.ru/crm/deal/details/18104/")</x:f>
      </x:c>
      <x:c r="D3416" t="str">
        <x:v>Телемаркетинг</x:v>
      </x:c>
      <x:c r="E3416" t="str">
        <x:v>К обзвону</x:v>
      </x:c>
      <x:c r="F3416" t="str">
        <x:v>Дарья Исаева</x:v>
      </x:c>
      <x:c r="G3416" t="str">
        <x:v>нет</x:v>
      </x:c>
      <x:c r="H3416" t="str">
        <x:v>нет</x:v>
      </x:c>
    </x:row>
    <x:row r="3417">
      <x:c r="A3417" t="str">
        <x:v>18108</x:v>
      </x:c>
      <x:c r="B3417" t="str">
        <x:v>вера-мед.рф</x:v>
      </x:c>
      <x:c r="C3417" t="e">
        <x:f>HYPERLINK("https://belberrycrm.bitrix24.ru/crm/deal/details/18108/","https://belberrycrm.bitrix24.ru/crm/deal/details/18108/")</x:f>
      </x:c>
      <x:c r="D3417" t="str">
        <x:v>Телемаркетинг</x:v>
      </x:c>
      <x:c r="E3417" t="str">
        <x:v>К обзвону</x:v>
      </x:c>
      <x:c r="F3417" t="str">
        <x:v>Дарья Исаева</x:v>
      </x:c>
      <x:c r="G3417" t="str">
        <x:v>нет</x:v>
      </x:c>
      <x:c r="H3417" t="str">
        <x:v>нет</x:v>
      </x:c>
    </x:row>
    <x:row r="3418">
      <x:c r="A3418" t="str">
        <x:v>18110</x:v>
      </x:c>
      <x:c r="B3418" t="str">
        <x:v>wzglyad.ru</x:v>
      </x:c>
      <x:c r="C3418" t="e">
        <x:f>HYPERLINK("https://belberrycrm.bitrix24.ru/crm/deal/details/18110/","https://belberrycrm.bitrix24.ru/crm/deal/details/18110/")</x:f>
      </x:c>
      <x:c r="D3418" t="str">
        <x:v>Телемаркетинг</x:v>
      </x:c>
      <x:c r="E3418" t="str">
        <x:v>К обзвону</x:v>
      </x:c>
      <x:c r="F3418" t="str">
        <x:v>Дарья Исаева</x:v>
      </x:c>
      <x:c r="G3418" t="str">
        <x:v>нет</x:v>
      </x:c>
      <x:c r="H3418" t="str">
        <x:v>нет</x:v>
      </x:c>
    </x:row>
    <x:row r="3419">
      <x:c r="A3419" t="str">
        <x:v>18112</x:v>
      </x:c>
      <x:c r="B3419" t="str">
        <x:v>денткрафт.рф</x:v>
      </x:c>
      <x:c r="C3419" t="e">
        <x:f>HYPERLINK("https://belberrycrm.bitrix24.ru/crm/deal/details/18112/","https://belberrycrm.bitrix24.ru/crm/deal/details/18112/")</x:f>
      </x:c>
      <x:c r="D3419" t="str">
        <x:v>Телемаркетинг</x:v>
      </x:c>
      <x:c r="E3419" t="str">
        <x:v>К обзвону</x:v>
      </x:c>
      <x:c r="F3419" t="str">
        <x:v>Дарья Исаева</x:v>
      </x:c>
      <x:c r="G3419" t="str">
        <x:v>нет</x:v>
      </x:c>
      <x:c r="H3419" t="str">
        <x:v>нет</x:v>
      </x:c>
    </x:row>
    <x:row r="3420">
      <x:c r="A3420" t="str">
        <x:v>18118</x:v>
      </x:c>
      <x:c r="B3420" t="str">
        <x:v>справки-медицинские.рф</x:v>
      </x:c>
      <x:c r="C3420" t="e">
        <x:f>HYPERLINK("https://belberrycrm.bitrix24.ru/crm/deal/details/18118/","https://belberrycrm.bitrix24.ru/crm/deal/details/18118/")</x:f>
      </x:c>
      <x:c r="D3420" t="str">
        <x:v>Телемаркетинг</x:v>
      </x:c>
      <x:c r="E3420" t="str">
        <x:v>К обзвону</x:v>
      </x:c>
      <x:c r="F3420" t="str">
        <x:v>Дарья Исаева</x:v>
      </x:c>
      <x:c r="G3420" t="str">
        <x:v>нет</x:v>
      </x:c>
      <x:c r="H3420" t="str">
        <x:v>нет</x:v>
      </x:c>
    </x:row>
    <x:row r="3421">
      <x:c r="A3421" t="str">
        <x:v>18124</x:v>
      </x:c>
      <x:c r="B3421" t="str">
        <x:v>Mom&amp;Baby</x:v>
      </x:c>
      <x:c r="C3421" t="e">
        <x:f>HYPERLINK("https://belberrycrm.bitrix24.ru/crm/deal/details/18124/","https://belberrycrm.bitrix24.ru/crm/deal/details/18124/")</x:f>
      </x:c>
      <x:c r="D3421" t="str">
        <x:v>Телемаркетинг</x:v>
      </x:c>
      <x:c r="E3421" t="str">
        <x:v>К обзвону</x:v>
      </x:c>
      <x:c r="F3421" t="str">
        <x:v>Дарья Исаева</x:v>
      </x:c>
      <x:c r="G3421" t="str">
        <x:v>нет</x:v>
      </x:c>
      <x:c r="H3421" t="str">
        <x:v>нет</x:v>
      </x:c>
    </x:row>
    <x:row r="3422">
      <x:c r="A3422" t="str">
        <x:v>18126</x:v>
      </x:c>
      <x:c r="B3422" t="str">
        <x:v>evrovetonline.ru</x:v>
      </x:c>
      <x:c r="C3422" t="e">
        <x:f>HYPERLINK("https://belberrycrm.bitrix24.ru/crm/deal/details/18126/","https://belberrycrm.bitrix24.ru/crm/deal/details/18126/")</x:f>
      </x:c>
      <x:c r="D3422" t="str">
        <x:v>Телемаркетинг</x:v>
      </x:c>
      <x:c r="E3422" t="str">
        <x:v>К обзвону</x:v>
      </x:c>
      <x:c r="F3422" t="str">
        <x:v>Дарья Исаева</x:v>
      </x:c>
      <x:c r="G3422" t="str">
        <x:v>нет</x:v>
      </x:c>
      <x:c r="H3422" t="str">
        <x:v>нет</x:v>
      </x:c>
    </x:row>
    <x:row r="3423">
      <x:c r="A3423" t="str">
        <x:v>18130</x:v>
      </x:c>
      <x:c r="B3423" t="str">
        <x:v>medvitam.ru</x:v>
      </x:c>
      <x:c r="C3423" t="e">
        <x:f>HYPERLINK("https://belberrycrm.bitrix24.ru/crm/deal/details/18130/","https://belberrycrm.bitrix24.ru/crm/deal/details/18130/")</x:f>
      </x:c>
      <x:c r="D3423" t="str">
        <x:v>Телемаркетинг</x:v>
      </x:c>
      <x:c r="E3423" t="str">
        <x:v>К обзвону</x:v>
      </x:c>
      <x:c r="F3423" t="str">
        <x:v>Дарья Исаева</x:v>
      </x:c>
      <x:c r="G3423" t="str">
        <x:v>нет</x:v>
      </x:c>
      <x:c r="H3423" t="str">
        <x:v>нет</x:v>
      </x:c>
    </x:row>
    <x:row r="3424">
      <x:c r="A3424" t="str">
        <x:v>18132</x:v>
      </x:c>
      <x:c r="B3424" t="str">
        <x:v>stomit.ru</x:v>
      </x:c>
      <x:c r="C3424" t="e">
        <x:f>HYPERLINK("https://belberrycrm.bitrix24.ru/crm/deal/details/18132/","https://belberrycrm.bitrix24.ru/crm/deal/details/18132/")</x:f>
      </x:c>
      <x:c r="D3424" t="str">
        <x:v>Телемаркетинг</x:v>
      </x:c>
      <x:c r="E3424" t="str">
        <x:v>К обзвону</x:v>
      </x:c>
      <x:c r="F3424" t="str">
        <x:v>Дарья Исаева</x:v>
      </x:c>
      <x:c r="G3424" t="str">
        <x:v>нет</x:v>
      </x:c>
      <x:c r="H3424" t="str">
        <x:v>нет</x:v>
      </x:c>
    </x:row>
    <x:row r="3425">
      <x:c r="A3425" t="str">
        <x:v>18134</x:v>
      </x:c>
      <x:c r="B3425" t="str">
        <x:v>alexdent.su</x:v>
      </x:c>
      <x:c r="C3425" t="e">
        <x:f>HYPERLINK("https://belberrycrm.bitrix24.ru/crm/deal/details/18134/","https://belberrycrm.bitrix24.ru/crm/deal/details/18134/")</x:f>
      </x:c>
      <x:c r="D3425" t="str">
        <x:v>Телемаркетинг</x:v>
      </x:c>
      <x:c r="E3425" t="str">
        <x:v>К обзвону</x:v>
      </x:c>
      <x:c r="F3425" t="str">
        <x:v>Дарья Исаева</x:v>
      </x:c>
      <x:c r="G3425" t="str">
        <x:v>нет</x:v>
      </x:c>
      <x:c r="H3425" t="str">
        <x:v>нет</x:v>
      </x:c>
    </x:row>
    <x:row r="3426">
      <x:c r="A3426" t="str">
        <x:v>18136</x:v>
      </x:c>
      <x:c r="B3426" t="str">
        <x:v>dentaklinik.ru</x:v>
      </x:c>
      <x:c r="C3426" t="e">
        <x:f>HYPERLINK("https://belberrycrm.bitrix24.ru/crm/deal/details/18136/","https://belberrycrm.bitrix24.ru/crm/deal/details/18136/")</x:f>
      </x:c>
      <x:c r="D3426" t="str">
        <x:v>Телемаркетинг</x:v>
      </x:c>
      <x:c r="E3426" t="str">
        <x:v>К обзвону</x:v>
      </x:c>
      <x:c r="F3426" t="str">
        <x:v>Дарья Исаева</x:v>
      </x:c>
      <x:c r="G3426" t="str">
        <x:v>нет</x:v>
      </x:c>
      <x:c r="H3426" t="str">
        <x:v>нет</x:v>
      </x:c>
    </x:row>
    <x:row r="3427">
      <x:c r="A3427" t="str">
        <x:v>18140</x:v>
      </x:c>
      <x:c r="B3427" t="str">
        <x:v>dentaprestige.ru</x:v>
      </x:c>
      <x:c r="C3427" t="e">
        <x:f>HYPERLINK("https://belberrycrm.bitrix24.ru/crm/deal/details/18140/","https://belberrycrm.bitrix24.ru/crm/deal/details/18140/")</x:f>
      </x:c>
      <x:c r="D3427" t="str">
        <x:v>Телемаркетинг</x:v>
      </x:c>
      <x:c r="E3427" t="str">
        <x:v>К обзвону</x:v>
      </x:c>
      <x:c r="F3427" t="str">
        <x:v>Дарья Исаева</x:v>
      </x:c>
      <x:c r="G3427" t="str">
        <x:v>нет</x:v>
      </x:c>
      <x:c r="H3427" t="str">
        <x:v>нет</x:v>
      </x:c>
    </x:row>
    <x:row r="3428">
      <x:c r="A3428" t="str">
        <x:v>18144</x:v>
      </x:c>
      <x:c r="B3428" t="str">
        <x:v>dentonclinic.ru</x:v>
      </x:c>
      <x:c r="C3428" t="e">
        <x:f>HYPERLINK("https://belberrycrm.bitrix24.ru/crm/deal/details/18144/","https://belberrycrm.bitrix24.ru/crm/deal/details/18144/")</x:f>
      </x:c>
      <x:c r="D3428" t="str">
        <x:v>Телемаркетинг</x:v>
      </x:c>
      <x:c r="E3428" t="str">
        <x:v>К обзвону</x:v>
      </x:c>
      <x:c r="F3428" t="str">
        <x:v>Дарья Исаева</x:v>
      </x:c>
      <x:c r="G3428" t="str">
        <x:v>нет</x:v>
      </x:c>
      <x:c r="H3428" t="str">
        <x:v>нет</x:v>
      </x:c>
    </x:row>
    <x:row r="3429">
      <x:c r="A3429" t="str">
        <x:v>18164</x:v>
      </x:c>
      <x:c r="B3429" t="str">
        <x:v>epi-jay.ru</x:v>
      </x:c>
      <x:c r="C3429" t="e">
        <x:f>HYPERLINK("https://belberrycrm.bitrix24.ru/crm/deal/details/18164/","https://belberrycrm.bitrix24.ru/crm/deal/details/18164/")</x:f>
      </x:c>
      <x:c r="D3429" t="str">
        <x:v>Телемаркетинг</x:v>
      </x:c>
      <x:c r="E3429" t="str">
        <x:v>К обзвону</x:v>
      </x:c>
      <x:c r="F3429" t="str">
        <x:v>Дарья Исаева</x:v>
      </x:c>
      <x:c r="G3429" t="str">
        <x:v>нет</x:v>
      </x:c>
      <x:c r="H3429" t="str">
        <x:v>нет</x:v>
      </x:c>
    </x:row>
    <x:row r="3430">
      <x:c r="A3430" t="str">
        <x:v>18166</x:v>
      </x:c>
      <x:c r="B3430" t="str">
        <x:v>stomcity.ru</x:v>
      </x:c>
      <x:c r="C3430" t="e">
        <x:f>HYPERLINK("https://belberrycrm.bitrix24.ru/crm/deal/details/18166/","https://belberrycrm.bitrix24.ru/crm/deal/details/18166/")</x:f>
      </x:c>
      <x:c r="D3430" t="str">
        <x:v>Телемаркетинг</x:v>
      </x:c>
      <x:c r="E3430" t="str">
        <x:v>К обзвону</x:v>
      </x:c>
      <x:c r="F3430" t="str">
        <x:v>Дарья Исаева</x:v>
      </x:c>
      <x:c r="G3430" t="str">
        <x:v>нет</x:v>
      </x:c>
      <x:c r="H3430" t="str">
        <x:v>нет</x:v>
      </x:c>
    </x:row>
    <x:row r="3431">
      <x:c r="A3431" t="str">
        <x:v>18168</x:v>
      </x:c>
      <x:c r="B3431" t="str">
        <x:v>novoepokoleniest.ru</x:v>
      </x:c>
      <x:c r="C3431" t="e">
        <x:f>HYPERLINK("https://belberrycrm.bitrix24.ru/crm/deal/details/18168/","https://belberrycrm.bitrix24.ru/crm/deal/details/18168/")</x:f>
      </x:c>
      <x:c r="D3431" t="str">
        <x:v>Телемаркетинг</x:v>
      </x:c>
      <x:c r="E3431" t="str">
        <x:v>К обзвону</x:v>
      </x:c>
      <x:c r="F3431" t="str">
        <x:v>Дарья Исаева</x:v>
      </x:c>
      <x:c r="G3431" t="str">
        <x:v>нет</x:v>
      </x:c>
      <x:c r="H3431" t="str">
        <x:v>нет</x:v>
      </x:c>
    </x:row>
    <x:row r="3432">
      <x:c r="A3432" t="str">
        <x:v>18170</x:v>
      </x:c>
      <x:c r="B3432" t="str">
        <x:v>go-med.ru</x:v>
      </x:c>
      <x:c r="C3432" t="e">
        <x:f>HYPERLINK("https://belberrycrm.bitrix24.ru/crm/deal/details/18170/","https://belberrycrm.bitrix24.ru/crm/deal/details/18170/")</x:f>
      </x:c>
      <x:c r="D3432" t="str">
        <x:v>Телемаркетинг</x:v>
      </x:c>
      <x:c r="E3432" t="str">
        <x:v>К обзвону</x:v>
      </x:c>
      <x:c r="F3432" t="str">
        <x:v>Дарья Исаева</x:v>
      </x:c>
      <x:c r="G3432" t="str">
        <x:v>нет</x:v>
      </x:c>
      <x:c r="H3432" t="str">
        <x:v>нет</x:v>
      </x:c>
    </x:row>
    <x:row r="3433">
      <x:c r="A3433" t="str">
        <x:v>18172</x:v>
      </x:c>
      <x:c r="B3433" t="str">
        <x:v>dn-klinik.ru</x:v>
      </x:c>
      <x:c r="C3433" t="e">
        <x:f>HYPERLINK("https://belberrycrm.bitrix24.ru/crm/deal/details/18172/","https://belberrycrm.bitrix24.ru/crm/deal/details/18172/")</x:f>
      </x:c>
      <x:c r="D3433" t="str">
        <x:v>Телемаркетинг</x:v>
      </x:c>
      <x:c r="E3433" t="str">
        <x:v>К обзвону</x:v>
      </x:c>
      <x:c r="F3433" t="str">
        <x:v>Дарья Исаева</x:v>
      </x:c>
      <x:c r="G3433" t="str">
        <x:v>нет</x:v>
      </x:c>
      <x:c r="H3433" t="str">
        <x:v>нет</x:v>
      </x:c>
    </x:row>
    <x:row r="3434">
      <x:c r="A3434" t="str">
        <x:v>18174</x:v>
      </x:c>
      <x:c r="B3434" t="str">
        <x:v>fdclinics.ru</x:v>
      </x:c>
      <x:c r="C3434" t="e">
        <x:f>HYPERLINK("https://belberrycrm.bitrix24.ru/crm/deal/details/18174/","https://belberrycrm.bitrix24.ru/crm/deal/details/18174/")</x:f>
      </x:c>
      <x:c r="D3434" t="str">
        <x:v>Телемаркетинг</x:v>
      </x:c>
      <x:c r="E3434" t="str">
        <x:v>К обзвону</x:v>
      </x:c>
      <x:c r="F3434" t="str">
        <x:v>Дарья Исаева</x:v>
      </x:c>
      <x:c r="G3434" t="str">
        <x:v>нет</x:v>
      </x:c>
      <x:c r="H3434" t="str">
        <x:v>нет</x:v>
      </x:c>
    </x:row>
    <x:row r="3435">
      <x:c r="A3435" t="str">
        <x:v>18176</x:v>
      </x:c>
      <x:c r="B3435" t="str">
        <x:v>денталклиник.рф</x:v>
      </x:c>
      <x:c r="C3435" t="e">
        <x:f>HYPERLINK("https://belberrycrm.bitrix24.ru/crm/deal/details/18176/","https://belberrycrm.bitrix24.ru/crm/deal/details/18176/")</x:f>
      </x:c>
      <x:c r="D3435" t="str">
        <x:v>Телемаркетинг</x:v>
      </x:c>
      <x:c r="E3435" t="str">
        <x:v>К обзвону</x:v>
      </x:c>
      <x:c r="F3435" t="str">
        <x:v>Дарья Исаева</x:v>
      </x:c>
      <x:c r="G3435" t="str">
        <x:v>нет</x:v>
      </x:c>
      <x:c r="H3435" t="str">
        <x:v>нет</x:v>
      </x:c>
    </x:row>
    <x:row r="3436">
      <x:c r="A3436" t="str">
        <x:v>18186</x:v>
      </x:c>
      <x:c r="B3436" t="str">
        <x:v>online-mrt.ru</x:v>
      </x:c>
      <x:c r="C3436" t="e">
        <x:f>HYPERLINK("https://belberrycrm.bitrix24.ru/crm/deal/details/18186/","https://belberrycrm.bitrix24.ru/crm/deal/details/18186/")</x:f>
      </x:c>
      <x:c r="D3436" t="str">
        <x:v>Телемаркетинг</x:v>
      </x:c>
      <x:c r="E3436" t="str">
        <x:v>К обзвону</x:v>
      </x:c>
      <x:c r="F3436" t="str">
        <x:v>Дарья Исаева</x:v>
      </x:c>
      <x:c r="G3436" t="str">
        <x:v>нет</x:v>
      </x:c>
      <x:c r="H3436" t="str">
        <x:v>нет</x:v>
      </x:c>
    </x:row>
    <x:row r="3437">
      <x:c r="A3437" t="str">
        <x:v>18190</x:v>
      </x:c>
      <x:c r="B3437" t="str">
        <x:v>mc-zp.ru</x:v>
      </x:c>
      <x:c r="C3437" t="e">
        <x:f>HYPERLINK("https://belberrycrm.bitrix24.ru/crm/deal/details/18190/","https://belberrycrm.bitrix24.ru/crm/deal/details/18190/")</x:f>
      </x:c>
      <x:c r="D3437" t="str">
        <x:v>Телемаркетинг</x:v>
      </x:c>
      <x:c r="E3437" t="str">
        <x:v>К обзвону</x:v>
      </x:c>
      <x:c r="F3437" t="str">
        <x:v>Дарья Исаева</x:v>
      </x:c>
      <x:c r="G3437" t="str">
        <x:v>нет</x:v>
      </x:c>
      <x:c r="H3437" t="str">
        <x:v>нет</x:v>
      </x:c>
    </x:row>
    <x:row r="3438">
      <x:c r="A3438" t="str">
        <x:v>18218</x:v>
      </x:c>
      <x:c r="B3438" t="str">
        <x:v>dental-d.ru</x:v>
      </x:c>
      <x:c r="C3438" t="e">
        <x:f>HYPERLINK("https://belberrycrm.bitrix24.ru/crm/deal/details/18218/","https://belberrycrm.bitrix24.ru/crm/deal/details/18218/")</x:f>
      </x:c>
      <x:c r="D3438" t="str">
        <x:v>Телемаркетинг</x:v>
      </x:c>
      <x:c r="E3438" t="str">
        <x:v>К обзвону</x:v>
      </x:c>
      <x:c r="F3438" t="str">
        <x:v>Дарья Исаева</x:v>
      </x:c>
      <x:c r="G3438" t="str">
        <x:v>нет</x:v>
      </x:c>
      <x:c r="H3438" t="str">
        <x:v>нет</x:v>
      </x:c>
    </x:row>
    <x:row r="3439">
      <x:c r="A3439" t="str">
        <x:v>18226</x:v>
      </x:c>
      <x:c r="B3439" t="str">
        <x:v>aysi-farm.ru</x:v>
      </x:c>
      <x:c r="C3439" t="e">
        <x:f>HYPERLINK("https://belberrycrm.bitrix24.ru/crm/deal/details/18226/","https://belberrycrm.bitrix24.ru/crm/deal/details/18226/")</x:f>
      </x:c>
      <x:c r="D3439" t="str">
        <x:v>Телемаркетинг</x:v>
      </x:c>
      <x:c r="E3439" t="str">
        <x:v>К обзвону</x:v>
      </x:c>
      <x:c r="F3439" t="str">
        <x:v>Дарья Исаева</x:v>
      </x:c>
      <x:c r="G3439" t="str">
        <x:v>нет</x:v>
      </x:c>
      <x:c r="H3439" t="str">
        <x:v>нет</x:v>
      </x:c>
    </x:row>
    <x:row r="3440">
      <x:c r="A3440" t="str">
        <x:v>18230</x:v>
      </x:c>
      <x:c r="B3440" t="str">
        <x:v>beclinics.ru</x:v>
      </x:c>
      <x:c r="C3440" t="e">
        <x:f>HYPERLINK("https://belberrycrm.bitrix24.ru/crm/deal/details/18230/","https://belberrycrm.bitrix24.ru/crm/deal/details/18230/")</x:f>
      </x:c>
      <x:c r="D3440" t="str">
        <x:v>Телемаркетинг</x:v>
      </x:c>
      <x:c r="E3440" t="str">
        <x:v>К обзвону</x:v>
      </x:c>
      <x:c r="F3440" t="str">
        <x:v>Дарья Исаева</x:v>
      </x:c>
      <x:c r="G3440" t="str">
        <x:v>нет</x:v>
      </x:c>
      <x:c r="H3440" t="str">
        <x:v>нет</x:v>
      </x:c>
    </x:row>
    <x:row r="3441">
      <x:c r="A3441" t="str">
        <x:v>18232</x:v>
      </x:c>
      <x:c r="B3441" t="str">
        <x:v>botkinhosp.org</x:v>
      </x:c>
      <x:c r="C3441" t="e">
        <x:f>HYPERLINK("https://belberrycrm.bitrix24.ru/crm/deal/details/18232/","https://belberrycrm.bitrix24.ru/crm/deal/details/18232/")</x:f>
      </x:c>
      <x:c r="D3441" t="str">
        <x:v>Телемаркетинг</x:v>
      </x:c>
      <x:c r="E3441" t="str">
        <x:v>К обзвону</x:v>
      </x:c>
      <x:c r="F3441" t="str">
        <x:v>Дарья Исаева</x:v>
      </x:c>
      <x:c r="G3441" t="str">
        <x:v>да</x:v>
      </x:c>
      <x:c r="H3441" t="str">
        <x:v>нет</x:v>
      </x:c>
    </x:row>
    <x:row r="3442">
      <x:c r="A3442" t="str">
        <x:v>18238</x:v>
      </x:c>
      <x:c r="B3442" t="str">
        <x:v>chestnayaklinika.ru</x:v>
      </x:c>
      <x:c r="C3442" t="e">
        <x:f>HYPERLINK("https://belberrycrm.bitrix24.ru/crm/deal/details/18238/","https://belberrycrm.bitrix24.ru/crm/deal/details/18238/")</x:f>
      </x:c>
      <x:c r="D3442" t="str">
        <x:v>Телемаркетинг</x:v>
      </x:c>
      <x:c r="E3442" t="str">
        <x:v>К обзвону</x:v>
      </x:c>
      <x:c r="F3442" t="str">
        <x:v>Дарья Исаева</x:v>
      </x:c>
      <x:c r="G3442" t="str">
        <x:v>нет</x:v>
      </x:c>
      <x:c r="H3442" t="str">
        <x:v>нет</x:v>
      </x:c>
    </x:row>
    <x:row r="3443">
      <x:c r="A3443" t="str">
        <x:v>18240</x:v>
      </x:c>
      <x:c r="B3443" t="str">
        <x:v>childhiv.ru</x:v>
      </x:c>
      <x:c r="C3443" t="e">
        <x:f>HYPERLINK("https://belberrycrm.bitrix24.ru/crm/deal/details/18240/","https://belberrycrm.bitrix24.ru/crm/deal/details/18240/")</x:f>
      </x:c>
      <x:c r="D3443" t="str">
        <x:v>Телемаркетинг</x:v>
      </x:c>
      <x:c r="E3443" t="str">
        <x:v>К обзвону</x:v>
      </x:c>
      <x:c r="F3443" t="str">
        <x:v>Дарья Исаева</x:v>
      </x:c>
      <x:c r="G3443" t="str">
        <x:v>да</x:v>
      </x:c>
      <x:c r="H3443" t="str">
        <x:v>нет</x:v>
      </x:c>
    </x:row>
    <x:row r="3444">
      <x:c r="A3444" t="str">
        <x:v>18242</x:v>
      </x:c>
      <x:c r="B3444" t="str">
        <x:v>clinicaspectr.ru</x:v>
      </x:c>
      <x:c r="C3444" t="e">
        <x:f>HYPERLINK("https://belberrycrm.bitrix24.ru/crm/deal/details/18242/","https://belberrycrm.bitrix24.ru/crm/deal/details/18242/")</x:f>
      </x:c>
      <x:c r="D3444" t="str">
        <x:v>Телемаркетинг</x:v>
      </x:c>
      <x:c r="E3444" t="str">
        <x:v>К обзвону</x:v>
      </x:c>
      <x:c r="F3444" t="str">
        <x:v>Дарья Исаева</x:v>
      </x:c>
      <x:c r="G3444" t="str">
        <x:v>нет</x:v>
      </x:c>
      <x:c r="H3444" t="str">
        <x:v>нет</x:v>
      </x:c>
    </x:row>
    <x:row r="3445">
      <x:c r="A3445" t="str">
        <x:v>18246</x:v>
      </x:c>
      <x:c r="B3445" t="str">
        <x:v>clinik-profi.ru</x:v>
      </x:c>
      <x:c r="C3445" t="e">
        <x:f>HYPERLINK("https://belberrycrm.bitrix24.ru/crm/deal/details/18246/","https://belberrycrm.bitrix24.ru/crm/deal/details/18246/")</x:f>
      </x:c>
      <x:c r="D3445" t="str">
        <x:v>Телемаркетинг</x:v>
      </x:c>
      <x:c r="E3445" t="str">
        <x:v>К обзвону</x:v>
      </x:c>
      <x:c r="F3445" t="str">
        <x:v>Дарья Исаева</x:v>
      </x:c>
      <x:c r="G3445" t="str">
        <x:v>нет</x:v>
      </x:c>
      <x:c r="H3445" t="str">
        <x:v>нет</x:v>
      </x:c>
    </x:row>
    <x:row r="3446">
      <x:c r="A3446" t="str">
        <x:v>18248</x:v>
      </x:c>
      <x:c r="B3446" t="str">
        <x:v>darling-med.ru</x:v>
      </x:c>
      <x:c r="C3446" t="e">
        <x:f>HYPERLINK("https://belberrycrm.bitrix24.ru/crm/deal/details/18248/","https://belberrycrm.bitrix24.ru/crm/deal/details/18248/")</x:f>
      </x:c>
      <x:c r="D3446" t="str">
        <x:v>Телемаркетинг</x:v>
      </x:c>
      <x:c r="E3446" t="str">
        <x:v>К обзвону</x:v>
      </x:c>
      <x:c r="F3446" t="str">
        <x:v>Дарья Исаева</x:v>
      </x:c>
      <x:c r="G3446" t="str">
        <x:v>нет</x:v>
      </x:c>
      <x:c r="H3446" t="str">
        <x:v>нет</x:v>
      </x:c>
    </x:row>
    <x:row r="3447">
      <x:c r="A3447" t="str">
        <x:v>18254</x:v>
      </x:c>
      <x:c r="B3447" t="str">
        <x:v>dentalstu.ru</x:v>
      </x:c>
      <x:c r="C3447" t="e">
        <x:f>HYPERLINK("https://belberrycrm.bitrix24.ru/crm/deal/details/18254/","https://belberrycrm.bitrix24.ru/crm/deal/details/18254/")</x:f>
      </x:c>
      <x:c r="D3447" t="str">
        <x:v>Телемаркетинг</x:v>
      </x:c>
      <x:c r="E3447" t="str">
        <x:v>К обзвону</x:v>
      </x:c>
      <x:c r="F3447" t="str">
        <x:v>Дарья Исаева</x:v>
      </x:c>
      <x:c r="G3447" t="str">
        <x:v>нет</x:v>
      </x:c>
      <x:c r="H3447" t="str">
        <x:v>нет</x:v>
      </x:c>
    </x:row>
    <x:row r="3448">
      <x:c r="A3448" t="str">
        <x:v>18256</x:v>
      </x:c>
      <x:c r="B3448" t="str">
        <x:v>denta-praktik.ru</x:v>
      </x:c>
      <x:c r="C3448" t="e">
        <x:f>HYPERLINK("https://belberrycrm.bitrix24.ru/crm/deal/details/18256/","https://belberrycrm.bitrix24.ru/crm/deal/details/18256/")</x:f>
      </x:c>
      <x:c r="D3448" t="str">
        <x:v>Телемаркетинг</x:v>
      </x:c>
      <x:c r="E3448" t="str">
        <x:v>К обзвону</x:v>
      </x:c>
      <x:c r="F3448" t="str">
        <x:v>Дарья Исаева</x:v>
      </x:c>
      <x:c r="G3448" t="str">
        <x:v>нет</x:v>
      </x:c>
      <x:c r="H3448" t="str">
        <x:v>нет</x:v>
      </x:c>
    </x:row>
    <x:row r="3449">
      <x:c r="A3449" t="str">
        <x:v>18258</x:v>
      </x:c>
      <x:c r="B3449" t="str">
        <x:v>dentastil.ru</x:v>
      </x:c>
      <x:c r="C3449" t="e">
        <x:f>HYPERLINK("https://belberrycrm.bitrix24.ru/crm/deal/details/18258/","https://belberrycrm.bitrix24.ru/crm/deal/details/18258/")</x:f>
      </x:c>
      <x:c r="D3449" t="str">
        <x:v>Телемаркетинг</x:v>
      </x:c>
      <x:c r="E3449" t="str">
        <x:v>К обзвону</x:v>
      </x:c>
      <x:c r="F3449" t="str">
        <x:v>Дарья Исаева</x:v>
      </x:c>
      <x:c r="G3449" t="str">
        <x:v>нет</x:v>
      </x:c>
      <x:c r="H3449" t="str">
        <x:v>нет</x:v>
      </x:c>
    </x:row>
    <x:row r="3450">
      <x:c r="A3450" t="str">
        <x:v>18260</x:v>
      </x:c>
      <x:c r="B3450" t="str">
        <x:v>dentoprofile.ru</x:v>
      </x:c>
      <x:c r="C3450" t="e">
        <x:f>HYPERLINK("https://belberrycrm.bitrix24.ru/crm/deal/details/18260/","https://belberrycrm.bitrix24.ru/crm/deal/details/18260/")</x:f>
      </x:c>
      <x:c r="D3450" t="str">
        <x:v>Телемаркетинг</x:v>
      </x:c>
      <x:c r="E3450" t="str">
        <x:v>К обзвону</x:v>
      </x:c>
      <x:c r="F3450" t="str">
        <x:v>Дарья Исаева</x:v>
      </x:c>
      <x:c r="G3450" t="str">
        <x:v>нет</x:v>
      </x:c>
      <x:c r="H3450" t="str">
        <x:v>нет</x:v>
      </x:c>
    </x:row>
    <x:row r="3451">
      <x:c r="A3451" t="str">
        <x:v>18262</x:v>
      </x:c>
      <x:c r="B3451" t="str">
        <x:v>dentpro.ru</x:v>
      </x:c>
      <x:c r="C3451" t="e">
        <x:f>HYPERLINK("https://belberrycrm.bitrix24.ru/crm/deal/details/18262/","https://belberrycrm.bitrix24.ru/crm/deal/details/18262/")</x:f>
      </x:c>
      <x:c r="D3451" t="str">
        <x:v>Телемаркетинг</x:v>
      </x:c>
      <x:c r="E3451" t="str">
        <x:v>К обзвону</x:v>
      </x:c>
      <x:c r="F3451" t="str">
        <x:v>Дарья Исаева</x:v>
      </x:c>
      <x:c r="G3451" t="str">
        <x:v>нет</x:v>
      </x:c>
      <x:c r="H3451" t="str">
        <x:v>нет</x:v>
      </x:c>
    </x:row>
    <x:row r="3452">
      <x:c r="A3452" t="str">
        <x:v>18276</x:v>
      </x:c>
      <x:c r="B3452" t="str">
        <x:v>kdcgsh.mil.ru</x:v>
      </x:c>
      <x:c r="C3452" t="e">
        <x:f>HYPERLINK("https://belberrycrm.bitrix24.ru/crm/deal/details/18276/","https://belberrycrm.bitrix24.ru/crm/deal/details/18276/")</x:f>
      </x:c>
      <x:c r="D3452" t="str">
        <x:v>Телемаркетинг</x:v>
      </x:c>
      <x:c r="E3452" t="str">
        <x:v>К обзвону</x:v>
      </x:c>
      <x:c r="F3452" t="str">
        <x:v>Дарья Исаева</x:v>
      </x:c>
      <x:c r="G3452" t="str">
        <x:v>да</x:v>
      </x:c>
      <x:c r="H3452" t="str">
        <x:v>нет</x:v>
      </x:c>
    </x:row>
    <x:row r="3453">
      <x:c r="A3453" t="str">
        <x:v>18288</x:v>
      </x:c>
      <x:c r="B3453" t="str">
        <x:v>ligovsky94.ru</x:v>
      </x:c>
      <x:c r="C3453" t="e">
        <x:f>HYPERLINK("https://belberrycrm.bitrix24.ru/crm/deal/details/18288/","https://belberrycrm.bitrix24.ru/crm/deal/details/18288/")</x:f>
      </x:c>
      <x:c r="D3453" t="str">
        <x:v>Телемаркетинг</x:v>
      </x:c>
      <x:c r="E3453" t="str">
        <x:v>К обзвону</x:v>
      </x:c>
      <x:c r="F3453" t="str">
        <x:v>Дарья Исаева</x:v>
      </x:c>
      <x:c r="G3453" t="str">
        <x:v>нет</x:v>
      </x:c>
      <x:c r="H3453" t="str">
        <x:v>нет</x:v>
      </x:c>
    </x:row>
    <x:row r="3454">
      <x:c r="A3454" t="str">
        <x:v>18292</x:v>
      </x:c>
      <x:c r="B3454" t="str">
        <x:v>millionyablok.ru</x:v>
      </x:c>
      <x:c r="C3454" t="e">
        <x:f>HYPERLINK("https://belberrycrm.bitrix24.ru/crm/deal/details/18292/","https://belberrycrm.bitrix24.ru/crm/deal/details/18292/")</x:f>
      </x:c>
      <x:c r="D3454" t="str">
        <x:v>Телемаркетинг</x:v>
      </x:c>
      <x:c r="E3454" t="str">
        <x:v>К обзвону</x:v>
      </x:c>
      <x:c r="F3454" t="str">
        <x:v>Дарья Исаева</x:v>
      </x:c>
      <x:c r="G3454" t="str">
        <x:v>нет</x:v>
      </x:c>
      <x:c r="H3454" t="str">
        <x:v>нет</x:v>
      </x:c>
    </x:row>
    <x:row r="3455">
      <x:c r="A3455" t="str">
        <x:v>18312</x:v>
      </x:c>
      <x:c r="B3455" t="str">
        <x:v>ventadetn.wixsite.com</x:v>
      </x:c>
      <x:c r="C3455" t="e">
        <x:f>HYPERLINK("https://belberrycrm.bitrix24.ru/crm/deal/details/18312/","https://belberrycrm.bitrix24.ru/crm/deal/details/18312/")</x:f>
      </x:c>
      <x:c r="D3455" t="str">
        <x:v>Телемаркетинг</x:v>
      </x:c>
      <x:c r="E3455" t="str">
        <x:v>К обзвону</x:v>
      </x:c>
      <x:c r="F3455" t="str">
        <x:v>Дарья Исаева</x:v>
      </x:c>
      <x:c r="G3455" t="str">
        <x:v>нет</x:v>
      </x:c>
      <x:c r="H3455" t="str">
        <x:v>нет</x:v>
      </x:c>
    </x:row>
    <x:row r="3456">
      <x:c r="A3456" t="str">
        <x:v>18316</x:v>
      </x:c>
      <x:c r="B3456" t="str">
        <x:v>wai-thai-beauty.ru</x:v>
      </x:c>
      <x:c r="C3456" t="e">
        <x:f>HYPERLINK("https://belberrycrm.bitrix24.ru/crm/deal/details/18316/","https://belberrycrm.bitrix24.ru/crm/deal/details/18316/")</x:f>
      </x:c>
      <x:c r="D3456" t="str">
        <x:v>Телемаркетинг</x:v>
      </x:c>
      <x:c r="E3456" t="str">
        <x:v>К обзвону</x:v>
      </x:c>
      <x:c r="F3456" t="str">
        <x:v>Дарья Исаева</x:v>
      </x:c>
      <x:c r="G3456" t="str">
        <x:v>нет</x:v>
      </x:c>
      <x:c r="H3456" t="str">
        <x:v>нет</x:v>
      </x:c>
    </x:row>
    <x:row r="3457">
      <x:c r="A3457" t="str">
        <x:v>18318</x:v>
      </x:c>
      <x:c r="B3457" t="str">
        <x:v>мороздгкб.рф</x:v>
      </x:c>
      <x:c r="C3457" t="e">
        <x:f>HYPERLINK("https://belberrycrm.bitrix24.ru/crm/deal/details/18318/","https://belberrycrm.bitrix24.ru/crm/deal/details/18318/")</x:f>
      </x:c>
      <x:c r="D3457" t="str">
        <x:v>Телемаркетинг</x:v>
      </x:c>
      <x:c r="E3457" t="str">
        <x:v>К обзвону</x:v>
      </x:c>
      <x:c r="F3457" t="str">
        <x:v>Дарья Исаева</x:v>
      </x:c>
      <x:c r="G3457" t="str">
        <x:v>да</x:v>
      </x:c>
      <x:c r="H3457" t="str">
        <x:v>нет</x:v>
      </x:c>
    </x:row>
    <x:row r="3458">
      <x:c r="A3458" t="str">
        <x:v>18328</x:v>
      </x:c>
      <x:c r="B3458" t="str">
        <x:v>empiredent.ru</x:v>
      </x:c>
      <x:c r="C3458" t="e">
        <x:f>HYPERLINK("https://belberrycrm.bitrix24.ru/crm/deal/details/18328/","https://belberrycrm.bitrix24.ru/crm/deal/details/18328/")</x:f>
      </x:c>
      <x:c r="D3458" t="str">
        <x:v>Телемаркетинг</x:v>
      </x:c>
      <x:c r="E3458" t="str">
        <x:v>К обзвону</x:v>
      </x:c>
      <x:c r="F3458" t="str">
        <x:v>Дарья Исаева</x:v>
      </x:c>
      <x:c r="G3458" t="str">
        <x:v>нет</x:v>
      </x:c>
      <x:c r="H3458" t="str">
        <x:v>нет</x:v>
      </x:c>
    </x:row>
    <x:row r="3459">
      <x:c r="A3459" t="str">
        <x:v>18330</x:v>
      </x:c>
      <x:c r="B3459" t="str">
        <x:v>Александр</x:v>
      </x:c>
      <x:c r="C3459" t="e">
        <x:f>HYPERLINK("https://belberrycrm.bitrix24.ru/crm/deal/details/18330/","https://belberrycrm.bitrix24.ru/crm/deal/details/18330/")</x:f>
      </x:c>
      <x:c r="D3459" t="str">
        <x:v>Телемаркетинг</x:v>
      </x:c>
      <x:c r="E3459" t="str">
        <x:v>К обзвону</x:v>
      </x:c>
      <x:c r="F3459" t="str">
        <x:v>Дарья Исаева</x:v>
      </x:c>
      <x:c r="G3459" t="str">
        <x:v>нет</x:v>
      </x:c>
      <x:c r="H3459" t="str">
        <x:v>нет</x:v>
      </x:c>
    </x:row>
    <x:row r="3460">
      <x:c r="A3460" t="str">
        <x:v>18342</x:v>
      </x:c>
      <x:c r="B3460" t="str">
        <x:v>apico.pro</x:v>
      </x:c>
      <x:c r="C3460" t="e">
        <x:f>HYPERLINK("https://belberrycrm.bitrix24.ru/crm/deal/details/18342/","https://belberrycrm.bitrix24.ru/crm/deal/details/18342/")</x:f>
      </x:c>
      <x:c r="D3460" t="str">
        <x:v>Телемаркетинг</x:v>
      </x:c>
      <x:c r="E3460" t="str">
        <x:v>К обзвону</x:v>
      </x:c>
      <x:c r="F3460" t="str">
        <x:v>Дарья Исаева</x:v>
      </x:c>
      <x:c r="G3460" t="str">
        <x:v>нет</x:v>
      </x:c>
      <x:c r="H3460" t="str">
        <x:v>нет</x:v>
      </x:c>
    </x:row>
    <x:row r="3461">
      <x:c r="A3461" t="str">
        <x:v>18366</x:v>
      </x:c>
      <x:c r="B3461" t="str">
        <x:v>Маргарита</x:v>
      </x:c>
      <x:c r="C3461" t="e">
        <x:f>HYPERLINK("https://belberrycrm.bitrix24.ru/crm/deal/details/18366/","https://belberrycrm.bitrix24.ru/crm/deal/details/18366/")</x:f>
      </x:c>
      <x:c r="D3461" t="str">
        <x:v>Телемаркетинг</x:v>
      </x:c>
      <x:c r="E3461" t="str">
        <x:v>К обзвону</x:v>
      </x:c>
      <x:c r="F3461" t="str">
        <x:v>Дарья Исаева</x:v>
      </x:c>
      <x:c r="G3461" t="str">
        <x:v>нет</x:v>
      </x:c>
      <x:c r="H3461" t="str">
        <x:v>нет</x:v>
      </x:c>
    </x:row>
    <x:row r="3462">
      <x:c r="A3462" t="str">
        <x:v>18408</x:v>
      </x:c>
      <x:c r="B3462" t="str">
        <x:v>olinas.ru</x:v>
      </x:c>
      <x:c r="C3462" t="e">
        <x:f>HYPERLINK("https://belberrycrm.bitrix24.ru/crm/deal/details/18408/","https://belberrycrm.bitrix24.ru/crm/deal/details/18408/")</x:f>
      </x:c>
      <x:c r="D3462" t="str">
        <x:v>Телемаркетинг</x:v>
      </x:c>
      <x:c r="E3462" t="str">
        <x:v>К обзвону</x:v>
      </x:c>
      <x:c r="F3462" t="str">
        <x:v>Елизавета Деговцова</x:v>
      </x:c>
      <x:c r="G3462" t="str">
        <x:v>нет</x:v>
      </x:c>
      <x:c r="H3462" t="str">
        <x:v>нет</x:v>
      </x:c>
    </x:row>
    <x:row r="3463">
      <x:c r="A3463" t="str">
        <x:v>18556</x:v>
      </x:c>
      <x:c r="B3463" t="str">
        <x:v>Hello-Center.ru</x:v>
      </x:c>
      <x:c r="C3463" t="e">
        <x:f>HYPERLINK("https://belberrycrm.bitrix24.ru/crm/deal/details/18556/","https://belberrycrm.bitrix24.ru/crm/deal/details/18556/")</x:f>
      </x:c>
      <x:c r="D3463" t="str">
        <x:v>Телемаркетинг</x:v>
      </x:c>
      <x:c r="E3463" t="str">
        <x:v>К обзвону</x:v>
      </x:c>
      <x:c r="F3463" t="str">
        <x:v>Елизавета Деговцова</x:v>
      </x:c>
      <x:c r="G3463" t="str">
        <x:v>да</x:v>
      </x:c>
      <x:c r="H3463" t="str">
        <x:v>нет</x:v>
      </x:c>
    </x:row>
    <x:row r="3464">
      <x:c r="A3464" t="str">
        <x:v>18616</x:v>
      </x:c>
      <x:c r="B3464" t="str">
        <x:v>grand-clinic.ru</x:v>
      </x:c>
      <x:c r="C3464" t="e">
        <x:f>HYPERLINK("https://belberrycrm.bitrix24.ru/crm/deal/details/18616/","https://belberrycrm.bitrix24.ru/crm/deal/details/18616/")</x:f>
      </x:c>
      <x:c r="D3464" t="str">
        <x:v>Телемаркетинг</x:v>
      </x:c>
      <x:c r="E3464" t="str">
        <x:v>К обзвону</x:v>
      </x:c>
      <x:c r="F3464" t="str">
        <x:v>Дарья Исаева</x:v>
      </x:c>
      <x:c r="G3464" t="str">
        <x:v>нет</x:v>
      </x:c>
      <x:c r="H3464" t="str">
        <x:v>нет</x:v>
      </x:c>
    </x:row>
    <x:row r="3465">
      <x:c r="A3465" t="str">
        <x:v>18684</x:v>
      </x:c>
      <x:c r="B3465" t="str">
        <x:v>galen.ru</x:v>
      </x:c>
      <x:c r="C3465" t="e">
        <x:f>HYPERLINK("https://belberrycrm.bitrix24.ru/crm/deal/details/18684/","https://belberrycrm.bitrix24.ru/crm/deal/details/18684/")</x:f>
      </x:c>
      <x:c r="D3465" t="str">
        <x:v>Телемаркетинг</x:v>
      </x:c>
      <x:c r="E3465" t="str">
        <x:v>Взято в работу</x:v>
      </x:c>
      <x:c r="F3465" t="str">
        <x:v>Илья Смирнов</x:v>
      </x:c>
      <x:c r="G3465" t="str">
        <x:v>нет</x:v>
      </x:c>
      <x:c r="H3465" t="str">
        <x:v>нет</x:v>
      </x:c>
    </x:row>
    <x:row r="3466">
      <x:c r="A3466" t="str">
        <x:v>18812</x:v>
      </x:c>
      <x:c r="B3466" t="str">
        <x:v>koreana-spb.ru</x:v>
      </x:c>
      <x:c r="C3466" t="e">
        <x:f>HYPERLINK("https://belberrycrm.bitrix24.ru/crm/deal/details/18812/","https://belberrycrm.bitrix24.ru/crm/deal/details/18812/")</x:f>
      </x:c>
      <x:c r="D3466" t="str">
        <x:v>Телемаркетинг</x:v>
      </x:c>
      <x:c r="E3466" t="str">
        <x:v>Взято в работу</x:v>
      </x:c>
      <x:c r="F3466" t="str">
        <x:v>Илья Смирнов</x:v>
      </x:c>
      <x:c r="G3466" t="str">
        <x:v>да</x:v>
      </x:c>
      <x:c r="H3466" t="str">
        <x:v>нет</x:v>
      </x:c>
    </x:row>
    <x:row r="3467">
      <x:c r="A3467" t="str">
        <x:v>18816</x:v>
      </x:c>
      <x:c r="B3467" t="str">
        <x:v>klassikashop.ru</x:v>
      </x:c>
      <x:c r="C3467" t="e">
        <x:f>HYPERLINK("https://belberrycrm.bitrix24.ru/crm/deal/details/18816/","https://belberrycrm.bitrix24.ru/crm/deal/details/18816/")</x:f>
      </x:c>
      <x:c r="D3467" t="str">
        <x:v>Телемаркетинг</x:v>
      </x:c>
      <x:c r="E3467" t="str">
        <x:v>К обзвону</x:v>
      </x:c>
      <x:c r="F3467" t="str">
        <x:v>Илья Смирнов</x:v>
      </x:c>
      <x:c r="G3467" t="str">
        <x:v>нет</x:v>
      </x:c>
      <x:c r="H3467" t="str">
        <x:v>нет</x:v>
      </x:c>
    </x:row>
    <x:row r="3468">
      <x:c r="A3468" t="str">
        <x:v>19600</x:v>
      </x:c>
      <x:c r="B3468" t="str">
        <x:v>ol-lab.com</x:v>
      </x:c>
      <x:c r="C3468" t="e">
        <x:f>HYPERLINK("https://belberrycrm.bitrix24.ru/crm/deal/details/19600/","https://belberrycrm.bitrix24.ru/crm/deal/details/19600/")</x:f>
      </x:c>
      <x:c r="D3468" t="str">
        <x:v>Телемаркетинг</x:v>
      </x:c>
      <x:c r="E3468" t="str">
        <x:v>Взято в работу</x:v>
      </x:c>
      <x:c r="F3468" t="str">
        <x:v>Аркадий Вострецов</x:v>
      </x:c>
      <x:c r="G3468" t="str">
        <x:v>нет</x:v>
      </x:c>
      <x:c r="H3468" t="str">
        <x:v>нет</x:v>
      </x:c>
    </x:row>
    <x:row r="3469">
      <x:c r="A3469" t="str">
        <x:v>19700</x:v>
      </x:c>
      <x:c r="B3469" t="str">
        <x:v>filcity.ru</x:v>
      </x:c>
      <x:c r="C3469" t="e">
        <x:f>HYPERLINK("https://belberrycrm.bitrix24.ru/crm/deal/details/19700/","https://belberrycrm.bitrix24.ru/crm/deal/details/19700/")</x:f>
      </x:c>
      <x:c r="D3469" t="str">
        <x:v>Телемаркетинг</x:v>
      </x:c>
      <x:c r="E3469" t="str">
        <x:v>К обзвону</x:v>
      </x:c>
      <x:c r="F3469" t="str">
        <x:v>Илья Смирнов</x:v>
      </x:c>
      <x:c r="G3469" t="str">
        <x:v>да</x:v>
      </x:c>
      <x:c r="H3469" t="str">
        <x:v>нет</x:v>
      </x:c>
    </x:row>
    <x:row r="3470">
      <x:c r="A3470" t="str">
        <x:v>19844</x:v>
      </x:c>
      <x:c r="B3470" t="str">
        <x:v>arseniev.org</x:v>
      </x:c>
      <x:c r="C3470" t="e">
        <x:f>HYPERLINK("https://belberrycrm.bitrix24.ru/crm/deal/details/19844/","https://belberrycrm.bitrix24.ru/crm/deal/details/19844/")</x:f>
      </x:c>
      <x:c r="D3470" t="str">
        <x:v>Телемаркетинг</x:v>
      </x:c>
      <x:c r="E3470" t="str">
        <x:v>К обзвону</x:v>
      </x:c>
      <x:c r="F3470" t="str">
        <x:v>Дарья Исаева</x:v>
      </x:c>
      <x:c r="G3470" t="str">
        <x:v>да</x:v>
      </x:c>
      <x:c r="H3470" t="str">
        <x:v>нет</x:v>
      </x:c>
    </x:row>
    <x:row r="3471">
      <x:c r="A3471" t="str">
        <x:v>20042</x:v>
      </x:c>
      <x:c r="B3471" t="str">
        <x:v>skpro.ru</x:v>
      </x:c>
      <x:c r="C3471" t="e">
        <x:f>HYPERLINK("https://belberrycrm.bitrix24.ru/crm/deal/details/20042/","https://belberrycrm.bitrix24.ru/crm/deal/details/20042/")</x:f>
      </x:c>
      <x:c r="D3471" t="str">
        <x:v>Телемаркетинг</x:v>
      </x:c>
      <x:c r="E3471" t="str">
        <x:v>Взято в работу</x:v>
      </x:c>
      <x:c r="F3471" t="str">
        <x:v>Аркадий Вострецов</x:v>
      </x:c>
      <x:c r="G3471" t="str">
        <x:v>нет</x:v>
      </x:c>
      <x:c r="H3471" t="str">
        <x:v>нет</x:v>
      </x:c>
    </x:row>
    <x:row r="3472">
      <x:c r="A3472" t="str">
        <x:v>20662</x:v>
      </x:c>
      <x:c r="B3472" t="str">
        <x:v>omegamed.info</x:v>
      </x:c>
      <x:c r="C3472" t="e">
        <x:f>HYPERLINK("https://belberrycrm.bitrix24.ru/crm/deal/details/20662/","https://belberrycrm.bitrix24.ru/crm/deal/details/20662/")</x:f>
      </x:c>
      <x:c r="D3472" t="str">
        <x:v>Телемаркетинг</x:v>
      </x:c>
      <x:c r="E3472" t="str">
        <x:v>Взято в работу</x:v>
      </x:c>
      <x:c r="F3472" t="str">
        <x:v>Аркадий Вострецов</x:v>
      </x:c>
      <x:c r="G3472" t="str">
        <x:v>нет</x:v>
      </x:c>
      <x:c r="H3472" t="str">
        <x:v>нет</x:v>
      </x:c>
    </x:row>
    <x:row r="3473">
      <x:c r="A3473" t="str">
        <x:v>20688</x:v>
      </x:c>
      <x:c r="B3473" t="str">
        <x:v>gela.ru</x:v>
      </x:c>
      <x:c r="C3473" t="e">
        <x:f>HYPERLINK("https://belberrycrm.bitrix24.ru/crm/deal/details/20688/","https://belberrycrm.bitrix24.ru/crm/deal/details/20688/")</x:f>
      </x:c>
      <x:c r="D3473" t="str">
        <x:v>Телемаркетинг</x:v>
      </x:c>
      <x:c r="E3473" t="str">
        <x:v>К обзвону</x:v>
      </x:c>
      <x:c r="F3473" t="str">
        <x:v>Илья Смирнов</x:v>
      </x:c>
      <x:c r="G3473" t="str">
        <x:v>нет</x:v>
      </x:c>
      <x:c r="H3473" t="str">
        <x:v>нет</x:v>
      </x:c>
    </x:row>
    <x:row r="3474">
      <x:c r="A3474" t="str">
        <x:v>20850</x:v>
      </x:c>
      <x:c r="B3474" t="str">
        <x:v>balticflex.ru</x:v>
      </x:c>
      <x:c r="C3474" t="e">
        <x:f>HYPERLINK("https://belberrycrm.bitrix24.ru/crm/deal/details/20850/","https://belberrycrm.bitrix24.ru/crm/deal/details/20850/")</x:f>
      </x:c>
      <x:c r="D3474" t="str">
        <x:v>Телемаркетинг</x:v>
      </x:c>
      <x:c r="E3474" t="str">
        <x:v>Взято в работу</x:v>
      </x:c>
      <x:c r="F3474" t="str">
        <x:v>Илья Смирнов</x:v>
      </x:c>
      <x:c r="G3474" t="str">
        <x:v>да</x:v>
      </x:c>
      <x:c r="H3474" t="str">
        <x:v>нет</x:v>
      </x:c>
    </x:row>
    <x:row r="3475">
      <x:c r="A3475" t="str">
        <x:v>21730</x:v>
      </x:c>
      <x:c r="B3475" t="str">
        <x:v>avaxhotel.ru</x:v>
      </x:c>
      <x:c r="C3475" t="e">
        <x:f>HYPERLINK("https://belberrycrm.bitrix24.ru/crm/deal/details/21730/","https://belberrycrm.bitrix24.ru/crm/deal/details/21730/")</x:f>
      </x:c>
      <x:c r="D3475" t="str">
        <x:v>Телемаркетинг</x:v>
      </x:c>
      <x:c r="E3475" t="str">
        <x:v>К обзвону</x:v>
      </x:c>
      <x:c r="F3475" t="str">
        <x:v>Дарья Исаева</x:v>
      </x:c>
      <x:c r="G3475" t="str">
        <x:v>да</x:v>
      </x:c>
      <x:c r="H3475" t="str">
        <x:v>нет</x:v>
      </x:c>
    </x:row>
    <x:row r="3476">
      <x:c r="A3476" t="str">
        <x:v>21756</x:v>
      </x:c>
      <x:c r="B3476" t="str">
        <x:v>komreda.ru</x:v>
      </x:c>
      <x:c r="C3476" t="e">
        <x:f>HYPERLINK("https://belberrycrm.bitrix24.ru/crm/deal/details/21756/","https://belberrycrm.bitrix24.ru/crm/deal/details/21756/")</x:f>
      </x:c>
      <x:c r="D3476" t="str">
        <x:v>Телемаркетинг</x:v>
      </x:c>
      <x:c r="E3476" t="str">
        <x:v>Взято в работу</x:v>
      </x:c>
      <x:c r="F3476" t="str">
        <x:v>Илья Смирнов</x:v>
      </x:c>
      <x:c r="G3476" t="str">
        <x:v>нет</x:v>
      </x:c>
      <x:c r="H3476" t="str">
        <x:v>нет</x:v>
      </x:c>
    </x:row>
    <x:row r="3477">
      <x:c r="A3477" t="str">
        <x:v>21758</x:v>
      </x:c>
      <x:c r="B3477" t="str">
        <x:v>vbesedki.ru</x:v>
      </x:c>
      <x:c r="C3477" t="e">
        <x:f>HYPERLINK("https://belberrycrm.bitrix24.ru/crm/deal/details/21758/","https://belberrycrm.bitrix24.ru/crm/deal/details/21758/")</x:f>
      </x:c>
      <x:c r="D3477" t="str">
        <x:v>Телемаркетинг</x:v>
      </x:c>
      <x:c r="E3477" t="str">
        <x:v>К обзвону</x:v>
      </x:c>
      <x:c r="F3477" t="str">
        <x:v>Дарья Исаева</x:v>
      </x:c>
      <x:c r="G3477" t="str">
        <x:v>нет</x:v>
      </x:c>
      <x:c r="H3477" t="str">
        <x:v>нет</x:v>
      </x:c>
    </x:row>
    <x:row r="3478">
      <x:c r="A3478" t="str">
        <x:v>23392</x:v>
      </x:c>
      <x:c r="B3478" t="str">
        <x:v>alfabank.ru</x:v>
      </x:c>
      <x:c r="C3478" t="e">
        <x:f>HYPERLINK("https://belberrycrm.bitrix24.ru/crm/deal/details/23392/","https://belberrycrm.bitrix24.ru/crm/deal/details/23392/")</x:f>
      </x:c>
      <x:c r="D3478" t="str">
        <x:v>Телемаркетинг</x:v>
      </x:c>
      <x:c r="E3478" t="str">
        <x:v>К обзвону</x:v>
      </x:c>
      <x:c r="F3478" t="str">
        <x:v>Евгения Гордиенко</x:v>
      </x:c>
      <x:c r="G3478" t="str">
        <x:v>да</x:v>
      </x:c>
      <x:c r="H3478" t="str">
        <x:v>нет</x:v>
      </x:c>
    </x:row>
    <x:row r="3479">
      <x:c r="A3479" t="str">
        <x:v>23568</x:v>
      </x:c>
      <x:c r="B3479" t="str">
        <x:v>7 999 808-44-68 - Входящий звонок</x:v>
      </x:c>
      <x:c r="C3479" t="e">
        <x:f>HYPERLINK("https://belberrycrm.bitrix24.ru/crm/deal/details/23568/","https://belberrycrm.bitrix24.ru/crm/deal/details/23568/")</x:f>
      </x:c>
      <x:c r="D3479" t="str">
        <x:v>Телемаркетинг</x:v>
      </x:c>
      <x:c r="E3479" t="str">
        <x:v>Взято в работу</x:v>
      </x:c>
      <x:c r="F3479" t="str">
        <x:v>Евгения Гордиенко</x:v>
      </x:c>
      <x:c r="G3479" t="str">
        <x:v>нет</x:v>
      </x:c>
      <x:c r="H3479" t="str">
        <x:v>нет</x:v>
      </x:c>
    </x:row>
    <x:row r="3480">
      <x:c r="A3480" t="str">
        <x:v>23574</x:v>
      </x:c>
      <x:c r="B3480" t="str">
        <x:v>7 499 302-32-01 - Входящий звонок</x:v>
      </x:c>
      <x:c r="C3480" t="e">
        <x:f>HYPERLINK("https://belberrycrm.bitrix24.ru/crm/deal/details/23574/","https://belberrycrm.bitrix24.ru/crm/deal/details/23574/")</x:f>
      </x:c>
      <x:c r="D3480" t="str">
        <x:v>Телемаркетинг</x:v>
      </x:c>
      <x:c r="E3480" t="str">
        <x:v>Взято в работу</x:v>
      </x:c>
      <x:c r="F3480" t="str">
        <x:v>Евгения Гордиенко</x:v>
      </x:c>
      <x:c r="G3480" t="str">
        <x:v>нет</x:v>
      </x:c>
      <x:c r="H3480" t="str">
        <x:v>нет</x:v>
      </x:c>
    </x:row>
    <x:row r="3481">
      <x:c r="A3481" t="str">
        <x:v>23580</x:v>
      </x:c>
      <x:c r="B3481" t="str">
        <x:v>7 903 045-18-02 - Входящий звонок</x:v>
      </x:c>
      <x:c r="C3481" t="e">
        <x:f>HYPERLINK("https://belberrycrm.bitrix24.ru/crm/deal/details/23580/","https://belberrycrm.bitrix24.ru/crm/deal/details/23580/")</x:f>
      </x:c>
      <x:c r="D3481" t="str">
        <x:v>Телемаркетинг</x:v>
      </x:c>
      <x:c r="E3481" t="str">
        <x:v>Взято в работу</x:v>
      </x:c>
      <x:c r="F3481" t="str">
        <x:v>Евгения Гордиенко</x:v>
      </x:c>
      <x:c r="G3481" t="str">
        <x:v>нет</x:v>
      </x:c>
      <x:c r="H3481" t="str">
        <x:v>нет</x:v>
      </x:c>
    </x:row>
    <x:row r="3482">
      <x:c r="A3482" t="str">
        <x:v>23774</x:v>
      </x:c>
      <x:c r="B3482" t="str">
        <x:v>Бэби Бани Магазин Одежды</x:v>
      </x:c>
      <x:c r="C3482" t="e">
        <x:f>HYPERLINK("https://belberrycrm.bitrix24.ru/crm/deal/details/23774/","https://belberrycrm.bitrix24.ru/crm/deal/details/23774/")</x:f>
      </x:c>
      <x:c r="D3482" t="str">
        <x:v>Телемаркетинг</x:v>
      </x:c>
      <x:c r="E3482" t="str">
        <x:v>К обзвону</x:v>
      </x:c>
      <x:c r="F3482" t="str">
        <x:v>Дарья Исаева</x:v>
      </x:c>
      <x:c r="G3482" t="str">
        <x:v>нет</x:v>
      </x:c>
      <x:c r="H3482" t="str">
        <x:v>нет</x:v>
      </x:c>
    </x:row>
    <x:row r="3483">
      <x:c r="A3483" t="str">
        <x:v>23788</x:v>
      </x:c>
      <x:c r="B3483" t="str">
        <x:v>7 985 724-34-84 - Входящий звонок</x:v>
      </x:c>
      <x:c r="C3483" t="e">
        <x:f>HYPERLINK("https://belberrycrm.bitrix24.ru/crm/deal/details/23788/","https://belberrycrm.bitrix24.ru/crm/deal/details/23788/")</x:f>
      </x:c>
      <x:c r="D3483" t="str">
        <x:v>Телемаркетинг</x:v>
      </x:c>
      <x:c r="E3483" t="str">
        <x:v>Взято в работу</x:v>
      </x:c>
      <x:c r="F3483" t="str">
        <x:v>Елизавета Деговцова</x:v>
      </x:c>
      <x:c r="G3483" t="str">
        <x:v>нет</x:v>
      </x:c>
      <x:c r="H3483" t="str">
        <x:v>нет</x:v>
      </x:c>
    </x:row>
    <x:row r="3484">
      <x:c r="A3484" t="str">
        <x:v>23910</x:v>
      </x:c>
      <x:c r="B3484" t="str">
        <x:v>7 903 734-74-95 - Входящий звонок</x:v>
      </x:c>
      <x:c r="C3484" t="e">
        <x:f>HYPERLINK("https://belberrycrm.bitrix24.ru/crm/deal/details/23910/","https://belberrycrm.bitrix24.ru/crm/deal/details/23910/")</x:f>
      </x:c>
      <x:c r="D3484" t="str">
        <x:v>Телемаркетинг</x:v>
      </x:c>
      <x:c r="E3484" t="str">
        <x:v>Взято в работу</x:v>
      </x:c>
      <x:c r="F3484" t="str">
        <x:v>Елизавета Деговцова</x:v>
      </x:c>
      <x:c r="G3484" t="str">
        <x:v>нет</x:v>
      </x:c>
      <x:c r="H3484" t="str">
        <x:v>нет</x:v>
      </x:c>
    </x:row>
    <x:row r="3485">
      <x:c r="A3485" t="str">
        <x:v>23986</x:v>
      </x:c>
      <x:c r="B3485" t="str">
        <x:v>Эна Ким</x:v>
      </x:c>
      <x:c r="C3485" t="e">
        <x:f>HYPERLINK("https://belberrycrm.bitrix24.ru/crm/deal/details/23986/","https://belberrycrm.bitrix24.ru/crm/deal/details/23986/")</x:f>
      </x:c>
      <x:c r="D3485" t="str">
        <x:v>Телемаркетинг</x:v>
      </x:c>
      <x:c r="E3485" t="str">
        <x:v>Взято в работу</x:v>
      </x:c>
      <x:c r="F3485" t="str">
        <x:v>Дарья Исаева</x:v>
      </x:c>
      <x:c r="G3485" t="str">
        <x:v>нет</x:v>
      </x:c>
      <x:c r="H3485" t="str">
        <x:v>нет</x:v>
      </x:c>
    </x:row>
  </x:sheetData>
  <x:pageMargins left="0.7" right="0.7" top="0.75" bottom="0.75" header="0.3" footer="0.3"/>
</x:worksheet>
</file>